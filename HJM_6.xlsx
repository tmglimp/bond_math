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41ff32dfa2842/Desktop/"/>
    </mc:Choice>
  </mc:AlternateContent>
  <xr:revisionPtr revIDLastSave="1130" documentId="8_{D206E22B-5919-42D8-888C-71161E277904}" xr6:coauthVersionLast="47" xr6:coauthVersionMax="47" xr10:uidLastSave="{CB86DD84-6041-4D5E-81CE-90D28291341C}"/>
  <bookViews>
    <workbookView xWindow="-110" yWindow="-110" windowWidth="22780" windowHeight="14540" xr2:uid="{CCD627C3-E6A8-486D-BD78-6FCA358F5A49}"/>
  </bookViews>
  <sheets>
    <sheet name="HJM_6" sheetId="1" r:id="rId1"/>
  </sheets>
  <definedNames>
    <definedName name="solver_adj" localSheetId="0" hidden="1">HJM_6!$B$11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HJM_6!$B$11</definedName>
    <definedName name="solver_lhs2" localSheetId="0" hidden="1">HJM_6!$B$11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HJM_6!$H$42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hs1" localSheetId="0" hidden="1">10000</definedName>
    <definedName name="solver_rhs2" localSheetId="0" hidden="1">-10000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 a="1"/>
  <c r="F12" i="1" s="1"/>
  <c r="D9" i="1"/>
  <c r="B137" i="1"/>
  <c r="B10" i="1"/>
  <c r="G8" i="1"/>
  <c r="G25" i="1" l="1"/>
  <c r="G135" i="1" s="1"/>
  <c r="G136" i="1" s="1"/>
  <c r="B25" i="1"/>
  <c r="C25" i="1"/>
  <c r="C17" i="1" s="1"/>
  <c r="D25" i="1"/>
  <c r="E25" i="1"/>
  <c r="F25" i="1"/>
  <c r="F98" i="1" s="1"/>
  <c r="F99" i="1" s="1"/>
  <c r="F100" i="1" s="1"/>
  <c r="E135" i="1" l="1"/>
  <c r="E136" i="1" s="1"/>
  <c r="E17" i="1"/>
  <c r="F17" i="1"/>
  <c r="D61" i="1"/>
  <c r="D62" i="1" s="1"/>
  <c r="D63" i="1" s="1"/>
  <c r="D17" i="1"/>
  <c r="B18" i="1"/>
  <c r="B19" i="1" s="1"/>
  <c r="G17" i="1"/>
  <c r="G15" i="1" s="1"/>
  <c r="B17" i="1"/>
  <c r="G26" i="1"/>
  <c r="G61" i="1"/>
  <c r="G62" i="1" s="1"/>
  <c r="G63" i="1" s="1"/>
  <c r="G98" i="1"/>
  <c r="G99" i="1" s="1"/>
  <c r="G100" i="1" s="1"/>
  <c r="C61" i="1"/>
  <c r="C62" i="1" s="1"/>
  <c r="C63" i="1" s="1"/>
  <c r="D26" i="1"/>
  <c r="D98" i="1"/>
  <c r="D99" i="1" s="1"/>
  <c r="D100" i="1" s="1"/>
  <c r="D135" i="1"/>
  <c r="D136" i="1" s="1"/>
  <c r="C26" i="1"/>
  <c r="C98" i="1"/>
  <c r="C99" i="1" s="1"/>
  <c r="C100" i="1" s="1"/>
  <c r="C135" i="1"/>
  <c r="C136" i="1" s="1"/>
  <c r="F135" i="1"/>
  <c r="F136" i="1" s="1"/>
  <c r="F26" i="1"/>
  <c r="F61" i="1"/>
  <c r="F62" i="1" s="1"/>
  <c r="F63" i="1" s="1"/>
  <c r="E26" i="1"/>
  <c r="E61" i="1"/>
  <c r="E62" i="1" s="1"/>
  <c r="E63" i="1" s="1"/>
  <c r="E98" i="1"/>
  <c r="E99" i="1" s="1"/>
  <c r="E100" i="1" s="1"/>
  <c r="B26" i="1"/>
  <c r="B43" i="1"/>
  <c r="C44" i="1" s="1"/>
  <c r="B61" i="1"/>
  <c r="B62" i="1" s="1"/>
  <c r="B63" i="1" s="1"/>
  <c r="B135" i="1"/>
  <c r="B153" i="1" s="1"/>
  <c r="B98" i="1"/>
  <c r="B99" i="1" s="1"/>
  <c r="E15" i="1" l="1"/>
  <c r="G18" i="1"/>
  <c r="B136" i="1"/>
  <c r="C18" i="1"/>
  <c r="C19" i="1" s="1"/>
  <c r="D18" i="1"/>
  <c r="D19" i="1" s="1"/>
  <c r="E18" i="1"/>
  <c r="E19" i="1" s="1"/>
  <c r="B15" i="1"/>
  <c r="C42" i="1"/>
  <c r="D40" i="1" s="1"/>
  <c r="D15" i="1"/>
  <c r="F18" i="1"/>
  <c r="F19" i="1" s="1"/>
  <c r="C15" i="1"/>
  <c r="F15" i="1"/>
  <c r="B117" i="1"/>
  <c r="B100" i="1"/>
  <c r="B80" i="1"/>
  <c r="C79" i="1" s="1"/>
  <c r="C152" i="1"/>
  <c r="C154" i="1"/>
  <c r="D45" i="1"/>
  <c r="D46" i="1"/>
  <c r="F11" i="1" l="1" a="1"/>
  <c r="F11" i="1" s="1"/>
  <c r="G19" i="1"/>
  <c r="G20" i="1" s="1"/>
  <c r="F20" i="1" s="1"/>
  <c r="E20" i="1" s="1"/>
  <c r="D20" i="1" s="1"/>
  <c r="C20" i="1" s="1"/>
  <c r="B20" i="1" s="1"/>
  <c r="D41" i="1"/>
  <c r="E41" i="1" s="1"/>
  <c r="C81" i="1"/>
  <c r="D82" i="1" s="1"/>
  <c r="C116" i="1"/>
  <c r="C118" i="1"/>
  <c r="D155" i="1"/>
  <c r="D156" i="1"/>
  <c r="D150" i="1"/>
  <c r="D151" i="1"/>
  <c r="E40" i="1"/>
  <c r="E39" i="1"/>
  <c r="E45" i="1"/>
  <c r="E44" i="1"/>
  <c r="D78" i="1"/>
  <c r="D77" i="1"/>
  <c r="E47" i="1"/>
  <c r="E46" i="1"/>
  <c r="E42" i="1" l="1"/>
  <c r="F42" i="1" s="1"/>
  <c r="D83" i="1"/>
  <c r="E83" i="1" s="1"/>
  <c r="D115" i="1"/>
  <c r="D114" i="1"/>
  <c r="D120" i="1"/>
  <c r="D119" i="1"/>
  <c r="E149" i="1"/>
  <c r="E150" i="1"/>
  <c r="E156" i="1"/>
  <c r="E157" i="1"/>
  <c r="E152" i="1"/>
  <c r="E151" i="1"/>
  <c r="E155" i="1"/>
  <c r="E154" i="1"/>
  <c r="F49" i="1"/>
  <c r="F48" i="1"/>
  <c r="E79" i="1"/>
  <c r="E78" i="1"/>
  <c r="F36" i="1"/>
  <c r="F35" i="1"/>
  <c r="F51" i="1"/>
  <c r="F50" i="1"/>
  <c r="F38" i="1"/>
  <c r="F37" i="1"/>
  <c r="F47" i="1"/>
  <c r="F46" i="1"/>
  <c r="E81" i="1"/>
  <c r="E82" i="1"/>
  <c r="F40" i="1"/>
  <c r="F39" i="1"/>
  <c r="F44" i="1"/>
  <c r="F45" i="1"/>
  <c r="E76" i="1"/>
  <c r="E77" i="1"/>
  <c r="F41" i="1" l="1"/>
  <c r="G39" i="1" s="1"/>
  <c r="M39" i="1" s="1"/>
  <c r="E84" i="1"/>
  <c r="F88" i="1" s="1"/>
  <c r="E114" i="1"/>
  <c r="E113" i="1"/>
  <c r="E116" i="1"/>
  <c r="E115" i="1"/>
  <c r="E118" i="1"/>
  <c r="E119" i="1"/>
  <c r="E120" i="1"/>
  <c r="E121" i="1"/>
  <c r="F149" i="1"/>
  <c r="F150" i="1"/>
  <c r="F161" i="1"/>
  <c r="F160" i="1"/>
  <c r="F158" i="1"/>
  <c r="F159" i="1"/>
  <c r="F157" i="1"/>
  <c r="F156" i="1"/>
  <c r="F152" i="1"/>
  <c r="F151" i="1"/>
  <c r="F148" i="1"/>
  <c r="F147" i="1"/>
  <c r="F155" i="1"/>
  <c r="F154" i="1"/>
  <c r="F146" i="1"/>
  <c r="F145" i="1"/>
  <c r="G56" i="1"/>
  <c r="M56" i="1" s="1"/>
  <c r="G57" i="1"/>
  <c r="M57" i="1" s="1"/>
  <c r="F76" i="1"/>
  <c r="F77" i="1"/>
  <c r="G54" i="1"/>
  <c r="M54" i="1" s="1"/>
  <c r="G55" i="1"/>
  <c r="M55" i="1" s="1"/>
  <c r="G38" i="1"/>
  <c r="M38" i="1" s="1"/>
  <c r="G37" i="1"/>
  <c r="M37" i="1" s="1"/>
  <c r="G58" i="1"/>
  <c r="M58" i="1" s="1"/>
  <c r="G59" i="1"/>
  <c r="M59" i="1" s="1"/>
  <c r="F79" i="1"/>
  <c r="F78" i="1"/>
  <c r="F83" i="1"/>
  <c r="F84" i="1"/>
  <c r="F81" i="1"/>
  <c r="F82" i="1"/>
  <c r="G49" i="1"/>
  <c r="M49" i="1" s="1"/>
  <c r="G48" i="1"/>
  <c r="M48" i="1" s="1"/>
  <c r="G31" i="1"/>
  <c r="M31" i="1" s="1"/>
  <c r="G32" i="1"/>
  <c r="M32" i="1" s="1"/>
  <c r="G28" i="1"/>
  <c r="M28" i="1" s="1"/>
  <c r="G27" i="1"/>
  <c r="M27" i="1" s="1"/>
  <c r="G46" i="1"/>
  <c r="M46" i="1" s="1"/>
  <c r="G47" i="1"/>
  <c r="M47" i="1" s="1"/>
  <c r="G51" i="1"/>
  <c r="M51" i="1" s="1"/>
  <c r="G50" i="1"/>
  <c r="M50" i="1" s="1"/>
  <c r="G34" i="1"/>
  <c r="M34" i="1" s="1"/>
  <c r="G33" i="1"/>
  <c r="M33" i="1" s="1"/>
  <c r="G30" i="1"/>
  <c r="M30" i="1" s="1"/>
  <c r="G29" i="1"/>
  <c r="M29" i="1" s="1"/>
  <c r="G52" i="1"/>
  <c r="M52" i="1" s="1"/>
  <c r="G53" i="1"/>
  <c r="M53" i="1" s="1"/>
  <c r="F75" i="1"/>
  <c r="F74" i="1"/>
  <c r="F86" i="1"/>
  <c r="F85" i="1"/>
  <c r="F73" i="1"/>
  <c r="F72" i="1"/>
  <c r="G44" i="1"/>
  <c r="M44" i="1" s="1"/>
  <c r="G45" i="1"/>
  <c r="M45" i="1" s="1"/>
  <c r="G35" i="1"/>
  <c r="M35" i="1" s="1"/>
  <c r="G36" i="1"/>
  <c r="M36" i="1" s="1"/>
  <c r="G41" i="1"/>
  <c r="M41" i="1" s="1"/>
  <c r="G42" i="1"/>
  <c r="M42" i="1" s="1"/>
  <c r="G40" i="1" l="1"/>
  <c r="M40" i="1" s="1"/>
  <c r="L41" i="1" s="1"/>
  <c r="F87" i="1"/>
  <c r="G93" i="1" s="1"/>
  <c r="M93" i="1" s="1"/>
  <c r="L47" i="1"/>
  <c r="L35" i="1"/>
  <c r="F125" i="1"/>
  <c r="F124" i="1"/>
  <c r="F121" i="1"/>
  <c r="F120" i="1"/>
  <c r="F119" i="1"/>
  <c r="F118" i="1"/>
  <c r="F113" i="1"/>
  <c r="F114" i="1"/>
  <c r="F116" i="1"/>
  <c r="F115" i="1"/>
  <c r="F109" i="1"/>
  <c r="F110" i="1"/>
  <c r="F123" i="1"/>
  <c r="F122" i="1"/>
  <c r="F111" i="1"/>
  <c r="F112" i="1"/>
  <c r="L44" i="1"/>
  <c r="L51" i="1"/>
  <c r="L36" i="1"/>
  <c r="L50" i="1"/>
  <c r="L37" i="1"/>
  <c r="L46" i="1"/>
  <c r="L38" i="1"/>
  <c r="L45" i="1"/>
  <c r="L49" i="1"/>
  <c r="G159" i="1"/>
  <c r="M159" i="1" s="1"/>
  <c r="G158" i="1"/>
  <c r="M158" i="1" s="1"/>
  <c r="G140" i="1"/>
  <c r="M140" i="1" s="1"/>
  <c r="G139" i="1"/>
  <c r="M139" i="1" s="1"/>
  <c r="G160" i="1"/>
  <c r="M160" i="1" s="1"/>
  <c r="G161" i="1"/>
  <c r="M161" i="1" s="1"/>
  <c r="G155" i="1"/>
  <c r="M155" i="1" s="1"/>
  <c r="G154" i="1"/>
  <c r="M154" i="1" s="1"/>
  <c r="G164" i="1"/>
  <c r="M164" i="1" s="1"/>
  <c r="G165" i="1"/>
  <c r="M165" i="1" s="1"/>
  <c r="G163" i="1"/>
  <c r="M163" i="1" s="1"/>
  <c r="G162" i="1"/>
  <c r="M162" i="1" s="1"/>
  <c r="L48" i="1"/>
  <c r="G167" i="1"/>
  <c r="M167" i="1" s="1"/>
  <c r="G166" i="1"/>
  <c r="M166" i="1" s="1"/>
  <c r="L40" i="1"/>
  <c r="G143" i="1"/>
  <c r="M143" i="1" s="1"/>
  <c r="G144" i="1"/>
  <c r="M144" i="1" s="1"/>
  <c r="G169" i="1"/>
  <c r="M169" i="1" s="1"/>
  <c r="G168" i="1"/>
  <c r="M168" i="1" s="1"/>
  <c r="G137" i="1"/>
  <c r="M137" i="1" s="1"/>
  <c r="G138" i="1"/>
  <c r="M138" i="1" s="1"/>
  <c r="G157" i="1"/>
  <c r="M157" i="1" s="1"/>
  <c r="G156" i="1"/>
  <c r="M156" i="1" s="1"/>
  <c r="G142" i="1"/>
  <c r="M142" i="1" s="1"/>
  <c r="G141" i="1"/>
  <c r="M141" i="1" s="1"/>
  <c r="L39" i="1"/>
  <c r="G150" i="1"/>
  <c r="M150" i="1" s="1"/>
  <c r="G149" i="1"/>
  <c r="M149" i="1" s="1"/>
  <c r="G147" i="1"/>
  <c r="M147" i="1" s="1"/>
  <c r="G148" i="1"/>
  <c r="M148" i="1" s="1"/>
  <c r="G151" i="1"/>
  <c r="M151" i="1" s="1"/>
  <c r="G152" i="1"/>
  <c r="M152" i="1" s="1"/>
  <c r="G146" i="1"/>
  <c r="M146" i="1" s="1"/>
  <c r="G145" i="1"/>
  <c r="M145" i="1" s="1"/>
  <c r="G69" i="1"/>
  <c r="M69" i="1" s="1"/>
  <c r="G68" i="1"/>
  <c r="M68" i="1" s="1"/>
  <c r="G79" i="1"/>
  <c r="M79" i="1" s="1"/>
  <c r="G78" i="1"/>
  <c r="M78" i="1" s="1"/>
  <c r="L79" i="1" s="1" a="1"/>
  <c r="G75" i="1"/>
  <c r="M75" i="1" s="1"/>
  <c r="G74" i="1"/>
  <c r="M74" i="1" s="1"/>
  <c r="G71" i="1"/>
  <c r="M71" i="1" s="1"/>
  <c r="G70" i="1"/>
  <c r="M70" i="1" s="1"/>
  <c r="G89" i="1"/>
  <c r="M89" i="1" s="1"/>
  <c r="G90" i="1"/>
  <c r="M90" i="1" s="1"/>
  <c r="G73" i="1"/>
  <c r="M73" i="1" s="1"/>
  <c r="G72" i="1"/>
  <c r="M72" i="1" s="1"/>
  <c r="G91" i="1"/>
  <c r="M91" i="1" s="1"/>
  <c r="G92" i="1"/>
  <c r="M92" i="1" s="1"/>
  <c r="G95" i="1"/>
  <c r="M95" i="1" s="1"/>
  <c r="G96" i="1"/>
  <c r="M96" i="1" s="1"/>
  <c r="G83" i="1"/>
  <c r="M83" i="1" s="1"/>
  <c r="G84" i="1"/>
  <c r="M84" i="1" s="1"/>
  <c r="G88" i="1"/>
  <c r="M88" i="1" s="1"/>
  <c r="G87" i="1"/>
  <c r="M87" i="1" s="1"/>
  <c r="G82" i="1"/>
  <c r="M82" i="1" s="1"/>
  <c r="G81" i="1"/>
  <c r="M81" i="1" s="1"/>
  <c r="L42" i="1" a="1"/>
  <c r="L42" i="1" s="1"/>
  <c r="G65" i="1"/>
  <c r="M65" i="1" s="1"/>
  <c r="G64" i="1"/>
  <c r="M64" i="1" s="1"/>
  <c r="G85" i="1"/>
  <c r="M85" i="1" s="1"/>
  <c r="G86" i="1"/>
  <c r="M86" i="1" s="1"/>
  <c r="G76" i="1"/>
  <c r="M76" i="1" s="1"/>
  <c r="G77" i="1"/>
  <c r="M77" i="1" s="1"/>
  <c r="G67" i="1"/>
  <c r="M67" i="1" s="1"/>
  <c r="G66" i="1"/>
  <c r="M66" i="1" s="1"/>
  <c r="G94" i="1" l="1"/>
  <c r="M94" i="1" s="1"/>
  <c r="L87" i="1" s="1"/>
  <c r="K38" i="1"/>
  <c r="K46" i="1"/>
  <c r="L84" i="1"/>
  <c r="K45" i="1"/>
  <c r="L148" i="1"/>
  <c r="G107" i="1"/>
  <c r="M107" i="1" s="1"/>
  <c r="G108" i="1"/>
  <c r="M108" i="1" s="1"/>
  <c r="G111" i="1"/>
  <c r="M111" i="1" s="1"/>
  <c r="G112" i="1"/>
  <c r="M112" i="1" s="1"/>
  <c r="G109" i="1"/>
  <c r="M109" i="1" s="1"/>
  <c r="G110" i="1"/>
  <c r="M110" i="1" s="1"/>
  <c r="G127" i="1"/>
  <c r="M127" i="1" s="1"/>
  <c r="G126" i="1"/>
  <c r="M126" i="1" s="1"/>
  <c r="G119" i="1"/>
  <c r="M119" i="1" s="1"/>
  <c r="G118" i="1"/>
  <c r="M118" i="1" s="1"/>
  <c r="G129" i="1"/>
  <c r="M129" i="1" s="1"/>
  <c r="G128" i="1"/>
  <c r="M128" i="1" s="1"/>
  <c r="G121" i="1"/>
  <c r="M121" i="1" s="1"/>
  <c r="G120" i="1"/>
  <c r="M120" i="1" s="1"/>
  <c r="G104" i="1"/>
  <c r="M104" i="1" s="1"/>
  <c r="G103" i="1"/>
  <c r="M103" i="1" s="1"/>
  <c r="G123" i="1"/>
  <c r="M123" i="1" s="1"/>
  <c r="G122" i="1"/>
  <c r="M122" i="1" s="1"/>
  <c r="G102" i="1"/>
  <c r="M102" i="1" s="1"/>
  <c r="G101" i="1"/>
  <c r="M101" i="1" s="1"/>
  <c r="G124" i="1"/>
  <c r="M124" i="1" s="1"/>
  <c r="G125" i="1"/>
  <c r="M125" i="1" s="1"/>
  <c r="G114" i="1"/>
  <c r="M114" i="1" s="1"/>
  <c r="G113" i="1"/>
  <c r="M113" i="1" s="1"/>
  <c r="G131" i="1"/>
  <c r="M131" i="1" s="1"/>
  <c r="G130" i="1"/>
  <c r="M130" i="1" s="1"/>
  <c r="G106" i="1"/>
  <c r="M106" i="1" s="1"/>
  <c r="G105" i="1"/>
  <c r="M105" i="1" s="1"/>
  <c r="G116" i="1"/>
  <c r="M116" i="1" s="1"/>
  <c r="G115" i="1"/>
  <c r="M115" i="1" s="1"/>
  <c r="L116" i="1" s="1" a="1"/>
  <c r="G133" i="1"/>
  <c r="M133" i="1" s="1"/>
  <c r="G132" i="1"/>
  <c r="M132" i="1" s="1"/>
  <c r="K41" i="1"/>
  <c r="L75" i="1"/>
  <c r="L76" i="1"/>
  <c r="L79" i="1"/>
  <c r="L72" i="1"/>
  <c r="K47" i="1"/>
  <c r="K39" i="1"/>
  <c r="K48" i="1"/>
  <c r="L88" i="1"/>
  <c r="L161" i="1"/>
  <c r="L85" i="1"/>
  <c r="L158" i="1"/>
  <c r="L86" i="1"/>
  <c r="L150" i="1"/>
  <c r="L155" i="1"/>
  <c r="L146" i="1"/>
  <c r="L157" i="1"/>
  <c r="K40" i="1"/>
  <c r="L82" i="1"/>
  <c r="L78" i="1"/>
  <c r="L149" i="1"/>
  <c r="L160" i="1"/>
  <c r="L154" i="1"/>
  <c r="L156" i="1"/>
  <c r="L83" i="1"/>
  <c r="L159" i="1"/>
  <c r="L74" i="1"/>
  <c r="L151" i="1"/>
  <c r="L73" i="1"/>
  <c r="L152" i="1" a="1"/>
  <c r="L152" i="1" s="1"/>
  <c r="L145" i="1"/>
  <c r="L81" i="1"/>
  <c r="L77" i="1"/>
  <c r="L147" i="1"/>
  <c r="K149" i="1" s="1"/>
  <c r="K83" i="1" l="1"/>
  <c r="J40" i="1"/>
  <c r="J45" i="1"/>
  <c r="J41" i="1"/>
  <c r="K76" i="1"/>
  <c r="L124" i="1"/>
  <c r="L120" i="1"/>
  <c r="L118" i="1"/>
  <c r="J46" i="1"/>
  <c r="L114" i="1"/>
  <c r="L116" i="1"/>
  <c r="L119" i="1"/>
  <c r="L121" i="1"/>
  <c r="L113" i="1"/>
  <c r="L111" i="1"/>
  <c r="L109" i="1"/>
  <c r="L123" i="1"/>
  <c r="L112" i="1"/>
  <c r="L125" i="1"/>
  <c r="L115" i="1"/>
  <c r="L110" i="1"/>
  <c r="L122" i="1"/>
  <c r="K150" i="1"/>
  <c r="K85" i="1"/>
  <c r="K75" i="1"/>
  <c r="K158" i="1"/>
  <c r="K78" i="1"/>
  <c r="K77" i="1"/>
  <c r="K156" i="1"/>
  <c r="K148" i="1"/>
  <c r="J150" i="1" s="1"/>
  <c r="K157" i="1"/>
  <c r="K82" i="1"/>
  <c r="K155" i="1"/>
  <c r="K84" i="1"/>
  <c r="K151" i="1"/>
  <c r="I44" i="1" l="1"/>
  <c r="I42" i="1"/>
  <c r="J82" i="1"/>
  <c r="J77" i="1"/>
  <c r="K115" i="1"/>
  <c r="K119" i="1"/>
  <c r="K113" i="1"/>
  <c r="K122" i="1"/>
  <c r="K120" i="1"/>
  <c r="K121" i="1"/>
  <c r="J78" i="1"/>
  <c r="J151" i="1"/>
  <c r="I152" i="1" s="1"/>
  <c r="K114" i="1"/>
  <c r="K112" i="1"/>
  <c r="J83" i="1"/>
  <c r="J156" i="1"/>
  <c r="J155" i="1"/>
  <c r="J115" i="1" l="1"/>
  <c r="H43" i="1"/>
  <c r="H42" i="1" s="1"/>
  <c r="J114" i="1"/>
  <c r="I81" i="1"/>
  <c r="I79" i="1"/>
  <c r="J120" i="1"/>
  <c r="J119" i="1"/>
  <c r="I154" i="1"/>
  <c r="H153" i="1" s="1"/>
  <c r="F9" i="1" s="1"/>
  <c r="G14" i="1" l="1"/>
  <c r="I116" i="1"/>
  <c r="H80" i="1"/>
  <c r="I118" i="1"/>
  <c r="E14" i="1"/>
  <c r="F14" i="1"/>
  <c r="B14" i="1"/>
  <c r="C14" i="1"/>
  <c r="D14" i="1"/>
  <c r="H117" i="1" l="1"/>
  <c r="D8" i="1" s="1"/>
  <c r="F7" i="1"/>
  <c r="D7" i="1" l="1"/>
  <c r="F8" i="1"/>
  <c r="F10" i="1" l="1"/>
  <c r="D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<sst xmlns="http://schemas.openxmlformats.org/spreadsheetml/2006/main" count="70" uniqueCount="56">
  <si>
    <t>Fut Imp σ</t>
  </si>
  <si>
    <t>INSTRUCTIONS</t>
  </si>
  <si>
    <t>Fut Mkt Price</t>
  </si>
  <si>
    <t>Duration</t>
  </si>
  <si>
    <t>Cash Eq. +1BP</t>
  </si>
  <si>
    <t>Price</t>
  </si>
  <si>
    <t>CTD CF</t>
  </si>
  <si>
    <t>Convexity</t>
  </si>
  <si>
    <t>Cash Eq. -1BP</t>
  </si>
  <si>
    <t>CTD Coupon</t>
  </si>
  <si>
    <t>ZV BP</t>
  </si>
  <si>
    <t>Cash Eq.</t>
  </si>
  <si>
    <t>ZV Put BP</t>
  </si>
  <si>
    <t>DV01</t>
  </si>
  <si>
    <t>Calibration #</t>
  </si>
  <si>
    <t>Vega Disc. Objs.</t>
  </si>
  <si>
    <t>Primitive Objs</t>
  </si>
  <si>
    <t>Years</t>
  </si>
  <si>
    <t>Disc. Cpn/Prin</t>
  </si>
  <si>
    <t>Fwds</t>
  </si>
  <si>
    <t>PV</t>
  </si>
  <si>
    <t>YR</t>
  </si>
  <si>
    <t>Z(t)</t>
  </si>
  <si>
    <t>Threefy σ(t)</t>
  </si>
  <si>
    <t>Adj z(t)</t>
  </si>
  <si>
    <t xml:space="preserve"># Stationary fitted coeffecients </t>
  </si>
  <si>
    <t># Exponential volatilities</t>
  </si>
  <si>
    <t>^^^</t>
  </si>
  <si>
    <t>Adj z(t)+1bp</t>
  </si>
  <si>
    <t>Adj z(t)-1bp</t>
  </si>
  <si>
    <t>Adj Fut Imp Vol</t>
  </si>
  <si>
    <t>Fut Spc Ln</t>
  </si>
  <si>
    <t># Tenor expy</t>
  </si>
  <si>
    <t>Fut Expy (Yrs)</t>
  </si>
  <si>
    <t># 0 spot rates from mkt</t>
  </si>
  <si>
    <t># Parity price</t>
  </si>
  <si>
    <t>Fwd Put US$</t>
  </si>
  <si>
    <t>by Mr. Thomas Madison Glimp, 11/15/2025</t>
  </si>
  <si>
    <t>FWD Discount</t>
  </si>
  <si>
    <t>Vega+10</t>
  </si>
  <si>
    <t># Minimize (H43-B10)^2 in H42 w. Solver by modulating B11</t>
  </si>
  <si>
    <t>^^^ # For minimize H42 fn w. Solver</t>
  </si>
  <si>
    <t>1. For the benchmark/otr in each basket:</t>
  </si>
  <si>
    <t>5. enter fut imp vol into B6</t>
  </si>
  <si>
    <t>Stationary HJM Primitive Obj. Far Fwd Projection Function for Futures Baskets and Calendar Rolls</t>
  </si>
  <si>
    <t>Prim Obj Adj</t>
  </si>
  <si>
    <t>4. paste B11 to D10 (or use formula)</t>
  </si>
  <si>
    <t>2. set B6, D9, D10 == 0</t>
  </si>
  <si>
    <t>3. solve for D10 by minimizing distance btwn (H42-B10)^2 by toggling B11</t>
  </si>
  <si>
    <t>6. For each off-the-run delivarable:</t>
  </si>
  <si>
    <t>7. Solve for D11 by minimizing distance btwn (H42-B10)^2 by toggling B10 w. fut impl vol factor using benchmark ZV BP and fut imp vol</t>
  </si>
  <si>
    <t># ctd mat date - fut delivery date</t>
  </si>
  <si>
    <t># Fut impl vol</t>
  </si>
  <si>
    <t># Calibrated 0 implied volatility rates from FRD threefy</t>
  </si>
  <si>
    <t>#No-Arbitrage Primitive Obj for ZT, ZF</t>
  </si>
  <si>
    <t>#No-Arbitrage Fwd Discounted Price for ZT, ZF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</si>
</sst>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00"/>
    <numFmt numFmtId="166" formatCode="0.000000"/>
    <numFmt numFmtId="167" formatCode="0.000%"/>
    <numFmt numFmtId="168" formatCode="0.0000"/>
    <numFmt numFmtId="169" formatCode="0.0000000000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0"/>
      <color rgb="FFFFFF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CC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7F5F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5" fillId="3" borderId="1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2" borderId="0" xfId="0" applyFont="1" applyFill="1"/>
    <xf numFmtId="164" fontId="0" fillId="2" borderId="0" xfId="0" applyNumberFormat="1" applyFill="1"/>
    <xf numFmtId="0" fontId="6" fillId="2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" fontId="3" fillId="2" borderId="0" xfId="0" applyNumberFormat="1" applyFont="1" applyFill="1"/>
    <xf numFmtId="1" fontId="5" fillId="2" borderId="0" xfId="0" applyNumberFormat="1" applyFont="1" applyFill="1"/>
    <xf numFmtId="2" fontId="7" fillId="2" borderId="0" xfId="0" applyNumberFormat="1" applyFont="1" applyFill="1" applyAlignment="1">
      <alignment horizontal="left"/>
    </xf>
    <xf numFmtId="164" fontId="8" fillId="2" borderId="0" xfId="0" applyNumberFormat="1" applyFont="1" applyFill="1" applyAlignment="1">
      <alignment horizontal="left"/>
    </xf>
    <xf numFmtId="164" fontId="5" fillId="2" borderId="0" xfId="0" applyNumberFormat="1" applyFont="1" applyFill="1"/>
    <xf numFmtId="2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/>
    <xf numFmtId="164" fontId="2" fillId="2" borderId="0" xfId="0" applyNumberFormat="1" applyFont="1" applyFill="1"/>
    <xf numFmtId="167" fontId="8" fillId="2" borderId="0" xfId="0" applyNumberFormat="1" applyFont="1" applyFill="1"/>
    <xf numFmtId="44" fontId="8" fillId="2" borderId="0" xfId="1" applyFont="1" applyFill="1"/>
    <xf numFmtId="44" fontId="5" fillId="3" borderId="0" xfId="0" applyNumberFormat="1" applyFont="1" applyFill="1"/>
    <xf numFmtId="2" fontId="5" fillId="2" borderId="0" xfId="0" applyNumberFormat="1" applyFont="1" applyFill="1"/>
    <xf numFmtId="0" fontId="5" fillId="2" borderId="0" xfId="0" applyFont="1" applyFill="1"/>
    <xf numFmtId="2" fontId="0" fillId="2" borderId="0" xfId="0" applyNumberFormat="1" applyFill="1"/>
    <xf numFmtId="164" fontId="3" fillId="2" borderId="0" xfId="0" applyNumberFormat="1" applyFont="1" applyFill="1"/>
    <xf numFmtId="44" fontId="5" fillId="3" borderId="0" xfId="1" applyFont="1" applyFill="1"/>
    <xf numFmtId="44" fontId="5" fillId="3" borderId="0" xfId="1" applyFont="1" applyFill="1" applyAlignment="1">
      <alignment horizontal="right"/>
    </xf>
    <xf numFmtId="1" fontId="5" fillId="3" borderId="0" xfId="0" applyNumberFormat="1" applyFont="1" applyFill="1"/>
    <xf numFmtId="2" fontId="5" fillId="3" borderId="0" xfId="1" applyNumberFormat="1" applyFont="1" applyFill="1" applyAlignment="1">
      <alignment horizontal="left"/>
    </xf>
    <xf numFmtId="168" fontId="5" fillId="2" borderId="0" xfId="0" applyNumberFormat="1" applyFont="1" applyFill="1"/>
    <xf numFmtId="0" fontId="8" fillId="4" borderId="1" xfId="0" applyFont="1" applyFill="1" applyBorder="1" applyAlignment="1">
      <alignment horizontal="left"/>
    </xf>
    <xf numFmtId="1" fontId="8" fillId="4" borderId="0" xfId="2" applyNumberFormat="1" applyFont="1" applyFill="1" applyAlignment="1">
      <alignment horizontal="left"/>
    </xf>
    <xf numFmtId="0" fontId="8" fillId="5" borderId="1" xfId="0" applyFont="1" applyFill="1" applyBorder="1" applyAlignment="1">
      <alignment horizontal="left"/>
    </xf>
    <xf numFmtId="10" fontId="9" fillId="5" borderId="0" xfId="2" applyNumberFormat="1" applyFont="1" applyFill="1" applyAlignment="1">
      <alignment horizontal="left"/>
    </xf>
    <xf numFmtId="0" fontId="10" fillId="2" borderId="0" xfId="0" applyFont="1" applyFill="1"/>
    <xf numFmtId="167" fontId="9" fillId="5" borderId="0" xfId="2" applyNumberFormat="1" applyFont="1" applyFill="1" applyAlignment="1">
      <alignment horizontal="left"/>
    </xf>
    <xf numFmtId="168" fontId="9" fillId="5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11" fillId="2" borderId="0" xfId="0" applyNumberFormat="1" applyFont="1" applyFill="1" applyAlignment="1">
      <alignment horizontal="left"/>
    </xf>
    <xf numFmtId="167" fontId="11" fillId="6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left"/>
    </xf>
    <xf numFmtId="164" fontId="11" fillId="7" borderId="0" xfId="0" applyNumberFormat="1" applyFont="1" applyFill="1"/>
    <xf numFmtId="167" fontId="9" fillId="4" borderId="0" xfId="0" applyNumberFormat="1" applyFont="1" applyFill="1" applyAlignment="1">
      <alignment horizontal="left"/>
    </xf>
    <xf numFmtId="0" fontId="12" fillId="2" borderId="0" xfId="0" applyFont="1" applyFill="1" applyAlignment="1">
      <alignment horizontal="center"/>
    </xf>
    <xf numFmtId="167" fontId="9" fillId="2" borderId="0" xfId="2" applyNumberFormat="1" applyFont="1" applyFill="1" applyAlignment="1">
      <alignment horizontal="left"/>
    </xf>
    <xf numFmtId="164" fontId="13" fillId="2" borderId="0" xfId="0" applyNumberFormat="1" applyFont="1" applyFill="1"/>
    <xf numFmtId="164" fontId="11" fillId="2" borderId="0" xfId="0" applyNumberFormat="1" applyFont="1" applyFill="1"/>
    <xf numFmtId="169" fontId="12" fillId="2" borderId="0" xfId="0" applyNumberFormat="1" applyFont="1" applyFill="1" applyAlignment="1">
      <alignment horizontal="center"/>
    </xf>
    <xf numFmtId="167" fontId="9" fillId="6" borderId="0" xfId="0" applyNumberFormat="1" applyFont="1" applyFill="1" applyAlignment="1">
      <alignment horizontal="left"/>
    </xf>
    <xf numFmtId="167" fontId="11" fillId="8" borderId="0" xfId="0" applyNumberFormat="1" applyFont="1" applyFill="1" applyAlignment="1">
      <alignment horizontal="left"/>
    </xf>
    <xf numFmtId="168" fontId="13" fillId="5" borderId="0" xfId="0" applyNumberFormat="1" applyFont="1" applyFill="1"/>
    <xf numFmtId="167" fontId="9" fillId="5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/>
    </xf>
    <xf numFmtId="168" fontId="9" fillId="2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left"/>
    </xf>
    <xf numFmtId="10" fontId="9" fillId="5" borderId="0" xfId="0" applyNumberFormat="1" applyFont="1" applyFill="1" applyAlignment="1">
      <alignment horizontal="left"/>
    </xf>
    <xf numFmtId="0" fontId="8" fillId="5" borderId="0" xfId="0" applyFont="1" applyFill="1" applyAlignment="1">
      <alignment horizontal="left"/>
    </xf>
    <xf numFmtId="10" fontId="0" fillId="2" borderId="0" xfId="0" applyNumberFormat="1" applyFill="1"/>
    <xf numFmtId="0" fontId="8" fillId="5" borderId="1" xfId="0" quotePrefix="1" applyFont="1" applyFill="1" applyBorder="1" applyAlignment="1">
      <alignment horizontal="left"/>
    </xf>
    <xf numFmtId="0" fontId="8" fillId="5" borderId="0" xfId="0" applyFont="1" applyFill="1"/>
    <xf numFmtId="0" fontId="8" fillId="2" borderId="0" xfId="0" applyFont="1" applyFill="1"/>
    <xf numFmtId="0" fontId="2" fillId="0" borderId="0" xfId="0" applyFont="1"/>
    <xf numFmtId="0" fontId="13" fillId="2" borderId="0" xfId="0" applyFont="1" applyFill="1" applyAlignment="1">
      <alignment horizontal="left"/>
    </xf>
    <xf numFmtId="44" fontId="5" fillId="2" borderId="0" xfId="0" applyNumberFormat="1" applyFont="1" applyFill="1"/>
    <xf numFmtId="1" fontId="5" fillId="3" borderId="0" xfId="0" applyNumberFormat="1" applyFont="1" applyFill="1" applyAlignment="1">
      <alignment horizontal="left"/>
    </xf>
    <xf numFmtId="0" fontId="5" fillId="3" borderId="0" xfId="3" applyFont="1" applyFill="1"/>
    <xf numFmtId="0" fontId="14" fillId="2" borderId="0" xfId="0" applyFont="1" applyFill="1"/>
    <xf numFmtId="164" fontId="14" fillId="2" borderId="0" xfId="0" applyNumberFormat="1" applyFont="1" applyFill="1"/>
    <xf numFmtId="0" fontId="4" fillId="0" borderId="0" xfId="0" applyFont="1"/>
    <xf numFmtId="0" fontId="5" fillId="3" borderId="0" xfId="0" applyFont="1" applyFill="1" applyAlignment="1">
      <alignment horizontal="right"/>
    </xf>
    <xf numFmtId="168" fontId="5" fillId="3" borderId="0" xfId="0" applyNumberFormat="1" applyFont="1" applyFill="1" applyAlignment="1">
      <alignment horizontal="right"/>
    </xf>
    <xf numFmtId="10" fontId="5" fillId="3" borderId="0" xfId="0" applyNumberFormat="1" applyFont="1" applyFill="1" applyAlignment="1">
      <alignment horizontal="right"/>
    </xf>
    <xf numFmtId="0" fontId="0" fillId="2" borderId="0" xfId="0" applyFont="1" applyFill="1"/>
    <xf numFmtId="2" fontId="16" fillId="2" borderId="0" xfId="0" applyNumberFormat="1" applyFont="1" applyFill="1"/>
    <xf numFmtId="44" fontId="5" fillId="3" borderId="0" xfId="1" applyNumberFormat="1" applyFont="1" applyFill="1" applyAlignment="1">
      <alignment horizontal="righ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V01@10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33CA-DD49-4D6D-830F-859B55FD11D1}">
  <dimension ref="A1:N169"/>
  <sheetViews>
    <sheetView tabSelected="1" zoomScale="51" workbookViewId="0">
      <selection activeCell="F12" sqref="F12"/>
    </sheetView>
  </sheetViews>
  <sheetFormatPr defaultRowHeight="14.5" x14ac:dyDescent="0.35"/>
  <cols>
    <col min="1" max="1" width="14.81640625" style="1" customWidth="1"/>
    <col min="2" max="2" width="10.6328125" style="1" customWidth="1"/>
    <col min="3" max="7" width="13.08984375" style="1" customWidth="1"/>
    <col min="8" max="8" width="11.54296875" style="1" customWidth="1"/>
    <col min="9" max="13" width="9.36328125" style="1" customWidth="1"/>
    <col min="14" max="16384" width="8.7265625" style="1"/>
  </cols>
  <sheetData>
    <row r="1" spans="1:14" ht="15.5" customHeight="1" x14ac:dyDescent="0.4">
      <c r="A1" s="68" t="s">
        <v>44</v>
      </c>
    </row>
    <row r="2" spans="1:14" x14ac:dyDescent="0.35">
      <c r="A2" t="s">
        <v>37</v>
      </c>
    </row>
    <row r="3" spans="1:14" x14ac:dyDescent="0.35">
      <c r="A3"/>
    </row>
    <row r="4" spans="1:14" x14ac:dyDescent="0.35">
      <c r="A4" s="7" t="s">
        <v>31</v>
      </c>
      <c r="B4" s="69">
        <v>5</v>
      </c>
      <c r="C4" s="4" t="s">
        <v>51</v>
      </c>
    </row>
    <row r="5" spans="1:14" x14ac:dyDescent="0.35">
      <c r="A5" s="7" t="s">
        <v>33</v>
      </c>
      <c r="B5" s="69">
        <v>0.128</v>
      </c>
      <c r="C5" s="4" t="s">
        <v>32</v>
      </c>
      <c r="M5" s="6" t="s">
        <v>1</v>
      </c>
    </row>
    <row r="6" spans="1:14" x14ac:dyDescent="0.35">
      <c r="A6" s="2" t="s">
        <v>0</v>
      </c>
      <c r="B6" s="69">
        <v>1.8E-3</v>
      </c>
      <c r="C6" s="4" t="s">
        <v>52</v>
      </c>
      <c r="I6" s="5"/>
      <c r="J6" s="5"/>
      <c r="K6" s="5"/>
      <c r="L6" s="5"/>
      <c r="M6" s="72" t="s">
        <v>42</v>
      </c>
    </row>
    <row r="7" spans="1:14" x14ac:dyDescent="0.35">
      <c r="A7" s="7" t="s">
        <v>2</v>
      </c>
      <c r="B7" s="70">
        <v>109.25</v>
      </c>
      <c r="C7" s="7" t="s">
        <v>3</v>
      </c>
      <c r="D7" s="14">
        <f>(H80-H117)/(2*B10*0.0001)</f>
        <v>-6.0831241607970101</v>
      </c>
      <c r="E7" s="7" t="s">
        <v>4</v>
      </c>
      <c r="F7" s="8">
        <f>H80</f>
        <v>105.11743971983502</v>
      </c>
      <c r="G7" s="9" t="s">
        <v>5</v>
      </c>
      <c r="H7" s="10"/>
      <c r="I7" s="10"/>
      <c r="J7" s="10"/>
      <c r="K7" s="10"/>
      <c r="L7" s="10"/>
      <c r="M7" s="1" t="s">
        <v>47</v>
      </c>
      <c r="N7" s="10"/>
    </row>
    <row r="8" spans="1:14" x14ac:dyDescent="0.35">
      <c r="A8" s="7" t="s">
        <v>6</v>
      </c>
      <c r="B8" s="69">
        <v>0.96050000000000002</v>
      </c>
      <c r="C8" s="7" t="s">
        <v>7</v>
      </c>
      <c r="D8" s="14">
        <f>(H117+H80-2*$B$10)/(2*$B$10*(0.01)^2)</f>
        <v>23.504896986975432</v>
      </c>
      <c r="E8" s="7" t="s">
        <v>8</v>
      </c>
      <c r="F8" s="8">
        <f>H117</f>
        <v>105.24510579036335</v>
      </c>
      <c r="G8" s="11">
        <f>SUM(H8:M8)</f>
        <v>0</v>
      </c>
      <c r="H8" s="12"/>
      <c r="I8" s="13"/>
      <c r="J8" s="13"/>
      <c r="K8" s="13"/>
      <c r="L8" s="13"/>
      <c r="M8" s="1" t="s">
        <v>48</v>
      </c>
      <c r="N8" s="13"/>
    </row>
    <row r="9" spans="1:14" x14ac:dyDescent="0.35">
      <c r="A9" s="7" t="s">
        <v>9</v>
      </c>
      <c r="B9" s="69">
        <v>4.375</v>
      </c>
      <c r="C9" s="7" t="s">
        <v>10</v>
      </c>
      <c r="D9" s="14">
        <f>D10</f>
        <v>-65.441081391804204</v>
      </c>
      <c r="E9" s="7" t="s">
        <v>39</v>
      </c>
      <c r="F9" s="15">
        <f>((B10-H153)/B10)-1</f>
        <v>-0.99460509319268386</v>
      </c>
      <c r="G9" s="16"/>
      <c r="H9" s="13"/>
      <c r="I9" s="17"/>
      <c r="J9" s="17"/>
      <c r="K9" s="17"/>
      <c r="L9" s="17"/>
      <c r="M9" s="1" t="s">
        <v>46</v>
      </c>
      <c r="N9" s="17"/>
    </row>
    <row r="10" spans="1:14" x14ac:dyDescent="0.35">
      <c r="A10" s="7" t="s">
        <v>11</v>
      </c>
      <c r="B10" s="70">
        <f>B7*B8</f>
        <v>104.934625</v>
      </c>
      <c r="C10" s="7" t="s">
        <v>12</v>
      </c>
      <c r="D10" s="14">
        <v>-65.441081391804204</v>
      </c>
      <c r="E10" s="65" t="s">
        <v>13</v>
      </c>
      <c r="F10" s="15">
        <f>D7*0.0001*B10</f>
        <v>-6.3833035264167393E-2</v>
      </c>
      <c r="G10" s="16"/>
      <c r="H10" s="13"/>
      <c r="I10" s="18"/>
      <c r="J10" s="18"/>
      <c r="K10" s="18"/>
      <c r="L10" s="18"/>
      <c r="M10" s="1" t="s">
        <v>43</v>
      </c>
      <c r="N10" s="18"/>
    </row>
    <row r="11" spans="1:14" x14ac:dyDescent="0.35">
      <c r="A11" s="7" t="s">
        <v>14</v>
      </c>
      <c r="B11" s="14">
        <v>-37.256744870089371</v>
      </c>
      <c r="C11" s="7" t="s">
        <v>36</v>
      </c>
      <c r="D11" s="74">
        <f>B11*F10</f>
        <v>2.3782111091205023</v>
      </c>
      <c r="E11" s="7" t="s">
        <v>38</v>
      </c>
      <c r="F11" s="19" cm="1">
        <f t="array" ref="F11">_xlfn.IFS(B4=2,(C15*B5+D15*(1-B5)), B4=3,(D15*B5+E15*(1-B5)), B4=5,(F15*B5+G15*(1-B5)))</f>
        <v>87.624670849926787</v>
      </c>
      <c r="G11" s="16" t="s">
        <v>55</v>
      </c>
      <c r="H11" s="13"/>
      <c r="I11" s="20"/>
      <c r="J11" s="20"/>
      <c r="K11" s="20"/>
      <c r="L11" s="20"/>
      <c r="M11" s="1" t="s">
        <v>49</v>
      </c>
      <c r="N11" s="20"/>
    </row>
    <row r="12" spans="1:14" x14ac:dyDescent="0.35">
      <c r="A12" s="21"/>
      <c r="B12" s="36" t="s">
        <v>41</v>
      </c>
      <c r="C12" s="66"/>
      <c r="D12" s="67"/>
      <c r="E12" s="7" t="s">
        <v>45</v>
      </c>
      <c r="F12" s="19" cm="1">
        <f t="array" ref="F12">_xlfn.IFS(B$4=2,($B$15-$D$15+$F$11), B$4=3,($B$15-$E$15+$F$11), B$4=5,($B$15-$G$15+F11))</f>
        <v>108.29045328361457</v>
      </c>
      <c r="G12" s="16" t="s">
        <v>54</v>
      </c>
      <c r="H12" s="13"/>
      <c r="I12" s="20"/>
      <c r="J12" s="20"/>
      <c r="K12" s="20"/>
      <c r="L12" s="20"/>
      <c r="M12" s="73" t="s">
        <v>50</v>
      </c>
      <c r="N12" s="20"/>
    </row>
    <row r="13" spans="1:14" x14ac:dyDescent="0.35">
      <c r="A13" s="21"/>
      <c r="B13" s="62"/>
      <c r="C13" s="21"/>
      <c r="D13" s="20"/>
      <c r="E13" s="21"/>
      <c r="F13" s="63"/>
      <c r="G13" s="23"/>
      <c r="H13" s="13"/>
      <c r="I13" s="20"/>
      <c r="J13" s="20"/>
      <c r="K13" s="20"/>
      <c r="L13" s="20"/>
      <c r="M13" s="73"/>
      <c r="N13" s="20"/>
    </row>
    <row r="14" spans="1:14" x14ac:dyDescent="0.35">
      <c r="A14" s="7" t="s">
        <v>15</v>
      </c>
      <c r="B14" s="24">
        <f t="shared" ref="B14:G14" si="0">B15*ABS($F$9)</f>
        <v>107.20122265084059</v>
      </c>
      <c r="C14" s="24">
        <f t="shared" si="0"/>
        <v>102.92335703029543</v>
      </c>
      <c r="D14" s="24">
        <f t="shared" si="0"/>
        <v>98.728482954738254</v>
      </c>
      <c r="E14" s="24">
        <f t="shared" si="0"/>
        <v>94.615815796155587</v>
      </c>
      <c r="F14" s="24">
        <f t="shared" si="0"/>
        <v>90.592349946755078</v>
      </c>
      <c r="G14" s="24">
        <f t="shared" si="0"/>
        <v>86.646930187482823</v>
      </c>
      <c r="H14" s="13"/>
      <c r="I14" s="20"/>
      <c r="J14" s="20"/>
      <c r="K14" s="20"/>
      <c r="L14" s="20"/>
      <c r="M14" s="20"/>
      <c r="N14" s="20"/>
    </row>
    <row r="15" spans="1:14" x14ac:dyDescent="0.35">
      <c r="A15" s="7" t="s">
        <v>16</v>
      </c>
      <c r="B15" s="25">
        <f>SUM(B17:G17)</f>
        <v>107.78270027426112</v>
      </c>
      <c r="C15" s="25">
        <f>SUM(C17:G17)</f>
        <v>103.48163078464771</v>
      </c>
      <c r="D15" s="25">
        <f>SUM(D17:G17)</f>
        <v>99.264003000245722</v>
      </c>
      <c r="E15" s="25">
        <f>SUM(E17:G17)</f>
        <v>95.129028037086229</v>
      </c>
      <c r="F15" s="25">
        <f>SUM(F17:G17)</f>
        <v>91.083738226147119</v>
      </c>
      <c r="G15" s="25">
        <f>G17</f>
        <v>87.116917840573336</v>
      </c>
      <c r="H15" s="13"/>
      <c r="I15" s="20"/>
      <c r="J15" s="20"/>
      <c r="K15" s="20"/>
      <c r="L15" s="20"/>
      <c r="M15" s="20"/>
      <c r="N15" s="20"/>
    </row>
    <row r="16" spans="1:14" ht="13.5" customHeight="1" x14ac:dyDescent="0.35">
      <c r="A16" s="26" t="s">
        <v>17</v>
      </c>
      <c r="B16" s="64">
        <v>1</v>
      </c>
      <c r="C16" s="3">
        <v>2</v>
      </c>
      <c r="D16" s="64">
        <v>3</v>
      </c>
      <c r="E16" s="3">
        <v>4</v>
      </c>
      <c r="F16" s="3">
        <v>5</v>
      </c>
      <c r="G16" s="64">
        <v>6</v>
      </c>
      <c r="H16" s="13"/>
      <c r="I16" s="20"/>
      <c r="J16" s="20"/>
      <c r="K16" s="20"/>
      <c r="L16" s="20"/>
      <c r="M16" s="20"/>
      <c r="N16" s="20"/>
    </row>
    <row r="17" spans="1:14" ht="13.5" customHeight="1" x14ac:dyDescent="0.35">
      <c r="A17" s="27" t="s">
        <v>18</v>
      </c>
      <c r="B17" s="25">
        <f>$B$9/(1+$B$25+$D$10/50000)^$B$16</f>
        <v>4.3010694896134165</v>
      </c>
      <c r="C17" s="25">
        <f>$B$9/(1+$C$25+$D$10/50000)^$C$16</f>
        <v>4.2176277844019792</v>
      </c>
      <c r="D17" s="25">
        <f>$B$9/(1+$D$25+$D$10/50000)^$D$16</f>
        <v>4.1349749631594968</v>
      </c>
      <c r="E17" s="25">
        <f>$B$9/(1+$E$25+$D$10/50000)^$E$16</f>
        <v>4.0452898109391082</v>
      </c>
      <c r="F17" s="25">
        <f>$B$9/(1+$E$25+$D$10/50000)^$F$16</f>
        <v>3.9668203855737789</v>
      </c>
      <c r="G17" s="25">
        <f>(100+$B$25)/(1+$G$25+$D$10/50000)^$G$16</f>
        <v>87.116917840573336</v>
      </c>
      <c r="H17" s="13"/>
      <c r="I17" s="20"/>
      <c r="J17" s="20"/>
      <c r="K17" s="20"/>
      <c r="L17" s="20"/>
      <c r="M17" s="20"/>
      <c r="N17" s="20"/>
    </row>
    <row r="18" spans="1:14" ht="13.5" customHeight="1" x14ac:dyDescent="0.35">
      <c r="A18" s="8" t="s">
        <v>19</v>
      </c>
      <c r="B18" s="71">
        <f>B25</f>
        <v>1.8497688388793291E-2</v>
      </c>
      <c r="C18" s="71">
        <f>B26/C26-1</f>
        <v>2.1092856757745526E-2</v>
      </c>
      <c r="D18" s="71">
        <f>C26/D26-1</f>
        <v>2.1297532093418337E-2</v>
      </c>
      <c r="E18" s="71">
        <f>D26/E26-1</f>
        <v>2.3479083111798804E-2</v>
      </c>
      <c r="F18" s="71">
        <f>E26/F26-1</f>
        <v>2.6593699566791695E-2</v>
      </c>
      <c r="G18" s="71">
        <f>F26/G26-1</f>
        <v>3.6700819299241738E-2</v>
      </c>
      <c r="H18" s="17"/>
      <c r="I18" s="20"/>
      <c r="J18" s="20"/>
      <c r="K18" s="20"/>
      <c r="L18" s="20"/>
      <c r="M18" s="20"/>
      <c r="N18" s="20"/>
    </row>
    <row r="19" spans="1:14" ht="13.5" customHeight="1" x14ac:dyDescent="0.35">
      <c r="A19" s="8" t="s">
        <v>20</v>
      </c>
      <c r="B19" s="25">
        <f t="shared" ref="B19:G19" si="1">1/(1+B18+$D$10/50000)</f>
        <v>0.98310159762592386</v>
      </c>
      <c r="C19" s="25">
        <f t="shared" si="1"/>
        <v>0.98059977951371913</v>
      </c>
      <c r="D19" s="25">
        <f t="shared" si="1"/>
        <v>0.98040300813088588</v>
      </c>
      <c r="E19" s="25">
        <f t="shared" si="1"/>
        <v>0.97831059822482369</v>
      </c>
      <c r="F19" s="25">
        <f t="shared" si="1"/>
        <v>0.97533868051405992</v>
      </c>
      <c r="G19" s="25">
        <f t="shared" si="1"/>
        <v>0.96581777940045688</v>
      </c>
      <c r="H19" s="13"/>
      <c r="I19" s="20"/>
      <c r="J19" s="20"/>
      <c r="K19" s="20"/>
      <c r="L19" s="20"/>
      <c r="M19" s="20"/>
      <c r="N19" s="20"/>
    </row>
    <row r="20" spans="1:14" ht="13.5" customHeight="1" x14ac:dyDescent="0.35">
      <c r="A20" s="8" t="s">
        <v>5</v>
      </c>
      <c r="B20" s="25">
        <f>MIN($B$10,B$19*C20)+$B$9</f>
        <v>109.309625</v>
      </c>
      <c r="C20" s="25">
        <f>MIN($B$10,C$19*D20)+$B$9</f>
        <v>109.309625</v>
      </c>
      <c r="D20" s="25">
        <f>MIN($B$10,D$19*E20)+$B$9</f>
        <v>107.16414988929404</v>
      </c>
      <c r="E20" s="25">
        <f>MIN($B$10,E$19*F20)+$B$9</f>
        <v>104.84377244543447</v>
      </c>
      <c r="F20" s="25">
        <f>MIN($B$10,F$19*G20)+$B$9</f>
        <v>102.6961914015225</v>
      </c>
      <c r="G20" s="25">
        <f>MIN($B$10,(100+$B$9)*$G$19)</f>
        <v>100.80723072492269</v>
      </c>
      <c r="H20" s="13"/>
      <c r="I20" s="20"/>
      <c r="J20" s="20"/>
      <c r="K20" s="20"/>
      <c r="L20" s="20"/>
      <c r="M20" s="20"/>
      <c r="N20" s="20"/>
    </row>
    <row r="21" spans="1:14" x14ac:dyDescent="0.35">
      <c r="B21" s="22"/>
      <c r="G21" s="23"/>
      <c r="H21" s="28"/>
      <c r="I21" s="28"/>
      <c r="J21" s="28"/>
      <c r="K21" s="28"/>
    </row>
    <row r="22" spans="1:14" x14ac:dyDescent="0.35">
      <c r="A22" s="29" t="s">
        <v>21</v>
      </c>
      <c r="B22" s="30">
        <v>1</v>
      </c>
      <c r="C22" s="30">
        <v>2</v>
      </c>
      <c r="D22" s="30">
        <v>3</v>
      </c>
      <c r="E22" s="30">
        <v>4</v>
      </c>
      <c r="F22" s="30">
        <v>5</v>
      </c>
      <c r="G22" s="30">
        <v>6</v>
      </c>
    </row>
    <row r="23" spans="1:14" x14ac:dyDescent="0.35">
      <c r="A23" s="31" t="s">
        <v>22</v>
      </c>
      <c r="B23" s="32">
        <v>2.23E-2</v>
      </c>
      <c r="C23" s="32">
        <v>2.3599999999999999E-2</v>
      </c>
      <c r="D23" s="32">
        <v>2.41E-2</v>
      </c>
      <c r="E23" s="32">
        <v>2.4899999999999999E-2</v>
      </c>
      <c r="F23" s="32">
        <v>2.5999999999999999E-2</v>
      </c>
      <c r="G23" s="32">
        <v>2.8400000000000002E-2</v>
      </c>
      <c r="H23" s="4" t="s">
        <v>34</v>
      </c>
    </row>
    <row r="24" spans="1:14" x14ac:dyDescent="0.35">
      <c r="A24" s="31" t="s">
        <v>23</v>
      </c>
      <c r="B24" s="32">
        <v>2.0570000000000001E-2</v>
      </c>
      <c r="C24" s="32">
        <v>2.1440000000000001E-2</v>
      </c>
      <c r="D24" s="32">
        <v>2.1229999999999999E-2</v>
      </c>
      <c r="E24" s="32">
        <v>2.2563E-2</v>
      </c>
      <c r="F24" s="32">
        <v>2.30134E-2</v>
      </c>
      <c r="G24" s="32">
        <v>2.18E-2</v>
      </c>
      <c r="H24" s="33" t="s">
        <v>53</v>
      </c>
    </row>
    <row r="25" spans="1:14" x14ac:dyDescent="0.35">
      <c r="A25" s="31" t="s">
        <v>24</v>
      </c>
      <c r="B25" s="32">
        <f t="shared" ref="B25:G25" si="2">B23+($B$11*(1+B24))/10000</f>
        <v>1.8497688388793291E-2</v>
      </c>
      <c r="C25" s="32">
        <f t="shared" si="2"/>
        <v>1.9794447051989593E-2</v>
      </c>
      <c r="D25" s="32">
        <f t="shared" si="2"/>
        <v>2.0295229443631862E-2</v>
      </c>
      <c r="E25" s="32">
        <f t="shared" si="2"/>
        <v>2.1090263119540681E-2</v>
      </c>
      <c r="F25" s="32">
        <f t="shared" si="2"/>
        <v>2.2188585075751732E-2</v>
      </c>
      <c r="G25" s="32">
        <f t="shared" si="2"/>
        <v>2.459310580917427E-2</v>
      </c>
      <c r="H25" s="33" t="s">
        <v>25</v>
      </c>
    </row>
    <row r="26" spans="1:14" x14ac:dyDescent="0.35">
      <c r="A26" s="31" t="s">
        <v>5</v>
      </c>
      <c r="B26" s="35">
        <f t="shared" ref="B26:G26" si="3">1/(1+B25)^B22</f>
        <v>0.98183826178530109</v>
      </c>
      <c r="C26" s="35">
        <f t="shared" si="3"/>
        <v>0.96155629264013387</v>
      </c>
      <c r="D26" s="35">
        <f t="shared" si="3"/>
        <v>0.94150456886855582</v>
      </c>
      <c r="E26" s="35">
        <f t="shared" si="3"/>
        <v>0.91990601899356206</v>
      </c>
      <c r="F26" s="35">
        <f t="shared" si="3"/>
        <v>0.89607604194507495</v>
      </c>
      <c r="G26" s="35">
        <f t="shared" si="3"/>
        <v>0.86435355819509996</v>
      </c>
      <c r="H26" s="36" t="s">
        <v>35</v>
      </c>
    </row>
    <row r="27" spans="1:14" x14ac:dyDescent="0.35">
      <c r="A27" s="37"/>
      <c r="B27" s="38"/>
      <c r="C27" s="38"/>
      <c r="D27" s="38"/>
      <c r="E27" s="38"/>
      <c r="F27" s="38"/>
      <c r="G27" s="39">
        <f>F35*EXP(10*$G$24)</f>
        <v>7.3703179238477926E-2</v>
      </c>
      <c r="H27" s="40" t="s">
        <v>26</v>
      </c>
      <c r="M27" s="41">
        <f>MIN($B$10,((100+$B$9)/(1+G27+$D$10/10000)))+$B$9</f>
        <v>102.18141220852075</v>
      </c>
    </row>
    <row r="28" spans="1:14" x14ac:dyDescent="0.35">
      <c r="A28" s="37"/>
      <c r="B28" s="38"/>
      <c r="C28" s="38"/>
      <c r="D28" s="38"/>
      <c r="E28" s="38"/>
      <c r="F28" s="38"/>
      <c r="G28" s="42">
        <f>(F35+$B$6)*EXP(10*$G$24)</f>
        <v>7.5941635960192252E-2</v>
      </c>
      <c r="H28" s="43"/>
      <c r="M28" s="41">
        <f t="shared" ref="M28:M42" si="4">MIN($B$10,(100+$B$9)/(1+G28+$D$10/10000))+$B$9</f>
        <v>101.9766843920267</v>
      </c>
    </row>
    <row r="29" spans="1:14" x14ac:dyDescent="0.35">
      <c r="A29" s="37"/>
      <c r="B29" s="38"/>
      <c r="C29" s="38"/>
      <c r="D29" s="38"/>
      <c r="E29" s="38"/>
      <c r="F29" s="38"/>
      <c r="G29" s="39">
        <f>F36*EXP(10*$G$24)</f>
        <v>7.6520878437050716E-2</v>
      </c>
      <c r="H29" s="43"/>
      <c r="M29" s="41">
        <f t="shared" si="4"/>
        <v>101.92384675761987</v>
      </c>
    </row>
    <row r="30" spans="1:14" x14ac:dyDescent="0.35">
      <c r="A30" s="37"/>
      <c r="B30" s="38"/>
      <c r="C30" s="38"/>
      <c r="D30" s="38"/>
      <c r="E30" s="38"/>
      <c r="F30" s="38"/>
      <c r="G30" s="42">
        <f>(F36+$B$6)*EXP(10*$G$24)</f>
        <v>7.8759335158765015E-2</v>
      </c>
      <c r="H30" s="43"/>
      <c r="M30" s="41">
        <f t="shared" si="4"/>
        <v>101.72019466779922</v>
      </c>
    </row>
    <row r="31" spans="1:14" x14ac:dyDescent="0.35">
      <c r="A31" s="37"/>
      <c r="B31" s="38"/>
      <c r="C31" s="38"/>
      <c r="D31" s="38"/>
      <c r="E31" s="38"/>
      <c r="F31" s="38"/>
      <c r="G31" s="39">
        <f>F37*EXP(10*$G$24)</f>
        <v>7.7234071713947305E-2</v>
      </c>
      <c r="H31" s="43"/>
      <c r="M31" s="41">
        <f t="shared" si="4"/>
        <v>101.85886886108271</v>
      </c>
    </row>
    <row r="32" spans="1:14" x14ac:dyDescent="0.35">
      <c r="A32" s="37"/>
      <c r="B32" s="38"/>
      <c r="C32" s="38"/>
      <c r="D32" s="38"/>
      <c r="E32" s="38"/>
      <c r="F32" s="38"/>
      <c r="G32" s="42">
        <f>(F37+$B$6)*EXP(10*$G$24)</f>
        <v>7.9472528435661619E-2</v>
      </c>
      <c r="H32" s="43"/>
      <c r="M32" s="41">
        <f t="shared" si="4"/>
        <v>101.6554877059349</v>
      </c>
    </row>
    <row r="33" spans="1:13" x14ac:dyDescent="0.35">
      <c r="A33" s="37"/>
      <c r="B33" s="38"/>
      <c r="C33" s="38"/>
      <c r="D33" s="38"/>
      <c r="E33" s="38"/>
      <c r="F33" s="38"/>
      <c r="G33" s="39">
        <f>F38*EXP(10*$G$24)</f>
        <v>8.0051770912520068E-2</v>
      </c>
      <c r="H33" s="43"/>
      <c r="M33" s="41">
        <f t="shared" si="4"/>
        <v>101.60299717177028</v>
      </c>
    </row>
    <row r="34" spans="1:13" x14ac:dyDescent="0.35">
      <c r="A34" s="37"/>
      <c r="B34" s="38"/>
      <c r="C34" s="44"/>
      <c r="D34" s="38"/>
      <c r="E34" s="38"/>
      <c r="F34" s="38"/>
      <c r="G34" s="42">
        <f>(F38+$B$6)*EXP(10*$G$24)</f>
        <v>8.2290227634234381E-2</v>
      </c>
      <c r="H34" s="45"/>
      <c r="I34" s="46"/>
      <c r="J34" s="46"/>
      <c r="K34" s="46"/>
      <c r="L34" s="46"/>
      <c r="M34" s="41">
        <f t="shared" si="4"/>
        <v>101.40068116071173</v>
      </c>
    </row>
    <row r="35" spans="1:13" x14ac:dyDescent="0.35">
      <c r="A35" s="37"/>
      <c r="B35" s="38"/>
      <c r="C35" s="38"/>
      <c r="D35" s="38"/>
      <c r="E35" s="38"/>
      <c r="F35" s="39">
        <f>E39*EXP(10*$F$24)</f>
        <v>5.9266601557370679E-2</v>
      </c>
      <c r="G35" s="39">
        <f>F39*EXP(10*$G$24)</f>
        <v>8.1600086587949511E-2</v>
      </c>
      <c r="I35" s="46"/>
      <c r="J35" s="46"/>
      <c r="K35" s="46"/>
      <c r="L35" s="41">
        <f>MIN($B$10,AVERAGE(M27:M28)/(1+F35+$D$10/10000))+$B$9</f>
        <v>101.34172099104012</v>
      </c>
      <c r="M35" s="41">
        <f t="shared" si="4"/>
        <v>101.46296759644632</v>
      </c>
    </row>
    <row r="36" spans="1:13" x14ac:dyDescent="0.35">
      <c r="A36" s="37"/>
      <c r="B36" s="38"/>
      <c r="C36" s="38"/>
      <c r="D36" s="38"/>
      <c r="E36" s="38"/>
      <c r="F36" s="42">
        <f>(E39+$B$6)*EXP(10*$F$24)</f>
        <v>6.1532385169906528E-2</v>
      </c>
      <c r="G36" s="42">
        <f>(F39+$B$6)*EXP(10*$G$24)</f>
        <v>8.3838543309663824E-2</v>
      </c>
      <c r="J36" s="46"/>
      <c r="K36" s="46"/>
      <c r="L36" s="41">
        <f>MIN($B$10,AVERAGE(M29:M30)/(1+F36+$D$10/10000))+$B$9</f>
        <v>100.88983616414063</v>
      </c>
      <c r="M36" s="41">
        <f t="shared" si="4"/>
        <v>101.26123331975396</v>
      </c>
    </row>
    <row r="37" spans="1:13" x14ac:dyDescent="0.35">
      <c r="A37" s="37"/>
      <c r="B37" s="38"/>
      <c r="C37" s="38"/>
      <c r="D37" s="38"/>
      <c r="E37" s="38"/>
      <c r="F37" s="39">
        <f>E40*EXP(10*$F$24)</f>
        <v>6.2105882028684618E-2</v>
      </c>
      <c r="G37" s="39">
        <f>F40*EXP(10*$G$24)</f>
        <v>8.4417785786522301E-2</v>
      </c>
      <c r="K37" s="46"/>
      <c r="L37" s="41">
        <f>MIN($B$10,AVERAGE(M31:M32)/(1+F37+$D$10/10000))+$B$9</f>
        <v>100.77596941797809</v>
      </c>
      <c r="M37" s="41">
        <f t="shared" si="4"/>
        <v>101.20916727256731</v>
      </c>
    </row>
    <row r="38" spans="1:13" x14ac:dyDescent="0.35">
      <c r="A38" s="37"/>
      <c r="B38" s="38"/>
      <c r="C38" s="38"/>
      <c r="D38" s="38"/>
      <c r="E38" s="38"/>
      <c r="F38" s="42">
        <f>(E40+$B$6)*EXP(10*$F$24)</f>
        <v>6.437166564122046E-2</v>
      </c>
      <c r="G38" s="42">
        <f>(F40+$B$6)*EXP(10*$G$24)</f>
        <v>8.66562425082366E-2</v>
      </c>
      <c r="K38" s="41">
        <f>MIN($B$10,AVERAGE(L35:L36)/(1+E39+$D$10/10000))+$B$9</f>
        <v>101.55135704907468</v>
      </c>
      <c r="L38" s="41">
        <f>MIN($B$10,AVERAGE(M33:M34)/(1+F38+$D$10/10000))+$B$9</f>
        <v>100.32810544369634</v>
      </c>
      <c r="M38" s="41">
        <f t="shared" si="4"/>
        <v>101.00848524546508</v>
      </c>
    </row>
    <row r="39" spans="1:13" x14ac:dyDescent="0.35">
      <c r="A39" s="37"/>
      <c r="B39" s="38"/>
      <c r="C39" s="38"/>
      <c r="D39" s="38"/>
      <c r="E39" s="39">
        <f>D40*EXP(10*$E$24)</f>
        <v>4.7082996899192917E-2</v>
      </c>
      <c r="F39" s="39">
        <f>E41*EXP(10*$F$24)</f>
        <v>6.5616705667564418E-2</v>
      </c>
      <c r="G39" s="39">
        <f>F41*EXP(10*$G$24)</f>
        <v>8.0886893311052935E-2</v>
      </c>
      <c r="K39" s="41">
        <f>MIN($B$10,AVERAGE(L37:L38)/(1+E40+$D$10/10000))+$B$9</f>
        <v>100.80055496107954</v>
      </c>
      <c r="L39" s="41">
        <f>MIN($B$10,AVERAGE(M35:M36)/(1+F39+$D$10/10000))+$B$9</f>
        <v>100.08335908195004</v>
      </c>
      <c r="M39" s="41">
        <f t="shared" si="4"/>
        <v>101.527418614048</v>
      </c>
    </row>
    <row r="40" spans="1:13" x14ac:dyDescent="0.35">
      <c r="A40" s="37"/>
      <c r="B40" s="38"/>
      <c r="C40" s="38"/>
      <c r="D40" s="39">
        <f>C42*EXP(10*$D$24)</f>
        <v>3.7572858293178496E-2</v>
      </c>
      <c r="E40" s="42">
        <f>(D40+$B$6)*EXP(10*$E$24)</f>
        <v>4.9338598369734595E-2</v>
      </c>
      <c r="F40" s="42">
        <f>(E41+$B$6)*EXP(10*$F$24)</f>
        <v>6.7882489280100267E-2</v>
      </c>
      <c r="G40" s="42">
        <f>(F41+$B$6)*EXP(10*$G$24)</f>
        <v>8.3125350032767248E-2</v>
      </c>
      <c r="J40" s="41">
        <f>MIN($B$10,AVERAGE(K38:K39)/(1+D40+$D$10/10000))+$B$9</f>
        <v>102.50607150500421</v>
      </c>
      <c r="K40" s="41">
        <f>MIN($B$10,AVERAGE(L39:L40)/(1+E41+$D$10/10000))+$B$9</f>
        <v>99.883270676767495</v>
      </c>
      <c r="L40" s="41">
        <f>MIN($B$10,AVERAGE(M37:M38)/(1+F40+$D$10/10000))+$B$9</f>
        <v>99.640400795480531</v>
      </c>
      <c r="M40" s="41">
        <f t="shared" si="4"/>
        <v>101.32541668793705</v>
      </c>
    </row>
    <row r="41" spans="1:13" x14ac:dyDescent="0.35">
      <c r="A41" s="37"/>
      <c r="B41" s="38"/>
      <c r="C41" s="38"/>
      <c r="D41" s="42">
        <f>(C42+$B$6)*EXP(10*$D$24)</f>
        <v>3.9798592106315735E-2</v>
      </c>
      <c r="E41" s="42">
        <f>(D41+$B$6)*EXP(10*$E$24)</f>
        <v>5.2127691959704972E-2</v>
      </c>
      <c r="F41" s="42">
        <f>(E42+$B$6)*EXP(10*$F$24)</f>
        <v>6.5043208808786335E-2</v>
      </c>
      <c r="G41" s="42">
        <f>(F42+$B$6)*EXP(10*$G$24)</f>
        <v>8.0307650834194458E-2</v>
      </c>
      <c r="H41" s="36"/>
      <c r="J41" s="41">
        <f>MIN($B$10,AVERAGE(K40:K41)/(1+D41+$D$10/10000))+$B$9</f>
        <v>101.40212583801066</v>
      </c>
      <c r="K41" s="41">
        <f>MIN($B$10,AVERAGE(L41:L42)/(1+E42+$D$10/10000))+$B$9</f>
        <v>100.62415500036856</v>
      </c>
      <c r="L41" s="41">
        <f>MIN($B$10,AVERAGE(M39:M40)/(1+F41+$D$10/10000))+$B$9</f>
        <v>100.19597668938049</v>
      </c>
      <c r="M41" s="41">
        <f t="shared" si="4"/>
        <v>101.57982755265803</v>
      </c>
    </row>
    <row r="42" spans="1:13" x14ac:dyDescent="0.35">
      <c r="A42" s="37"/>
      <c r="B42" s="38"/>
      <c r="C42" s="42">
        <f>(B43+$B$6)*EXP(10*$C$24)</f>
        <v>3.0385998778709792E-2</v>
      </c>
      <c r="D42" s="38"/>
      <c r="E42" s="39">
        <f>D41*EXP(10*$E$24)</f>
        <v>4.9872090489163294E-2</v>
      </c>
      <c r="F42" s="39">
        <f>E42*EXP(10*$F$24)</f>
        <v>6.2777425196250486E-2</v>
      </c>
      <c r="G42" s="39">
        <f>F42*EXP(10*$G$24)</f>
        <v>7.8069194112480159E-2</v>
      </c>
      <c r="H42" s="47">
        <f>(H43-B10)^2</f>
        <v>1.3368608736941307E-19</v>
      </c>
      <c r="I42" s="41">
        <f>MIN($B$10,AVERAGE(J40:J41)/(1+C42+$D$10/10000))+$B$9</f>
        <v>103.95492499000324</v>
      </c>
      <c r="J42" s="46"/>
      <c r="K42" s="46"/>
      <c r="L42" s="41">
        <f t="array" ref="L42">MIN($B$10,AVERAGE(M41:M42/(1+F42+$D$10/10000))+$B$9)</f>
        <v>100.64289668947009</v>
      </c>
      <c r="M42" s="41">
        <f t="shared" si="4"/>
        <v>101.78289214019466</v>
      </c>
    </row>
    <row r="43" spans="1:13" x14ac:dyDescent="0.35">
      <c r="A43" s="37"/>
      <c r="B43" s="48">
        <f>B25*EXP(10*B24)</f>
        <v>2.2722276168781318E-2</v>
      </c>
      <c r="C43" s="49"/>
      <c r="D43" s="38"/>
      <c r="E43" s="38"/>
      <c r="F43" s="38"/>
      <c r="G43" s="38"/>
      <c r="H43" s="50">
        <f>AVERAGE(I42:I44)/(1+B43+$D$10/10000)</f>
        <v>104.93462499963437</v>
      </c>
      <c r="L43" s="46"/>
      <c r="M43" s="46"/>
    </row>
    <row r="44" spans="1:13" x14ac:dyDescent="0.35">
      <c r="A44" s="37"/>
      <c r="B44" s="38"/>
      <c r="C44" s="51">
        <f>(B43-$B$6)*EXP(10*$C$24)</f>
        <v>2.5925173248059569E-2</v>
      </c>
      <c r="D44" s="38"/>
      <c r="E44" s="39">
        <f>D45*EXP(10*$E$24)</f>
        <v>3.7381870035048788E-2</v>
      </c>
      <c r="F44" s="39">
        <f>E44*EXP(10*$F$24)</f>
        <v>4.705512696186568E-2</v>
      </c>
      <c r="G44" s="39">
        <f>F44*EXP(10*$G$24)</f>
        <v>5.85171473549492E-2</v>
      </c>
      <c r="H44" s="62" t="s">
        <v>27</v>
      </c>
      <c r="I44" s="41">
        <f>MIN($B$10,AVERAGE(J45:J46)/(1+C44+$D$10/10000))+$B$9</f>
        <v>109.309625</v>
      </c>
      <c r="J44" s="46"/>
      <c r="K44" s="46"/>
      <c r="L44" s="41">
        <f>MIN($B$10,AVERAGE(M44:M45)/(1+F44+$D$10/10000))+$B$9</f>
        <v>104.03671147995564</v>
      </c>
      <c r="M44" s="41">
        <f t="shared" ref="M44:M59" si="5">MIN($B$10,(100+$B$9)/(1+G44+$D$10/10000))+$B$9</f>
        <v>103.59332224693713</v>
      </c>
    </row>
    <row r="45" spans="1:13" x14ac:dyDescent="0.35">
      <c r="A45" s="37"/>
      <c r="B45" s="38"/>
      <c r="C45" s="38"/>
      <c r="D45" s="51">
        <f>(C44-$B$6)*EXP(10*$D$24)</f>
        <v>2.9831229914444545E-2</v>
      </c>
      <c r="E45" s="51">
        <f>(D45-$B$6)*EXP(10*$E$24)</f>
        <v>3.5126268564507117E-2</v>
      </c>
      <c r="F45" s="51">
        <f>(E44-$B$6)*EXP(10*$E$24)</f>
        <v>4.4588065764265931E-2</v>
      </c>
      <c r="G45" s="51">
        <f>(F44-$B$6)*EXP(10*$G$24)</f>
        <v>5.627869063323488E-2</v>
      </c>
      <c r="H45" s="36" t="s">
        <v>40</v>
      </c>
      <c r="J45" s="41">
        <f>MIN($B$10,AVERAGE(K45:K46)/(1+D45+$D$10/10000))+$B$9</f>
        <v>107.9149164369787</v>
      </c>
      <c r="K45" s="41">
        <f>MIN($B$10,AVERAGE(L44:L45)/(1+E44+$D$10/10000))+$B$9</f>
        <v>105.55021026582338</v>
      </c>
      <c r="L45" s="41">
        <f>MIN($B$10,AVERAGE(M46:M47)/(1+F45+$D$10/10000))+$B$9</f>
        <v>104.55374313957489</v>
      </c>
      <c r="M45" s="41">
        <f t="shared" si="5"/>
        <v>103.80489565230519</v>
      </c>
    </row>
    <row r="46" spans="1:13" x14ac:dyDescent="0.35">
      <c r="A46" s="37"/>
      <c r="B46" s="38"/>
      <c r="C46" s="38"/>
      <c r="D46" s="39">
        <f>C44*EXP(10*$D$24)</f>
        <v>3.2056963727581787E-2</v>
      </c>
      <c r="E46" s="51">
        <f>(D46-$B$6)*EXP(10*$E$24)</f>
        <v>3.7915362154477501E-2</v>
      </c>
      <c r="F46" s="51">
        <f>(E45-$B$6)*EXP(10*$E$24)</f>
        <v>4.1761544656538294E-2</v>
      </c>
      <c r="G46" s="51">
        <f>(F45-$B$6)*EXP(10*$G$24)</f>
        <v>5.3210685232875039E-2</v>
      </c>
      <c r="H46" s="43"/>
      <c r="J46" s="41">
        <f>MIN($B$10,AVERAGE(K47:K48)/(1+D46+$D$10/10000))+$B$9</f>
        <v>106.73003370605925</v>
      </c>
      <c r="K46" s="41">
        <f>MIN($B$10,AVERAGE(L46:L47)/(1+E45+$D$10/10000))+$B$9</f>
        <v>106.3519158934712</v>
      </c>
      <c r="L46" s="41">
        <f>MIN($B$10,AVERAGE(M48:M49)/(1+F46+$D$10/10000))+$B$9</f>
        <v>105.15116633241045</v>
      </c>
      <c r="M46" s="41">
        <f t="shared" si="5"/>
        <v>104.09634611369809</v>
      </c>
    </row>
    <row r="47" spans="1:13" x14ac:dyDescent="0.35">
      <c r="A47" s="37"/>
      <c r="B47" s="38"/>
      <c r="C47" s="38"/>
      <c r="D47" s="38"/>
      <c r="E47" s="39">
        <f>D46*EXP(10*$E$24)</f>
        <v>4.0170963625019172E-2</v>
      </c>
      <c r="F47" s="39">
        <f>E45*EXP(10*$F$24)</f>
        <v>4.4215846490551755E-2</v>
      </c>
      <c r="G47" s="39">
        <f>F45*EXP(10*$G$24)</f>
        <v>5.5449141954589359E-2</v>
      </c>
      <c r="H47" s="43"/>
      <c r="K47" s="41">
        <f>MIN($B$10,AVERAGE(L48:L49)/(1+E46+$D$10/10000))+$B$9</f>
        <v>105.36187180894996</v>
      </c>
      <c r="L47" s="41">
        <f>MIN($B$10,AVERAGE(M50:M51)/(1+F47+$D$10/10000))+$B$9</f>
        <v>104.63210659402645</v>
      </c>
      <c r="M47" s="41">
        <f t="shared" si="5"/>
        <v>103.88353188332432</v>
      </c>
    </row>
    <row r="48" spans="1:13" x14ac:dyDescent="0.35">
      <c r="A48" s="37"/>
      <c r="B48" s="38"/>
      <c r="C48" s="38"/>
      <c r="D48" s="38"/>
      <c r="E48" s="38"/>
      <c r="F48" s="51">
        <f>(E46-$B$6)*EXP(10*$E$24)</f>
        <v>4.5256591102658041E-2</v>
      </c>
      <c r="G48" s="51">
        <f>(F46-$B$6)*EXP(10*$G$24)</f>
        <v>4.9695660136952646E-2</v>
      </c>
      <c r="H48" s="45"/>
      <c r="I48" s="46"/>
      <c r="J48" s="46"/>
      <c r="K48" s="41">
        <f>MIN($B$10,AVERAGE(L50:L51)/(1+E47+$D$10/10000))+$B$9</f>
        <v>104.57093399054583</v>
      </c>
      <c r="L48" s="41">
        <f>MIN($B$10,AVERAGE(M52:M53)/(1+F48+$D$10/10000))+$B$9</f>
        <v>104.41323324664441</v>
      </c>
      <c r="M48" s="41">
        <f t="shared" si="5"/>
        <v>104.43236922895639</v>
      </c>
    </row>
    <row r="49" spans="1:13" x14ac:dyDescent="0.35">
      <c r="A49" s="37"/>
      <c r="B49" s="38"/>
      <c r="C49" s="38"/>
      <c r="D49" s="38"/>
      <c r="E49" s="38"/>
      <c r="F49" s="39">
        <f>E46*EXP(10*$F$24)</f>
        <v>4.7726670129431568E-2</v>
      </c>
      <c r="G49" s="39">
        <f>F46*EXP(10*$G$24)</f>
        <v>5.1934116858666959E-2</v>
      </c>
      <c r="I49" s="46"/>
      <c r="J49" s="46"/>
      <c r="K49" s="46"/>
      <c r="L49" s="41">
        <f>MIN($B$10,AVERAGE(M54:M55)/(1+F49+$D$10/10000))+$B$9</f>
        <v>103.89667998671312</v>
      </c>
      <c r="M49" s="41">
        <f t="shared" si="5"/>
        <v>104.21811991641326</v>
      </c>
    </row>
    <row r="50" spans="1:13" x14ac:dyDescent="0.35">
      <c r="A50" s="37"/>
      <c r="B50" s="53"/>
      <c r="C50" s="38"/>
      <c r="D50" s="38"/>
      <c r="E50" s="38"/>
      <c r="F50" s="51">
        <f>(E47-$B$6)*EXP(10*$E$24)</f>
        <v>4.8083112210385678E-2</v>
      </c>
      <c r="G50" s="51">
        <f>(F47-$B$6)*EXP(10*$G$24)</f>
        <v>5.2747798157765528E-2</v>
      </c>
      <c r="J50" s="46"/>
      <c r="K50" s="46"/>
      <c r="L50" s="41">
        <f>MIN($B$10,AVERAGE(M56:M57)/(1+F50+$D$10/10000))+$B$9</f>
        <v>103.82247618378504</v>
      </c>
      <c r="M50" s="41">
        <f t="shared" si="5"/>
        <v>104.14046727544599</v>
      </c>
    </row>
    <row r="51" spans="1:13" x14ac:dyDescent="0.35">
      <c r="A51" s="37"/>
      <c r="B51" s="38"/>
      <c r="C51" s="38"/>
      <c r="D51" s="38"/>
      <c r="E51" s="38"/>
      <c r="F51" s="39">
        <f>E47*EXP(10*$F$24)</f>
        <v>5.0565950600745493E-2</v>
      </c>
      <c r="G51" s="39">
        <f>F47*EXP(10*$G$24)</f>
        <v>5.4986254879479848E-2</v>
      </c>
      <c r="K51" s="46"/>
      <c r="L51" s="41">
        <f>MIN($B$10,AVERAGE(M58:M59)/(1+F51+$D$10/10000))+$B$9</f>
        <v>103.30794018244404</v>
      </c>
      <c r="M51" s="41">
        <f t="shared" si="5"/>
        <v>103.92746488755837</v>
      </c>
    </row>
    <row r="52" spans="1:13" x14ac:dyDescent="0.35">
      <c r="A52" s="37"/>
      <c r="B52" s="38"/>
      <c r="C52" s="38"/>
      <c r="D52" s="38"/>
      <c r="E52" s="38"/>
      <c r="F52" s="38"/>
      <c r="G52" s="51">
        <f>(F48-$B$6)*EXP(10*$G$24)</f>
        <v>5.4042054698075125E-2</v>
      </c>
      <c r="L52" s="46"/>
      <c r="M52" s="41">
        <f t="shared" si="5"/>
        <v>104.01720010442914</v>
      </c>
    </row>
    <row r="53" spans="1:13" x14ac:dyDescent="0.35">
      <c r="A53" s="37"/>
      <c r="B53" s="38"/>
      <c r="C53" s="38"/>
      <c r="D53" s="38"/>
      <c r="E53" s="38"/>
      <c r="F53" s="38"/>
      <c r="G53" s="39">
        <f>F48*EXP(10*$G$24)</f>
        <v>5.6280511419789438E-2</v>
      </c>
      <c r="M53" s="41">
        <f t="shared" si="5"/>
        <v>103.80472318937396</v>
      </c>
    </row>
    <row r="54" spans="1:13" x14ac:dyDescent="0.35">
      <c r="A54" s="37"/>
      <c r="B54" s="38"/>
      <c r="C54" s="38"/>
      <c r="D54" s="38"/>
      <c r="E54" s="38"/>
      <c r="F54" s="38"/>
      <c r="G54" s="51">
        <f>(F49-$B$6)*EXP(10*$G$24)</f>
        <v>5.7113813031767761E-2</v>
      </c>
      <c r="M54" s="41">
        <f t="shared" si="5"/>
        <v>103.72585650568189</v>
      </c>
    </row>
    <row r="55" spans="1:13" x14ac:dyDescent="0.35">
      <c r="A55" s="37"/>
      <c r="B55" s="38"/>
      <c r="C55" s="38"/>
      <c r="D55" s="38"/>
      <c r="E55" s="38"/>
      <c r="F55" s="38"/>
      <c r="G55" s="39">
        <f>F49*EXP(10*$G$24)</f>
        <v>5.9352269753482075E-2</v>
      </c>
      <c r="H55" s="43"/>
      <c r="M55" s="41">
        <f t="shared" si="5"/>
        <v>103.51461897859791</v>
      </c>
    </row>
    <row r="56" spans="1:13" x14ac:dyDescent="0.35">
      <c r="A56" s="37"/>
      <c r="B56" s="38"/>
      <c r="C56" s="38"/>
      <c r="D56" s="38"/>
      <c r="E56" s="38"/>
      <c r="F56" s="38"/>
      <c r="G56" s="51">
        <f>(F50-$B$6)*EXP(10*$G$24)</f>
        <v>5.7557079793997518E-2</v>
      </c>
      <c r="H56" s="43"/>
      <c r="M56" s="41">
        <f t="shared" si="5"/>
        <v>103.68395508897653</v>
      </c>
    </row>
    <row r="57" spans="1:13" x14ac:dyDescent="0.35">
      <c r="A57" s="37"/>
      <c r="B57" s="38"/>
      <c r="C57" s="38"/>
      <c r="D57" s="38"/>
      <c r="E57" s="38"/>
      <c r="F57" s="38"/>
      <c r="G57" s="39">
        <f>F50*EXP(10*$G$24)</f>
        <v>5.9795536515711838E-2</v>
      </c>
      <c r="H57" s="43"/>
      <c r="M57" s="41">
        <f t="shared" si="5"/>
        <v>103.47289551473223</v>
      </c>
    </row>
    <row r="58" spans="1:13" x14ac:dyDescent="0.35">
      <c r="A58" s="37"/>
      <c r="B58" s="38"/>
      <c r="C58" s="38"/>
      <c r="D58" s="38"/>
      <c r="E58" s="38"/>
      <c r="F58" s="38"/>
      <c r="G58" s="51">
        <f>(F51-$B$6)*EXP(10*$G$24)</f>
        <v>6.0644705507237114E-2</v>
      </c>
      <c r="H58" s="43"/>
      <c r="M58" s="41">
        <f t="shared" si="5"/>
        <v>103.39306360854924</v>
      </c>
    </row>
    <row r="59" spans="1:13" x14ac:dyDescent="0.35">
      <c r="A59" s="37"/>
      <c r="B59" s="38"/>
      <c r="C59" s="38"/>
      <c r="D59" s="38"/>
      <c r="E59" s="38"/>
      <c r="F59" s="38"/>
      <c r="G59" s="39">
        <f>F51*EXP(10*$G$24)</f>
        <v>6.2883162228951434E-2</v>
      </c>
      <c r="H59" s="43"/>
      <c r="M59" s="41">
        <f t="shared" si="5"/>
        <v>103.18323737028082</v>
      </c>
    </row>
    <row r="60" spans="1:13" x14ac:dyDescent="0.35">
      <c r="A60" s="29" t="s">
        <v>21</v>
      </c>
      <c r="B60" s="30">
        <v>1</v>
      </c>
      <c r="C60" s="30">
        <v>2</v>
      </c>
      <c r="D60" s="30">
        <v>3</v>
      </c>
      <c r="E60" s="30">
        <v>4</v>
      </c>
      <c r="F60" s="30">
        <v>5</v>
      </c>
      <c r="G60" s="30">
        <v>6</v>
      </c>
    </row>
    <row r="61" spans="1:13" x14ac:dyDescent="0.35">
      <c r="A61" s="54" t="s">
        <v>24</v>
      </c>
      <c r="B61" s="55">
        <f t="shared" ref="B61:G61" si="6">B25</f>
        <v>1.8497688388793291E-2</v>
      </c>
      <c r="C61" s="55">
        <f t="shared" si="6"/>
        <v>1.9794447051989593E-2</v>
      </c>
      <c r="D61" s="55">
        <f t="shared" si="6"/>
        <v>2.0295229443631862E-2</v>
      </c>
      <c r="E61" s="55">
        <f t="shared" si="6"/>
        <v>2.1090263119540681E-2</v>
      </c>
      <c r="F61" s="55">
        <f t="shared" si="6"/>
        <v>2.2188585075751732E-2</v>
      </c>
      <c r="G61" s="55">
        <f t="shared" si="6"/>
        <v>2.459310580917427E-2</v>
      </c>
    </row>
    <row r="62" spans="1:13" x14ac:dyDescent="0.35">
      <c r="A62" s="31" t="s">
        <v>28</v>
      </c>
      <c r="B62" s="34">
        <f t="shared" ref="B62:G62" si="7">B61+0.0001</f>
        <v>1.859768838879329E-2</v>
      </c>
      <c r="C62" s="34">
        <f t="shared" si="7"/>
        <v>1.9894447051989592E-2</v>
      </c>
      <c r="D62" s="34">
        <f t="shared" si="7"/>
        <v>2.0395229443631861E-2</v>
      </c>
      <c r="E62" s="34">
        <f t="shared" si="7"/>
        <v>2.119026311954068E-2</v>
      </c>
      <c r="F62" s="34">
        <f t="shared" si="7"/>
        <v>2.2288585075751731E-2</v>
      </c>
      <c r="G62" s="34">
        <f t="shared" si="7"/>
        <v>2.4693105809174269E-2</v>
      </c>
    </row>
    <row r="63" spans="1:13" x14ac:dyDescent="0.35">
      <c r="A63" s="31" t="s">
        <v>5</v>
      </c>
      <c r="B63" s="35">
        <f t="shared" ref="B63:G63" si="8">1/(1+B62)^B60</f>
        <v>0.9817418706121247</v>
      </c>
      <c r="C63" s="35">
        <f t="shared" si="8"/>
        <v>0.96136774192188479</v>
      </c>
      <c r="D63" s="35">
        <f t="shared" si="8"/>
        <v>0.94122779014318525</v>
      </c>
      <c r="E63" s="35">
        <f t="shared" si="8"/>
        <v>0.91954574493360963</v>
      </c>
      <c r="F63" s="35">
        <f t="shared" si="8"/>
        <v>0.89563785806807228</v>
      </c>
      <c r="G63" s="35">
        <f t="shared" si="8"/>
        <v>0.86384756706488564</v>
      </c>
    </row>
    <row r="64" spans="1:13" x14ac:dyDescent="0.35">
      <c r="A64" s="37"/>
      <c r="B64" s="38"/>
      <c r="C64" s="38"/>
      <c r="D64" s="38"/>
      <c r="E64" s="38"/>
      <c r="F64" s="38"/>
      <c r="G64" s="39">
        <f>F72*EXP(10*$G$24)</f>
        <v>7.2664121521455863E-2</v>
      </c>
      <c r="H64" s="40" t="s">
        <v>26</v>
      </c>
      <c r="M64" s="41">
        <f>MIN($B$10,((100+$B$9)/(1+G64+$D$10/10000)))+$B$9</f>
        <v>102.27673591139084</v>
      </c>
    </row>
    <row r="65" spans="1:13" x14ac:dyDescent="0.35">
      <c r="A65" s="37"/>
      <c r="B65" s="38"/>
      <c r="C65" s="38"/>
      <c r="D65" s="38"/>
      <c r="E65" s="38"/>
      <c r="F65" s="38"/>
      <c r="G65" s="42">
        <f>(F72+$B$6)*EXP(10*$G$24)</f>
        <v>7.4902578243170176E-2</v>
      </c>
      <c r="H65" s="43"/>
      <c r="M65" s="41">
        <f t="shared" ref="M65:M79" si="9">MIN($B$10,(100+$B$9)/(1+G65+$D$10/10000))+$B$9</f>
        <v>102.07160925685416</v>
      </c>
    </row>
    <row r="66" spans="1:13" x14ac:dyDescent="0.35">
      <c r="A66" s="37"/>
      <c r="B66" s="38"/>
      <c r="C66" s="38"/>
      <c r="D66" s="38"/>
      <c r="E66" s="38"/>
      <c r="F66" s="38"/>
      <c r="G66" s="39">
        <f>F73*EXP(10*$G$24)</f>
        <v>7.5481820720028653E-2</v>
      </c>
      <c r="H66" s="43"/>
      <c r="M66" s="41">
        <f t="shared" si="9"/>
        <v>102.01866882331852</v>
      </c>
    </row>
    <row r="67" spans="1:13" x14ac:dyDescent="0.35">
      <c r="A67" s="37"/>
      <c r="B67" s="38"/>
      <c r="C67" s="38"/>
      <c r="D67" s="38"/>
      <c r="E67" s="38"/>
      <c r="F67" s="38"/>
      <c r="G67" s="42">
        <f>(F73+$B$6)*EXP(10*$G$24)</f>
        <v>7.7720277441742966E-2</v>
      </c>
      <c r="H67" s="43"/>
      <c r="M67" s="41">
        <f t="shared" si="9"/>
        <v>101.81462103633993</v>
      </c>
    </row>
    <row r="68" spans="1:13" x14ac:dyDescent="0.35">
      <c r="A68" s="37"/>
      <c r="B68" s="38"/>
      <c r="C68" s="38"/>
      <c r="D68" s="38"/>
      <c r="E68" s="38"/>
      <c r="F68" s="38"/>
      <c r="G68" s="39">
        <f>F74*EXP(10*$G$24)</f>
        <v>7.6195013996925229E-2</v>
      </c>
      <c r="H68" s="43"/>
      <c r="M68" s="41">
        <f t="shared" si="9"/>
        <v>101.95356458439821</v>
      </c>
    </row>
    <row r="69" spans="1:13" x14ac:dyDescent="0.35">
      <c r="A69" s="37"/>
      <c r="B69" s="38"/>
      <c r="C69" s="38"/>
      <c r="D69" s="38"/>
      <c r="E69" s="38"/>
      <c r="F69" s="38"/>
      <c r="G69" s="42">
        <f>(F74+$B$6)*EXP(10*$G$24)</f>
        <v>7.8433470718639528E-2</v>
      </c>
      <c r="H69" s="43"/>
      <c r="M69" s="41">
        <f t="shared" si="9"/>
        <v>101.74978852185426</v>
      </c>
    </row>
    <row r="70" spans="1:13" x14ac:dyDescent="0.35">
      <c r="A70" s="37"/>
      <c r="B70" s="38"/>
      <c r="C70" s="38"/>
      <c r="D70" s="38"/>
      <c r="E70" s="38"/>
      <c r="F70" s="38"/>
      <c r="G70" s="39">
        <f>F75*EXP(10*$G$24)</f>
        <v>7.9012713195498005E-2</v>
      </c>
      <c r="H70" s="43"/>
      <c r="M70" s="41">
        <f t="shared" si="9"/>
        <v>101.69719620034383</v>
      </c>
    </row>
    <row r="71" spans="1:13" x14ac:dyDescent="0.35">
      <c r="A71" s="37"/>
      <c r="B71" s="38"/>
      <c r="C71" s="44"/>
      <c r="D71" s="38"/>
      <c r="E71" s="38"/>
      <c r="F71" s="38"/>
      <c r="G71" s="42">
        <f>(F75+$B$6)*EXP(10*$G$24)</f>
        <v>8.1251169917212318E-2</v>
      </c>
      <c r="H71" s="45"/>
      <c r="I71" s="46"/>
      <c r="J71" s="46"/>
      <c r="K71" s="46"/>
      <c r="L71" s="46"/>
      <c r="M71" s="41">
        <f t="shared" si="9"/>
        <v>101.49448838162323</v>
      </c>
    </row>
    <row r="72" spans="1:13" x14ac:dyDescent="0.35">
      <c r="A72" s="37"/>
      <c r="B72" s="38"/>
      <c r="C72" s="38"/>
      <c r="D72" s="38"/>
      <c r="E72" s="38"/>
      <c r="F72" s="39">
        <f>E76*EXP(10*$F$24)</f>
        <v>5.8431068811753265E-2</v>
      </c>
      <c r="G72" s="39">
        <f>F76*EXP(10*$G$24)</f>
        <v>8.0561028870927448E-2</v>
      </c>
      <c r="I72" s="46"/>
      <c r="J72" s="46"/>
      <c r="K72" s="46"/>
      <c r="L72" s="41">
        <f>MIN($B$10,AVERAGE(M64:M65)/(1+F72+$D$10/10000))+$B$9</f>
        <v>101.50917544295129</v>
      </c>
      <c r="M72" s="41">
        <f t="shared" si="9"/>
        <v>101.55689535495161</v>
      </c>
    </row>
    <row r="73" spans="1:13" x14ac:dyDescent="0.35">
      <c r="A73" s="37"/>
      <c r="B73" s="38"/>
      <c r="C73" s="38"/>
      <c r="D73" s="38"/>
      <c r="E73" s="38"/>
      <c r="F73" s="42">
        <f>(E76+$B$6)*EXP(10*$F$24)</f>
        <v>6.0696852424289113E-2</v>
      </c>
      <c r="G73" s="42">
        <f>(F76+$B$6)*EXP(10*$G$24)</f>
        <v>8.2799485592641761E-2</v>
      </c>
      <c r="J73" s="46"/>
      <c r="K73" s="46"/>
      <c r="L73" s="41">
        <f>MIN($B$10,AVERAGE(M66:M67)/(1+F73+$D$10/10000))+$B$9</f>
        <v>101.05609814479088</v>
      </c>
      <c r="M73" s="41">
        <f t="shared" si="9"/>
        <v>101.35477096008825</v>
      </c>
    </row>
    <row r="74" spans="1:13" x14ac:dyDescent="0.35">
      <c r="A74" s="37"/>
      <c r="B74" s="38"/>
      <c r="C74" s="38"/>
      <c r="D74" s="38"/>
      <c r="E74" s="38"/>
      <c r="F74" s="39">
        <f>E77*EXP(10*$F$24)</f>
        <v>6.1270349283067196E-2</v>
      </c>
      <c r="G74" s="39">
        <f>F77*EXP(10*$G$24)</f>
        <v>8.3378728069500224E-2</v>
      </c>
      <c r="K74" s="46"/>
      <c r="L74" s="41">
        <f>MIN($B$10,AVERAGE(M68:M69)/(1+F74+$D$10/10000))+$B$9</f>
        <v>100.9419313799044</v>
      </c>
      <c r="M74" s="41">
        <f t="shared" si="9"/>
        <v>101.30260435836836</v>
      </c>
    </row>
    <row r="75" spans="1:13" x14ac:dyDescent="0.35">
      <c r="A75" s="37"/>
      <c r="B75" s="38"/>
      <c r="C75" s="38"/>
      <c r="D75" s="38"/>
      <c r="E75" s="38"/>
      <c r="F75" s="42">
        <f>(E77+$B$6)*EXP(10*$F$24)</f>
        <v>6.3536132895603045E-2</v>
      </c>
      <c r="G75" s="42">
        <f>(F77+$B$6)*EXP(10*$G$24)</f>
        <v>8.5617184791214537E-2</v>
      </c>
      <c r="K75" s="41">
        <f>MIN($B$10,AVERAGE(L72:L73)/(1+E76+$D$10/10000))+$B$9</f>
        <v>101.7738462230477</v>
      </c>
      <c r="L75" s="41">
        <f>MIN($B$10,AVERAGE(M70:M71)/(1+F75+$D$10/10000))+$B$9</f>
        <v>100.49288917177087</v>
      </c>
      <c r="M75" s="41">
        <f t="shared" si="9"/>
        <v>101.10153526287314</v>
      </c>
    </row>
    <row r="76" spans="1:13" x14ac:dyDescent="0.35">
      <c r="A76" s="37"/>
      <c r="B76" s="38"/>
      <c r="C76" s="38"/>
      <c r="D76" s="38"/>
      <c r="E76" s="39">
        <f>D77*EXP(10*$E$24)</f>
        <v>4.641922700793303E-2</v>
      </c>
      <c r="F76" s="39">
        <f>E78*EXP(10*$F$24)</f>
        <v>6.4781172921947003E-2</v>
      </c>
      <c r="G76" s="39">
        <f>F78*EXP(10*$G$24)</f>
        <v>7.9847835594030872E-2</v>
      </c>
      <c r="K76" s="41">
        <f>MIN($B$10,AVERAGE(L74:L75)/(1+E77+$D$10/10000))+$B$9</f>
        <v>101.02065904270273</v>
      </c>
      <c r="L76" s="41">
        <f>MIN($B$10,AVERAGE(M72:M73)/(1+F76+$D$10/10000))+$B$9</f>
        <v>100.24750015510148</v>
      </c>
      <c r="M76" s="41">
        <f t="shared" si="9"/>
        <v>101.62147118062919</v>
      </c>
    </row>
    <row r="77" spans="1:13" x14ac:dyDescent="0.35">
      <c r="A77" s="37"/>
      <c r="B77" s="38"/>
      <c r="C77" s="38"/>
      <c r="D77" s="39">
        <f>C79*EXP(10*$D$24)</f>
        <v>3.7043161083865683E-2</v>
      </c>
      <c r="E77" s="42">
        <f>(D77+$B$6)*EXP(10*$E$24)</f>
        <v>4.8674828478474708E-2</v>
      </c>
      <c r="F77" s="42">
        <f>(E78+$B$6)*EXP(10*$F$24)</f>
        <v>6.7046956534482852E-2</v>
      </c>
      <c r="G77" s="42">
        <f>(F78+$B$6)*EXP(10*$G$24)</f>
        <v>8.2086292315745171E-2</v>
      </c>
      <c r="J77" s="41">
        <f>MIN($B$10,AVERAGE(K75:K76)/(1+D77+$D$10/10000))+$B$9</f>
        <v>102.77125989284434</v>
      </c>
      <c r="K77" s="41">
        <f>MIN($B$10,AVERAGE(L76:L77)/(1+E78+$D$10/10000))+$B$9</f>
        <v>100.1004702389538</v>
      </c>
      <c r="L77" s="41">
        <f>MIN($B$10,AVERAGE(M74:M75)/(1+F77+$D$10/10000))+$B$9</f>
        <v>99.803380945656514</v>
      </c>
      <c r="M77" s="41">
        <f t="shared" si="9"/>
        <v>101.41907835933418</v>
      </c>
    </row>
    <row r="78" spans="1:13" x14ac:dyDescent="0.35">
      <c r="A78" s="37"/>
      <c r="B78" s="38"/>
      <c r="C78" s="38"/>
      <c r="D78" s="42">
        <f>(C79+$B$6)*EXP(10*$D$24)</f>
        <v>3.9268894897002922E-2</v>
      </c>
      <c r="E78" s="42">
        <f>(D78+$B$6)*EXP(10*$E$24)</f>
        <v>5.1463922068445085E-2</v>
      </c>
      <c r="F78" s="42">
        <f>(E79+$B$6)*EXP(10*$F$24)</f>
        <v>6.420767606316892E-2</v>
      </c>
      <c r="G78" s="42">
        <f>(F79+$B$6)*EXP(10*$G$24)</f>
        <v>7.9268593117172395E-2</v>
      </c>
      <c r="H78" s="36"/>
      <c r="J78" s="41">
        <f>MIN($B$10,AVERAGE(K77:K78)/(1+D78+$D$10/10000))+$B$9</f>
        <v>101.66334464457995</v>
      </c>
      <c r="K78" s="41">
        <f>MIN($B$10,AVERAGE(L78:L79)/(1+E79+$D$10/10000))+$B$9</f>
        <v>100.84369971523697</v>
      </c>
      <c r="L78" s="41">
        <f>MIN($B$10,AVERAGE(M76:M77)/(1+F78+$D$10/10000))+$B$9</f>
        <v>100.36041336660438</v>
      </c>
      <c r="M78" s="41">
        <f t="shared" si="9"/>
        <v>101.6739816692227</v>
      </c>
    </row>
    <row r="79" spans="1:13" x14ac:dyDescent="0.35">
      <c r="A79" s="37"/>
      <c r="B79" s="38"/>
      <c r="C79" s="42">
        <f>(B80+$B$6)*EXP(10*$C$24)</f>
        <v>2.9957620968598195E-2</v>
      </c>
      <c r="D79" s="38"/>
      <c r="E79" s="39">
        <f>D78*EXP(10*$E$24)</f>
        <v>4.9208320597903407E-2</v>
      </c>
      <c r="F79" s="39">
        <f>E79*EXP(10*$F$24)</f>
        <v>6.1941892450633071E-2</v>
      </c>
      <c r="G79" s="39">
        <f>F79*EXP(10*$G$24)</f>
        <v>7.7030136395458082E-2</v>
      </c>
      <c r="H79" s="47"/>
      <c r="I79" s="41">
        <f>MIN($B$10,AVERAGE(J77:J78)/(1+C79+$D$10/10000))+$B$9</f>
        <v>104.25378896196449</v>
      </c>
      <c r="J79" s="46"/>
      <c r="K79" s="46"/>
      <c r="L79" s="41">
        <f t="array" ref="L79">MIN($B$10,AVERAGE(M78:M79/(1+F79+$D$10/10000))+$B$9)</f>
        <v>100.80850826440482</v>
      </c>
      <c r="M79" s="41">
        <f t="shared" si="9"/>
        <v>101.87744024204329</v>
      </c>
    </row>
    <row r="80" spans="1:13" x14ac:dyDescent="0.35">
      <c r="A80" s="37"/>
      <c r="B80" s="48">
        <f>B62*EXP(10*B61)</f>
        <v>2.2376564347997115E-2</v>
      </c>
      <c r="C80" s="49"/>
      <c r="D80" s="38"/>
      <c r="E80" s="38"/>
      <c r="F80" s="38"/>
      <c r="G80" s="38"/>
      <c r="H80" s="50">
        <f>AVERAGE(I79:I81)/(1+B80+$D$10/10000)</f>
        <v>105.11743971983502</v>
      </c>
      <c r="L80" s="46"/>
      <c r="M80" s="46"/>
    </row>
    <row r="81" spans="1:13" x14ac:dyDescent="0.35">
      <c r="A81" s="37"/>
      <c r="B81" s="38"/>
      <c r="C81" s="51">
        <f>(B80-$B$6)*EXP(10*$C$24)</f>
        <v>2.5496795437947972E-2</v>
      </c>
      <c r="D81" s="38"/>
      <c r="E81" s="39">
        <f>D82*EXP(10*$E$24)</f>
        <v>3.6718100143788894E-2</v>
      </c>
      <c r="F81" s="39">
        <f>E81*EXP(10*$F$24)</f>
        <v>4.6219594216248258E-2</v>
      </c>
      <c r="G81" s="39">
        <f>F81*EXP(10*$G$24)</f>
        <v>5.7478089637927124E-2</v>
      </c>
      <c r="H81" s="52"/>
      <c r="I81" s="41">
        <f>MIN($B$10,AVERAGE(J82:J83)/(1+C81+$D$10/10000))+$B$9</f>
        <v>109.309625</v>
      </c>
      <c r="J81" s="46"/>
      <c r="K81" s="46"/>
      <c r="L81" s="41">
        <f>MIN($B$10,AVERAGE(M81:M82)/(1+F81+$D$10/10000))+$B$9</f>
        <v>104.21135945747432</v>
      </c>
      <c r="M81" s="41">
        <f t="shared" ref="M81:M96" si="10">MIN($B$10,(100+$B$9)/(1+G81+$D$10/10000))+$B$9</f>
        <v>103.69141933506597</v>
      </c>
    </row>
    <row r="82" spans="1:13" x14ac:dyDescent="0.35">
      <c r="A82" s="37"/>
      <c r="B82" s="38"/>
      <c r="C82" s="38"/>
      <c r="D82" s="51">
        <f>(C81-$B$6)*EXP(10*$D$24)</f>
        <v>2.9301532705131729E-2</v>
      </c>
      <c r="E82" s="51">
        <f>(D82-$B$6)*EXP(10*$E$24)</f>
        <v>3.4462498673247223E-2</v>
      </c>
      <c r="F82" s="51">
        <f>(E81-$B$6)*EXP(10*$E$24)</f>
        <v>4.3756287796028651E-2</v>
      </c>
      <c r="G82" s="51">
        <f>(F81-$B$6)*EXP(10*$G$24)</f>
        <v>5.5239632916212811E-2</v>
      </c>
      <c r="H82" s="36"/>
      <c r="J82" s="41">
        <f>MIN($B$10,AVERAGE(K82:K83)/(1+D82+$D$10/10000))+$B$9</f>
        <v>108.19958954965098</v>
      </c>
      <c r="K82" s="41">
        <f>MIN($B$10,AVERAGE(L81:L82)/(1+E81+$D$10/10000))+$B$9</f>
        <v>105.78522201274269</v>
      </c>
      <c r="L82" s="41">
        <f>MIN($B$10,AVERAGE(M83:M84)/(1+F82+$D$10/10000))+$B$9</f>
        <v>104.7289870244072</v>
      </c>
      <c r="M82" s="41">
        <f t="shared" si="10"/>
        <v>103.90341175916299</v>
      </c>
    </row>
    <row r="83" spans="1:13" x14ac:dyDescent="0.35">
      <c r="A83" s="37"/>
      <c r="B83" s="38"/>
      <c r="C83" s="38"/>
      <c r="D83" s="39">
        <f>C81*EXP(10*$D$24)</f>
        <v>3.1527266518268968E-2</v>
      </c>
      <c r="E83" s="51">
        <f>(D83-$B$6)*EXP(10*$E$24)</f>
        <v>3.7251592263217601E-2</v>
      </c>
      <c r="F83" s="51">
        <f>(E82-$B$6)*EXP(10*$E$24)</f>
        <v>4.0929766688301013E-2</v>
      </c>
      <c r="G83" s="51">
        <f>(F82-$B$6)*EXP(10*$G$24)</f>
        <v>5.2176296908444698E-2</v>
      </c>
      <c r="H83" s="43"/>
      <c r="J83" s="41">
        <f>MIN($B$10,AVERAGE(K84:K85)/(1+D83+$D$10/10000))+$B$9</f>
        <v>107.01037846345955</v>
      </c>
      <c r="K83" s="41">
        <f>MIN($B$10,AVERAGE(L83:L84)/(1+E82+$D$10/10000))+$B$9</f>
        <v>106.58951761609337</v>
      </c>
      <c r="L83" s="41">
        <f>MIN($B$10,AVERAGE(M85:M86)/(1+F83+$D$10/10000))+$B$9</f>
        <v>105.32801154633097</v>
      </c>
      <c r="M83" s="41">
        <f t="shared" si="10"/>
        <v>104.19499513887577</v>
      </c>
    </row>
    <row r="84" spans="1:13" x14ac:dyDescent="0.35">
      <c r="A84" s="37"/>
      <c r="B84" s="38"/>
      <c r="C84" s="38"/>
      <c r="D84" s="38"/>
      <c r="E84" s="39">
        <f>D83*EXP(10*$E$24)</f>
        <v>3.9507193733759272E-2</v>
      </c>
      <c r="F84" s="39">
        <f>E82*EXP(10*$F$24)</f>
        <v>4.3380313744934333E-2</v>
      </c>
      <c r="G84" s="39">
        <f>F82*EXP(10*$G$24)</f>
        <v>5.4414753630159012E-2</v>
      </c>
      <c r="H84" s="43"/>
      <c r="K84" s="41">
        <f>MIN($B$10,AVERAGE(L85:L86)/(1+E83+$D$10/10000))+$B$9</f>
        <v>105.59627622594469</v>
      </c>
      <c r="L84" s="41">
        <f>MIN($B$10,AVERAGE(M87:M88)/(1+F84+$D$10/10000))+$B$9</f>
        <v>104.80835332797045</v>
      </c>
      <c r="M84" s="41">
        <f t="shared" si="10"/>
        <v>103.98176009880515</v>
      </c>
    </row>
    <row r="85" spans="1:13" x14ac:dyDescent="0.35">
      <c r="A85" s="37"/>
      <c r="B85" s="38"/>
      <c r="C85" s="38"/>
      <c r="D85" s="38"/>
      <c r="E85" s="38"/>
      <c r="F85" s="51">
        <f>(E83-$B$6)*EXP(10*$E$24)</f>
        <v>4.4424813134420753E-2</v>
      </c>
      <c r="G85" s="51">
        <f>(F83-$B$6)*EXP(10*$G$24)</f>
        <v>4.8661271812522305E-2</v>
      </c>
      <c r="H85" s="45"/>
      <c r="I85" s="46"/>
      <c r="J85" s="46"/>
      <c r="K85" s="41">
        <f>MIN($B$10,AVERAGE(L87:L88)/(1+E84+$D$10/10000))+$B$9</f>
        <v>104.80279253187501</v>
      </c>
      <c r="L85" s="41">
        <f>MIN($B$10,AVERAGE(M89:M90)/(1+F85+$D$10/10000))+$B$9</f>
        <v>104.58810123780981</v>
      </c>
      <c r="M85" s="41">
        <f t="shared" si="10"/>
        <v>104.5316845248861</v>
      </c>
    </row>
    <row r="86" spans="1:13" x14ac:dyDescent="0.35">
      <c r="A86" s="37"/>
      <c r="B86" s="38"/>
      <c r="C86" s="38"/>
      <c r="D86" s="38"/>
      <c r="E86" s="38"/>
      <c r="F86" s="39">
        <f>E83*EXP(10*$F$24)</f>
        <v>4.6891137383814133E-2</v>
      </c>
      <c r="G86" s="39">
        <f>F83*EXP(10*$G$24)</f>
        <v>5.0899728534236618E-2</v>
      </c>
      <c r="I86" s="46"/>
      <c r="J86" s="46"/>
      <c r="K86" s="46"/>
      <c r="L86" s="41">
        <f>MIN($B$10,AVERAGE(M91:M92)/(1+F86+$D$10/10000))+$B$9</f>
        <v>104.07095267952553</v>
      </c>
      <c r="M86" s="41">
        <f t="shared" si="10"/>
        <v>104.31701013685098</v>
      </c>
    </row>
    <row r="87" spans="1:13" x14ac:dyDescent="0.35">
      <c r="A87" s="37"/>
      <c r="B87" s="53"/>
      <c r="C87" s="38"/>
      <c r="D87" s="38"/>
      <c r="E87" s="38"/>
      <c r="F87" s="51">
        <f>(E84-$B$6)*EXP(10*$E$24)</f>
        <v>4.7251334242148391E-2</v>
      </c>
      <c r="G87" s="51">
        <f>(F84-$B$6)*EXP(10*$G$24)</f>
        <v>5.1708740440743459E-2</v>
      </c>
      <c r="J87" s="46"/>
      <c r="K87" s="46"/>
      <c r="L87" s="41">
        <f>MIN($B$10,AVERAGE(M93:M94)/(1+F87+$D$10/10000))+$B$9</f>
        <v>103.995766814806</v>
      </c>
      <c r="M87" s="41">
        <f t="shared" si="10"/>
        <v>104.23964981134618</v>
      </c>
    </row>
    <row r="88" spans="1:13" x14ac:dyDescent="0.35">
      <c r="A88" s="37"/>
      <c r="B88" s="38"/>
      <c r="C88" s="38"/>
      <c r="D88" s="38"/>
      <c r="E88" s="38"/>
      <c r="F88" s="39">
        <f>E84*EXP(10*$F$24)</f>
        <v>4.9730417855128058E-2</v>
      </c>
      <c r="G88" s="39">
        <f>F84*EXP(10*$G$24)</f>
        <v>5.3947197162457772E-2</v>
      </c>
      <c r="K88" s="46"/>
      <c r="L88" s="41">
        <f>MIN($B$10,AVERAGE(M95:M96)/(1+F88+$D$10/10000))+$B$9</f>
        <v>103.48063809154964</v>
      </c>
      <c r="M88" s="41">
        <f t="shared" si="10"/>
        <v>104.02622415032363</v>
      </c>
    </row>
    <row r="89" spans="1:13" x14ac:dyDescent="0.35">
      <c r="A89" s="37"/>
      <c r="B89" s="38"/>
      <c r="C89" s="38"/>
      <c r="D89" s="38"/>
      <c r="E89" s="38"/>
      <c r="F89" s="38"/>
      <c r="G89" s="51">
        <f>(F85-$B$6)*EXP(10*$G$24)</f>
        <v>5.3007666373644777E-2</v>
      </c>
      <c r="L89" s="46"/>
      <c r="M89" s="41">
        <f t="shared" si="10"/>
        <v>104.11569252454022</v>
      </c>
    </row>
    <row r="90" spans="1:13" x14ac:dyDescent="0.35">
      <c r="A90" s="37"/>
      <c r="B90" s="38"/>
      <c r="C90" s="38"/>
      <c r="D90" s="38"/>
      <c r="E90" s="38"/>
      <c r="F90" s="38"/>
      <c r="G90" s="39">
        <f>F85*EXP(10*$G$24)</f>
        <v>5.524612309535909E-2</v>
      </c>
      <c r="M90" s="41">
        <f t="shared" si="10"/>
        <v>103.90279580037465</v>
      </c>
    </row>
    <row r="91" spans="1:13" x14ac:dyDescent="0.35">
      <c r="A91" s="37"/>
      <c r="B91" s="38"/>
      <c r="C91" s="38"/>
      <c r="D91" s="38"/>
      <c r="E91" s="38"/>
      <c r="F91" s="38"/>
      <c r="G91" s="51">
        <f>(F86-$B$6)*EXP(10*$G$24)</f>
        <v>5.6074755314745671E-2</v>
      </c>
      <c r="M91" s="41">
        <f t="shared" si="10"/>
        <v>103.82421597181352</v>
      </c>
    </row>
    <row r="92" spans="1:13" x14ac:dyDescent="0.35">
      <c r="A92" s="37"/>
      <c r="B92" s="38"/>
      <c r="C92" s="38"/>
      <c r="D92" s="38"/>
      <c r="E92" s="38"/>
      <c r="F92" s="38"/>
      <c r="G92" s="39">
        <f>F86*EXP(10*$G$24)</f>
        <v>5.8313212036459984E-2</v>
      </c>
      <c r="H92" s="43"/>
      <c r="M92" s="41">
        <f t="shared" si="10"/>
        <v>103.61256042390244</v>
      </c>
    </row>
    <row r="93" spans="1:13" x14ac:dyDescent="0.35">
      <c r="A93" s="37"/>
      <c r="B93" s="38"/>
      <c r="C93" s="38"/>
      <c r="D93" s="38"/>
      <c r="E93" s="38"/>
      <c r="F93" s="38"/>
      <c r="G93" s="51">
        <f>(F87-$B$6)*EXP(10*$G$24)</f>
        <v>5.652269146956717E-2</v>
      </c>
      <c r="H93" s="43"/>
      <c r="M93" s="41">
        <f t="shared" si="10"/>
        <v>103.78178948796932</v>
      </c>
    </row>
    <row r="94" spans="1:13" x14ac:dyDescent="0.35">
      <c r="A94" s="37"/>
      <c r="B94" s="38"/>
      <c r="C94" s="38"/>
      <c r="D94" s="38"/>
      <c r="E94" s="38"/>
      <c r="F94" s="38"/>
      <c r="G94" s="39">
        <f>F87*EXP(10*$G$24)</f>
        <v>5.8761148191281483E-2</v>
      </c>
      <c r="H94" s="43"/>
      <c r="M94" s="41">
        <f t="shared" si="10"/>
        <v>103.57031430020541</v>
      </c>
    </row>
    <row r="95" spans="1:13" x14ac:dyDescent="0.35">
      <c r="A95" s="37"/>
      <c r="B95" s="38"/>
      <c r="C95" s="38"/>
      <c r="D95" s="38"/>
      <c r="E95" s="38"/>
      <c r="F95" s="38"/>
      <c r="G95" s="51">
        <f>(F88-$B$6)*EXP(10*$G$24)</f>
        <v>5.9605647790215023E-2</v>
      </c>
      <c r="H95" s="43"/>
      <c r="M95" s="41">
        <f t="shared" si="10"/>
        <v>103.49076491017607</v>
      </c>
    </row>
    <row r="96" spans="1:13" x14ac:dyDescent="0.35">
      <c r="A96" s="37"/>
      <c r="B96" s="38"/>
      <c r="C96" s="38"/>
      <c r="D96" s="38"/>
      <c r="E96" s="38"/>
      <c r="F96" s="38"/>
      <c r="G96" s="39">
        <f>F88*EXP(10*$G$24)</f>
        <v>6.1844104511929336E-2</v>
      </c>
      <c r="H96" s="43"/>
      <c r="M96" s="41">
        <f t="shared" si="10"/>
        <v>103.28052483535977</v>
      </c>
    </row>
    <row r="97" spans="1:13" x14ac:dyDescent="0.35">
      <c r="A97" s="29" t="s">
        <v>21</v>
      </c>
      <c r="B97" s="30">
        <v>1</v>
      </c>
      <c r="C97" s="30">
        <v>2</v>
      </c>
      <c r="D97" s="30">
        <v>3</v>
      </c>
      <c r="E97" s="30">
        <v>4</v>
      </c>
      <c r="F97" s="30">
        <v>5</v>
      </c>
      <c r="G97" s="30">
        <v>6</v>
      </c>
    </row>
    <row r="98" spans="1:13" x14ac:dyDescent="0.35">
      <c r="A98" s="56" t="s">
        <v>24</v>
      </c>
      <c r="B98" s="32">
        <f t="shared" ref="B98:G98" si="11">B25</f>
        <v>1.8497688388793291E-2</v>
      </c>
      <c r="C98" s="32">
        <f t="shared" si="11"/>
        <v>1.9794447051989593E-2</v>
      </c>
      <c r="D98" s="32">
        <f t="shared" si="11"/>
        <v>2.0295229443631862E-2</v>
      </c>
      <c r="E98" s="32">
        <f t="shared" si="11"/>
        <v>2.1090263119540681E-2</v>
      </c>
      <c r="F98" s="32">
        <f t="shared" si="11"/>
        <v>2.2188585075751732E-2</v>
      </c>
      <c r="G98" s="32">
        <f t="shared" si="11"/>
        <v>2.459310580917427E-2</v>
      </c>
      <c r="H98" s="57"/>
    </row>
    <row r="99" spans="1:13" x14ac:dyDescent="0.35">
      <c r="A99" s="58" t="s">
        <v>29</v>
      </c>
      <c r="B99" s="34">
        <f t="shared" ref="B99:G99" si="12">B98-0.0001</f>
        <v>1.8397688388793292E-2</v>
      </c>
      <c r="C99" s="34">
        <f t="shared" si="12"/>
        <v>1.9694447051989594E-2</v>
      </c>
      <c r="D99" s="34">
        <f t="shared" si="12"/>
        <v>2.0195229443631862E-2</v>
      </c>
      <c r="E99" s="34">
        <f t="shared" si="12"/>
        <v>2.0990263119540681E-2</v>
      </c>
      <c r="F99" s="34">
        <f t="shared" si="12"/>
        <v>2.2088585075751732E-2</v>
      </c>
      <c r="G99" s="34">
        <f t="shared" si="12"/>
        <v>2.449310580917427E-2</v>
      </c>
    </row>
    <row r="100" spans="1:13" x14ac:dyDescent="0.35">
      <c r="A100" s="31" t="s">
        <v>5</v>
      </c>
      <c r="B100" s="35">
        <f t="shared" ref="B100:G100" si="13">1/(1+B99)^B97</f>
        <v>0.98193467188844441</v>
      </c>
      <c r="C100" s="35">
        <f t="shared" si="13"/>
        <v>0.96174489883381398</v>
      </c>
      <c r="D100" s="35">
        <f t="shared" si="13"/>
        <v>0.9417814561244694</v>
      </c>
      <c r="E100" s="35">
        <f t="shared" si="13"/>
        <v>0.92026646951307833</v>
      </c>
      <c r="F100" s="35">
        <f t="shared" si="13"/>
        <v>0.89651448310092785</v>
      </c>
      <c r="G100" s="35">
        <f t="shared" si="13"/>
        <v>0.86485989513557915</v>
      </c>
    </row>
    <row r="101" spans="1:13" x14ac:dyDescent="0.35">
      <c r="A101" s="37"/>
      <c r="B101" s="38"/>
      <c r="C101" s="38"/>
      <c r="D101" s="38"/>
      <c r="E101" s="38"/>
      <c r="F101" s="38"/>
      <c r="G101" s="39">
        <f>F109*EXP(10*$G$24)</f>
        <v>7.194086912996811E-2</v>
      </c>
      <c r="H101" s="40" t="s">
        <v>26</v>
      </c>
      <c r="M101" s="41">
        <f>MIN($B$10,((100+$B$9)/(1+G101+$D$10/10000)))+$B$9</f>
        <v>102.34319722160063</v>
      </c>
    </row>
    <row r="102" spans="1:13" x14ac:dyDescent="0.35">
      <c r="A102" s="37"/>
      <c r="B102" s="38"/>
      <c r="C102" s="38"/>
      <c r="D102" s="38"/>
      <c r="E102" s="38"/>
      <c r="F102" s="38"/>
      <c r="G102" s="42">
        <f>(F109+$B$6)*EXP(10*$G$24)</f>
        <v>7.4179325851682423E-2</v>
      </c>
      <c r="H102" s="43"/>
      <c r="M102" s="41">
        <f t="shared" ref="M102:M116" si="14">MIN($B$10,(100+$B$9)/(1+G102+$D$10/10000))+$B$9</f>
        <v>102.13779226122962</v>
      </c>
    </row>
    <row r="103" spans="1:13" x14ac:dyDescent="0.35">
      <c r="A103" s="37"/>
      <c r="B103" s="38"/>
      <c r="C103" s="38"/>
      <c r="D103" s="38"/>
      <c r="E103" s="38"/>
      <c r="F103" s="38"/>
      <c r="G103" s="39">
        <f>F110*EXP(10*$G$24)</f>
        <v>7.4758568328540886E-2</v>
      </c>
      <c r="H103" s="43"/>
      <c r="M103" s="41">
        <f t="shared" si="14"/>
        <v>102.08478009556025</v>
      </c>
    </row>
    <row r="104" spans="1:13" x14ac:dyDescent="0.35">
      <c r="A104" s="37"/>
      <c r="B104" s="38"/>
      <c r="C104" s="38"/>
      <c r="D104" s="38"/>
      <c r="E104" s="38"/>
      <c r="F104" s="38"/>
      <c r="G104" s="42">
        <f>(F110+$B$6)*EXP(10*$G$24)</f>
        <v>7.6997025050255213E-2</v>
      </c>
      <c r="H104" s="43"/>
      <c r="M104" s="41">
        <f t="shared" si="14"/>
        <v>101.88045619623053</v>
      </c>
    </row>
    <row r="105" spans="1:13" x14ac:dyDescent="0.35">
      <c r="A105" s="37"/>
      <c r="B105" s="38"/>
      <c r="C105" s="38"/>
      <c r="D105" s="38"/>
      <c r="E105" s="38"/>
      <c r="F105" s="38"/>
      <c r="G105" s="39">
        <f>F111*EXP(10*$G$24)</f>
        <v>7.5471761605437476E-2</v>
      </c>
      <c r="H105" s="43"/>
      <c r="M105" s="41">
        <f t="shared" si="14"/>
        <v>102.01958769640655</v>
      </c>
    </row>
    <row r="106" spans="1:13" x14ac:dyDescent="0.35">
      <c r="A106" s="37"/>
      <c r="B106" s="38"/>
      <c r="C106" s="38"/>
      <c r="D106" s="38"/>
      <c r="E106" s="38"/>
      <c r="F106" s="38"/>
      <c r="G106" s="42">
        <f>(F111+$B$6)*EXP(10*$G$24)</f>
        <v>7.7710218327151789E-2</v>
      </c>
      <c r="H106" s="43"/>
      <c r="M106" s="41">
        <f t="shared" si="14"/>
        <v>101.8155360730503</v>
      </c>
    </row>
    <row r="107" spans="1:13" x14ac:dyDescent="0.35">
      <c r="A107" s="37"/>
      <c r="B107" s="38"/>
      <c r="C107" s="38"/>
      <c r="D107" s="38"/>
      <c r="E107" s="38"/>
      <c r="F107" s="38"/>
      <c r="G107" s="39">
        <f>F112*EXP(10*$G$24)</f>
        <v>7.8289460804010252E-2</v>
      </c>
      <c r="H107" s="43"/>
      <c r="M107" s="41">
        <f t="shared" si="14"/>
        <v>101.76287272599585</v>
      </c>
    </row>
    <row r="108" spans="1:13" x14ac:dyDescent="0.35">
      <c r="A108" s="37"/>
      <c r="B108" s="38"/>
      <c r="C108" s="44"/>
      <c r="D108" s="38"/>
      <c r="E108" s="38"/>
      <c r="F108" s="38"/>
      <c r="G108" s="42">
        <f>(F112+$B$6)*EXP(10*$G$24)</f>
        <v>8.0527917525724566E-2</v>
      </c>
      <c r="H108" s="45"/>
      <c r="I108" s="46"/>
      <c r="J108" s="46"/>
      <c r="K108" s="46"/>
      <c r="L108" s="46"/>
      <c r="M108" s="41">
        <f t="shared" si="14"/>
        <v>101.55989151118455</v>
      </c>
    </row>
    <row r="109" spans="1:13" x14ac:dyDescent="0.35">
      <c r="A109" s="37"/>
      <c r="B109" s="38"/>
      <c r="C109" s="38"/>
      <c r="D109" s="38"/>
      <c r="E109" s="38"/>
      <c r="F109" s="39">
        <f>E113*EXP(10*$F$24)</f>
        <v>5.7849483163011778E-2</v>
      </c>
      <c r="G109" s="39">
        <f>F113*EXP(10*$G$24)</f>
        <v>7.9837776479439709E-2</v>
      </c>
      <c r="I109" s="46"/>
      <c r="J109" s="46"/>
      <c r="K109" s="46"/>
      <c r="L109" s="41">
        <f>MIN($B$10,AVERAGE(M101:M102)/(1+F109+$D$10/10000))+$B$9</f>
        <v>101.62599592408864</v>
      </c>
      <c r="M109" s="41">
        <f t="shared" si="14"/>
        <v>101.62238259325188</v>
      </c>
    </row>
    <row r="110" spans="1:13" x14ac:dyDescent="0.35">
      <c r="A110" s="37"/>
      <c r="B110" s="38"/>
      <c r="C110" s="38"/>
      <c r="D110" s="38"/>
      <c r="E110" s="38"/>
      <c r="F110" s="42">
        <f>(E113+$B$6)*EXP(10*$F$24)</f>
        <v>6.0115266775547627E-2</v>
      </c>
      <c r="G110" s="42">
        <f>(F113+$B$6)*EXP(10*$G$24)</f>
        <v>8.2076233201154022E-2</v>
      </c>
      <c r="J110" s="46"/>
      <c r="K110" s="46"/>
      <c r="L110" s="41">
        <f>MIN($B$10,AVERAGE(M103:M104)/(1+F110+$D$10/10000))+$B$9</f>
        <v>101.1720860913572</v>
      </c>
      <c r="M110" s="41">
        <f t="shared" si="14"/>
        <v>101.41998598215815</v>
      </c>
    </row>
    <row r="111" spans="1:13" x14ac:dyDescent="0.35">
      <c r="A111" s="37"/>
      <c r="B111" s="38"/>
      <c r="C111" s="38"/>
      <c r="D111" s="38"/>
      <c r="E111" s="38"/>
      <c r="F111" s="39">
        <f>E114*EXP(10*$F$24)</f>
        <v>6.0688763634325717E-2</v>
      </c>
      <c r="G111" s="39">
        <f>F114*EXP(10*$G$24)</f>
        <v>8.2655475678012486E-2</v>
      </c>
      <c r="K111" s="46"/>
      <c r="L111" s="41">
        <f>MIN($B$10,AVERAGE(M105:M106)/(1+F111+$D$10/10000))+$B$9</f>
        <v>101.05770986666099</v>
      </c>
      <c r="M111" s="41">
        <f t="shared" si="14"/>
        <v>101.36774921583203</v>
      </c>
    </row>
    <row r="112" spans="1:13" x14ac:dyDescent="0.35">
      <c r="A112" s="37"/>
      <c r="B112" s="38"/>
      <c r="C112" s="38"/>
      <c r="D112" s="38"/>
      <c r="E112" s="38"/>
      <c r="F112" s="42">
        <f>(E114+$B$6)*EXP(10*$F$24)</f>
        <v>6.2954547246861559E-2</v>
      </c>
      <c r="G112" s="42">
        <f>(F114+$B$6)*EXP(10*$G$24)</f>
        <v>8.4893932399726799E-2</v>
      </c>
      <c r="K112" s="41">
        <f>MIN($B$10,AVERAGE(L109:L110)/(1+E113+$D$10/10000))+$B$9</f>
        <v>101.92913111726624</v>
      </c>
      <c r="L112" s="41">
        <f>MIN($B$10,AVERAGE(M107:M108)/(1+F112+$D$10/10000))+$B$9</f>
        <v>100.60784507152407</v>
      </c>
      <c r="M112" s="41">
        <f t="shared" si="14"/>
        <v>101.16641003391246</v>
      </c>
    </row>
    <row r="113" spans="1:13" x14ac:dyDescent="0.35">
      <c r="A113" s="37"/>
      <c r="B113" s="38"/>
      <c r="C113" s="38"/>
      <c r="D113" s="38"/>
      <c r="E113" s="39">
        <f>D114*EXP(10*$E$24)</f>
        <v>4.5957199583097415E-2</v>
      </c>
      <c r="F113" s="39">
        <f>E115*EXP(10*$F$24)</f>
        <v>6.419958727320553E-2</v>
      </c>
      <c r="G113" s="39">
        <f>F115*EXP(10*$G$24)</f>
        <v>7.9124583202543119E-2</v>
      </c>
      <c r="K113" s="41">
        <f>MIN($B$10,AVERAGE(L111:L112)/(1+E114+$D$10/10000))+$B$9</f>
        <v>101.17427807657828</v>
      </c>
      <c r="L113" s="41">
        <f>MIN($B$10,AVERAGE(M109:M110)/(1+F113+$D$10/10000))+$B$9</f>
        <v>100.36200738621176</v>
      </c>
      <c r="M113" s="41">
        <f t="shared" si="14"/>
        <v>101.68704550766603</v>
      </c>
    </row>
    <row r="114" spans="1:13" x14ac:dyDescent="0.35">
      <c r="A114" s="37"/>
      <c r="B114" s="38"/>
      <c r="C114" s="38"/>
      <c r="D114" s="39">
        <f>C116*EXP(10*$D$24)</f>
        <v>3.6674457048349873E-2</v>
      </c>
      <c r="E114" s="42">
        <f>(D114+$B$6)*EXP(10*$E$24)</f>
        <v>4.8212801053639093E-2</v>
      </c>
      <c r="F114" s="42">
        <f>(E115+$B$6)*EXP(10*$F$24)</f>
        <v>6.6465370885741379E-2</v>
      </c>
      <c r="G114" s="42">
        <f>(F115+$B$6)*EXP(10*$G$24)</f>
        <v>8.1363039924257419E-2</v>
      </c>
      <c r="J114" s="41">
        <f>MIN($B$10,AVERAGE(K112:K113)/(1+D114+$D$10/10000))+$B$9</f>
        <v>102.95641224987486</v>
      </c>
      <c r="K114" s="41">
        <f>MIN($B$10,AVERAGE(L113:L114)/(1+E115+$D$10/10000))+$B$9</f>
        <v>100.25206064267276</v>
      </c>
      <c r="L114" s="41">
        <f>MIN($B$10,AVERAGE(M111:M112)/(1+F114+$D$10/10000))+$B$9</f>
        <v>99.917077684582068</v>
      </c>
      <c r="M114" s="41">
        <f t="shared" si="14"/>
        <v>101.48437992751234</v>
      </c>
    </row>
    <row r="115" spans="1:13" x14ac:dyDescent="0.35">
      <c r="A115" s="37"/>
      <c r="B115" s="38"/>
      <c r="C115" s="38"/>
      <c r="D115" s="42">
        <f>(C116+$B$6)*EXP(10*$D$24)</f>
        <v>3.8900190861487119E-2</v>
      </c>
      <c r="E115" s="42">
        <f>(D115+$B$6)*EXP(10*$E$24)</f>
        <v>5.1001894643609477E-2</v>
      </c>
      <c r="F115" s="42">
        <f>(E116+$B$6)*EXP(10*$F$24)</f>
        <v>6.3626090414427433E-2</v>
      </c>
      <c r="G115" s="42">
        <f>(F116+$B$6)*EXP(10*$G$24)</f>
        <v>7.8545340725684656E-2</v>
      </c>
      <c r="H115" s="36"/>
      <c r="J115" s="41">
        <f>MIN($B$10,AVERAGE(K114:K115)/(1+D115+$D$10/10000))+$B$9</f>
        <v>101.84572355863882</v>
      </c>
      <c r="K115" s="41">
        <f>MIN($B$10,AVERAGE(L115:L116)/(1+E116+$D$10/10000))+$B$9</f>
        <v>100.99692806353774</v>
      </c>
      <c r="L115" s="41">
        <f>MIN($B$10,AVERAGE(M113:M114)/(1+F115+$D$10/10000))+$B$9</f>
        <v>100.47512697306377</v>
      </c>
      <c r="M115" s="41">
        <f t="shared" si="14"/>
        <v>101.73962685604006</v>
      </c>
    </row>
    <row r="116" spans="1:13" x14ac:dyDescent="0.35">
      <c r="A116" s="37"/>
      <c r="B116" s="38"/>
      <c r="C116" s="42">
        <f>(B117+$B$6)*EXP(10*$C$24)</f>
        <v>2.9659441887159438E-2</v>
      </c>
      <c r="D116" s="38"/>
      <c r="E116" s="39">
        <f>D115*EXP(10*$E$24)</f>
        <v>4.8746293173067799E-2</v>
      </c>
      <c r="F116" s="39">
        <f>E116*EXP(10*$F$24)</f>
        <v>6.1360306801891591E-2</v>
      </c>
      <c r="G116" s="39">
        <f>F116*EXP(10*$G$24)</f>
        <v>7.6306884003970343E-2</v>
      </c>
      <c r="H116" s="47"/>
      <c r="I116" s="41">
        <f>MIN($B$10,AVERAGE(J114:J115)/(1+C116+$D$10/10000))+$B$9</f>
        <v>104.46251166804524</v>
      </c>
      <c r="J116" s="46"/>
      <c r="K116" s="46"/>
      <c r="L116" s="41">
        <f t="array" ref="L116">MIN($B$10,AVERAGE(M115:M116/(1+F116+$D$10/10000))+$B$9)</f>
        <v>100.92404212694845</v>
      </c>
      <c r="M116" s="41">
        <f t="shared" si="14"/>
        <v>101.94336034570736</v>
      </c>
    </row>
    <row r="117" spans="1:13" x14ac:dyDescent="0.35">
      <c r="A117" s="37"/>
      <c r="B117" s="48">
        <f>B99*EXP(10*B98)</f>
        <v>2.2135926222653743E-2</v>
      </c>
      <c r="C117" s="49"/>
      <c r="D117" s="38"/>
      <c r="E117" s="38"/>
      <c r="F117" s="38"/>
      <c r="G117" s="38"/>
      <c r="H117" s="50">
        <f>AVERAGE(I116:I118)/(1+B117+$D$10/10000)</f>
        <v>105.24510579036335</v>
      </c>
      <c r="L117" s="46"/>
      <c r="M117" s="46"/>
    </row>
    <row r="118" spans="1:13" x14ac:dyDescent="0.35">
      <c r="A118" s="37"/>
      <c r="B118" s="38"/>
      <c r="C118" s="51">
        <f>(B117-$B$6)*EXP(10*$C$24)</f>
        <v>2.5198616356509215E-2</v>
      </c>
      <c r="D118" s="38"/>
      <c r="E118" s="39">
        <f>D119*EXP(10*$E$24)</f>
        <v>3.6256072718953286E-2</v>
      </c>
      <c r="F118" s="39">
        <f>E118*EXP(10*$F$24)</f>
        <v>4.5638008567506778E-2</v>
      </c>
      <c r="G118" s="39">
        <f>F118*EXP(10*$G$24)</f>
        <v>5.6754837246439378E-2</v>
      </c>
      <c r="H118" s="52"/>
      <c r="I118" s="41">
        <f>MIN($B$10,AVERAGE(J119:J120)/(1+C118+$D$10/10000))+$B$9</f>
        <v>109.309625</v>
      </c>
      <c r="J118" s="46"/>
      <c r="K118" s="46"/>
      <c r="L118" s="41">
        <f>MIN($B$10,AVERAGE(M118:M119)/(1+F118+$D$10/10000))+$B$9</f>
        <v>104.33320233289942</v>
      </c>
      <c r="M118" s="41">
        <f t="shared" ref="M118:M133" si="15">MIN($B$10,(100+$B$9)/(1+G118+$D$10/10000))+$B$9</f>
        <v>103.75981592996568</v>
      </c>
    </row>
    <row r="119" spans="1:13" x14ac:dyDescent="0.35">
      <c r="A119" s="37"/>
      <c r="B119" s="38"/>
      <c r="C119" s="38"/>
      <c r="D119" s="51">
        <f>(C118-$B$6)*EXP(10*$D$24)</f>
        <v>2.8932828669615926E-2</v>
      </c>
      <c r="E119" s="51">
        <f>(D119-$B$6)*EXP(10*$E$24)</f>
        <v>3.4000471248411615E-2</v>
      </c>
      <c r="F119" s="51">
        <f>(E118-$B$6)*EXP(10*$E$24)</f>
        <v>4.3177315718867668E-2</v>
      </c>
      <c r="G119" s="51">
        <f>(F118-$B$6)*EXP(10*$G$24)</f>
        <v>5.4516380524725065E-2</v>
      </c>
      <c r="H119" s="36"/>
      <c r="J119" s="41">
        <f>MIN($B$10,AVERAGE(K119:K120)/(1+D119+$D$10/10000))+$B$9</f>
        <v>108.39835562099081</v>
      </c>
      <c r="K119" s="41">
        <f>MIN($B$10,AVERAGE(L118:L119)/(1+E118+$D$10/10000))+$B$9</f>
        <v>105.94925312418746</v>
      </c>
      <c r="L119" s="41">
        <f>MIN($B$10,AVERAGE(M120:M121)/(1+F119+$D$10/10000))+$B$9</f>
        <v>104.85124513756101</v>
      </c>
      <c r="M119" s="41">
        <f t="shared" si="15"/>
        <v>103.97210075382688</v>
      </c>
    </row>
    <row r="120" spans="1:13" x14ac:dyDescent="0.35">
      <c r="A120" s="37"/>
      <c r="B120" s="38"/>
      <c r="C120" s="38"/>
      <c r="D120" s="39">
        <f>C118*EXP(10*$D$24)</f>
        <v>3.1158562482753168E-2</v>
      </c>
      <c r="E120" s="51">
        <f>(D120-$B$6)*EXP(10*$E$24)</f>
        <v>3.6789564838382E-2</v>
      </c>
      <c r="F120" s="51">
        <f>(E119-$B$6)*EXP(10*$E$24)</f>
        <v>4.0350794611140023E-2</v>
      </c>
      <c r="G120" s="51">
        <f>(F119-$B$6)*EXP(10*$G$24)</f>
        <v>5.1456294720774752E-2</v>
      </c>
      <c r="H120" s="43"/>
      <c r="J120" s="41">
        <f>MIN($B$10,AVERAGE(K121:K122)/(1+D120+$D$10/10000))+$B$9</f>
        <v>107.20612024646589</v>
      </c>
      <c r="K120" s="41">
        <f>MIN($B$10,AVERAGE(L120:L121)/(1+E119+$D$10/10000))+$B$9</f>
        <v>106.75535779306713</v>
      </c>
      <c r="L120" s="41">
        <f>MIN($B$10,AVERAGE(M122:M123)/(1+F120+$D$10/10000))+$B$9</f>
        <v>105.45138769500032</v>
      </c>
      <c r="M120" s="41">
        <f t="shared" si="15"/>
        <v>104.26377662673296</v>
      </c>
    </row>
    <row r="121" spans="1:13" x14ac:dyDescent="0.35">
      <c r="A121" s="37"/>
      <c r="B121" s="38"/>
      <c r="C121" s="38"/>
      <c r="D121" s="38"/>
      <c r="E121" s="39">
        <f>D120*EXP(10*$E$24)</f>
        <v>3.9045166308923671E-2</v>
      </c>
      <c r="F121" s="39">
        <f>E119*EXP(10*$F$24)</f>
        <v>4.2798728096192853E-2</v>
      </c>
      <c r="G121" s="39">
        <f>F119*EXP(10*$G$24)</f>
        <v>5.3694751442489072E-2</v>
      </c>
      <c r="H121" s="43"/>
      <c r="K121" s="41">
        <f>MIN($B$10,AVERAGE(L122:L123)/(1+E120+$D$10/10000))+$B$9</f>
        <v>105.75988312775381</v>
      </c>
      <c r="L121" s="41">
        <f>MIN($B$10,AVERAGE(M124:M125)/(1+F121+$D$10/10000))+$B$9</f>
        <v>104.93131244877289</v>
      </c>
      <c r="M121" s="41">
        <f t="shared" si="15"/>
        <v>104.05024793829271</v>
      </c>
    </row>
    <row r="122" spans="1:13" x14ac:dyDescent="0.35">
      <c r="A122" s="37"/>
      <c r="B122" s="38"/>
      <c r="C122" s="38"/>
      <c r="D122" s="38"/>
      <c r="E122" s="38"/>
      <c r="F122" s="51">
        <f>(E120-$B$6)*EXP(10*$E$24)</f>
        <v>4.3845841057259777E-2</v>
      </c>
      <c r="G122" s="51">
        <f>(F120-$B$6)*EXP(10*$G$24)</f>
        <v>4.7941269624852352E-2</v>
      </c>
      <c r="H122" s="45"/>
      <c r="I122" s="46"/>
      <c r="J122" s="46"/>
      <c r="K122" s="41">
        <f>MIN($B$10,AVERAGE(L124:L125)/(1+E121+$D$10/10000))+$B$9</f>
        <v>104.96462119398811</v>
      </c>
      <c r="L122" s="41">
        <f>MIN($B$10,AVERAGE(M126:M127)/(1+F122+$D$10/10000))+$B$9</f>
        <v>104.71009690648015</v>
      </c>
      <c r="M122" s="41">
        <f t="shared" si="15"/>
        <v>104.60093095135494</v>
      </c>
    </row>
    <row r="123" spans="1:13" x14ac:dyDescent="0.35">
      <c r="A123" s="37"/>
      <c r="B123" s="38"/>
      <c r="C123" s="38"/>
      <c r="D123" s="38"/>
      <c r="E123" s="38"/>
      <c r="F123" s="39">
        <f>E120*EXP(10*$F$24)</f>
        <v>4.6309551735072667E-2</v>
      </c>
      <c r="G123" s="39">
        <f>F120*EXP(10*$G$24)</f>
        <v>5.0179726346566665E-2</v>
      </c>
      <c r="I123" s="46"/>
      <c r="J123" s="46"/>
      <c r="K123" s="46"/>
      <c r="L123" s="41">
        <f>MIN($B$10,AVERAGE(M128:M129)/(1+F123+$D$10/10000))+$B$9</f>
        <v>104.19253353421566</v>
      </c>
      <c r="M123" s="41">
        <f t="shared" si="15"/>
        <v>104.38595993569194</v>
      </c>
    </row>
    <row r="124" spans="1:13" x14ac:dyDescent="0.35">
      <c r="A124" s="37"/>
      <c r="B124" s="53"/>
      <c r="C124" s="38"/>
      <c r="D124" s="38"/>
      <c r="E124" s="38"/>
      <c r="F124" s="51">
        <f>(E121-$B$6)*EXP(10*$E$24)</f>
        <v>4.6672362164987415E-2</v>
      </c>
      <c r="G124" s="51">
        <f>(F121-$B$6)*EXP(10*$G$24)</f>
        <v>5.0985488049255713E-2</v>
      </c>
      <c r="J124" s="46"/>
      <c r="K124" s="46"/>
      <c r="L124" s="41">
        <f>MIN($B$10,AVERAGE(M130:M131)/(1+F124+$D$10/10000))+$B$9</f>
        <v>104.11666119586017</v>
      </c>
      <c r="M124" s="41">
        <f t="shared" si="15"/>
        <v>104.308803856935</v>
      </c>
    </row>
    <row r="125" spans="1:13" x14ac:dyDescent="0.35">
      <c r="A125" s="37"/>
      <c r="B125" s="38"/>
      <c r="C125" s="38"/>
      <c r="D125" s="38"/>
      <c r="E125" s="38"/>
      <c r="F125" s="39">
        <f>E121*EXP(10*$F$24)</f>
        <v>4.9148832206386592E-2</v>
      </c>
      <c r="G125" s="39">
        <f>F121*EXP(10*$G$24)</f>
        <v>5.3223944770970026E-2</v>
      </c>
      <c r="K125" s="46"/>
      <c r="L125" s="41">
        <f>MIN($B$10,AVERAGE(M132:M133)/(1+F125+$D$10/10000))+$B$9</f>
        <v>103.60111945151256</v>
      </c>
      <c r="M125" s="41">
        <f t="shared" si="15"/>
        <v>104.09508282482848</v>
      </c>
    </row>
    <row r="126" spans="1:13" x14ac:dyDescent="0.35">
      <c r="A126" s="37"/>
      <c r="B126" s="38"/>
      <c r="C126" s="38"/>
      <c r="D126" s="38"/>
      <c r="E126" s="38"/>
      <c r="F126" s="38"/>
      <c r="G126" s="51">
        <f>(F122-$B$6)*EXP(10*$G$24)</f>
        <v>5.2287664185974837E-2</v>
      </c>
      <c r="L126" s="46"/>
      <c r="M126" s="41">
        <f t="shared" si="15"/>
        <v>104.18436473045738</v>
      </c>
    </row>
    <row r="127" spans="1:13" x14ac:dyDescent="0.35">
      <c r="A127" s="37"/>
      <c r="B127" s="38"/>
      <c r="C127" s="38"/>
      <c r="D127" s="38"/>
      <c r="E127" s="38"/>
      <c r="F127" s="38"/>
      <c r="G127" s="39">
        <f>F122*EXP(10*$G$24)</f>
        <v>5.4526120907689157E-2</v>
      </c>
      <c r="M127" s="41">
        <f t="shared" si="15"/>
        <v>103.97117505673319</v>
      </c>
    </row>
    <row r="128" spans="1:13" x14ac:dyDescent="0.35">
      <c r="A128" s="37"/>
      <c r="B128" s="38"/>
      <c r="C128" s="38"/>
      <c r="D128" s="38"/>
      <c r="E128" s="38"/>
      <c r="F128" s="38"/>
      <c r="G128" s="51">
        <f>(F123-$B$6)*EXP(10*$G$24)</f>
        <v>5.5351502923257946E-2</v>
      </c>
      <c r="M128" s="41">
        <f t="shared" si="15"/>
        <v>103.89279565921933</v>
      </c>
    </row>
    <row r="129" spans="1:13" x14ac:dyDescent="0.35">
      <c r="A129" s="37"/>
      <c r="B129" s="38"/>
      <c r="C129" s="38"/>
      <c r="D129" s="38"/>
      <c r="E129" s="38"/>
      <c r="F129" s="38"/>
      <c r="G129" s="39">
        <f>F123*EXP(10*$G$24)</f>
        <v>5.7589959644972259E-2</v>
      </c>
      <c r="H129" s="43"/>
      <c r="M129" s="41">
        <f t="shared" si="15"/>
        <v>103.68084840848385</v>
      </c>
    </row>
    <row r="130" spans="1:13" x14ac:dyDescent="0.35">
      <c r="A130" s="37"/>
      <c r="B130" s="38"/>
      <c r="C130" s="38"/>
      <c r="D130" s="38"/>
      <c r="E130" s="38"/>
      <c r="F130" s="38"/>
      <c r="G130" s="51">
        <f>(F124-$B$6)*EXP(10*$G$24)</f>
        <v>5.5802689281897237E-2</v>
      </c>
      <c r="H130" s="43"/>
      <c r="M130" s="41">
        <f t="shared" si="15"/>
        <v>103.8500025168517</v>
      </c>
    </row>
    <row r="131" spans="1:13" x14ac:dyDescent="0.35">
      <c r="A131" s="37"/>
      <c r="B131" s="38"/>
      <c r="C131" s="38"/>
      <c r="D131" s="38"/>
      <c r="E131" s="38"/>
      <c r="F131" s="38"/>
      <c r="G131" s="39">
        <f>F124*EXP(10*$G$24)</f>
        <v>5.804114600361155E-2</v>
      </c>
      <c r="H131" s="43"/>
      <c r="M131" s="41">
        <f t="shared" si="15"/>
        <v>103.63823730971555</v>
      </c>
    </row>
    <row r="132" spans="1:13" x14ac:dyDescent="0.35">
      <c r="A132" s="37"/>
      <c r="B132" s="38"/>
      <c r="C132" s="38"/>
      <c r="D132" s="38"/>
      <c r="E132" s="38"/>
      <c r="F132" s="38"/>
      <c r="G132" s="51">
        <f>(F125-$B$6)*EXP(10*$G$24)</f>
        <v>5.8882395398727298E-2</v>
      </c>
      <c r="H132" s="43"/>
      <c r="M132" s="41">
        <f t="shared" si="15"/>
        <v>103.55888531867333</v>
      </c>
    </row>
    <row r="133" spans="1:13" x14ac:dyDescent="0.35">
      <c r="A133" s="37"/>
      <c r="B133" s="38"/>
      <c r="C133" s="38"/>
      <c r="D133" s="38"/>
      <c r="E133" s="38"/>
      <c r="F133" s="38"/>
      <c r="G133" s="39">
        <f>F125*EXP(10*$G$24)</f>
        <v>6.1120852120441611E-2</v>
      </c>
      <c r="H133" s="43"/>
      <c r="M133" s="41">
        <f t="shared" si="15"/>
        <v>103.34835646333448</v>
      </c>
    </row>
    <row r="134" spans="1:13" x14ac:dyDescent="0.35">
      <c r="A134" s="29" t="s">
        <v>21</v>
      </c>
      <c r="B134" s="30">
        <v>1</v>
      </c>
      <c r="C134" s="30">
        <v>2</v>
      </c>
      <c r="D134" s="30">
        <v>3</v>
      </c>
      <c r="E134" s="30">
        <v>4</v>
      </c>
      <c r="F134" s="30">
        <v>5</v>
      </c>
      <c r="G134" s="30">
        <v>6</v>
      </c>
    </row>
    <row r="135" spans="1:13" x14ac:dyDescent="0.35">
      <c r="A135" s="31" t="s">
        <v>24</v>
      </c>
      <c r="B135" s="32">
        <f t="shared" ref="B135:G135" si="16">B25</f>
        <v>1.8497688388793291E-2</v>
      </c>
      <c r="C135" s="32">
        <f t="shared" si="16"/>
        <v>1.9794447051989593E-2</v>
      </c>
      <c r="D135" s="32">
        <f t="shared" si="16"/>
        <v>2.0295229443631862E-2</v>
      </c>
      <c r="E135" s="32">
        <f t="shared" si="16"/>
        <v>2.1090263119540681E-2</v>
      </c>
      <c r="F135" s="32">
        <f t="shared" si="16"/>
        <v>2.2188585075751732E-2</v>
      </c>
      <c r="G135" s="32">
        <f t="shared" si="16"/>
        <v>2.459310580917427E-2</v>
      </c>
    </row>
    <row r="136" spans="1:13" x14ac:dyDescent="0.35">
      <c r="A136" s="31" t="s">
        <v>5</v>
      </c>
      <c r="B136" s="35">
        <f t="shared" ref="B136:G136" si="17">1/(1+B135)^B134</f>
        <v>0.98183826178530109</v>
      </c>
      <c r="C136" s="35">
        <f t="shared" si="17"/>
        <v>0.96155629264013387</v>
      </c>
      <c r="D136" s="35">
        <f t="shared" si="17"/>
        <v>0.94150456886855582</v>
      </c>
      <c r="E136" s="35">
        <f t="shared" si="17"/>
        <v>0.91990601899356206</v>
      </c>
      <c r="F136" s="35">
        <f t="shared" si="17"/>
        <v>0.89607604194507495</v>
      </c>
      <c r="G136" s="35">
        <f t="shared" si="17"/>
        <v>0.86435355819509996</v>
      </c>
      <c r="H136" s="45"/>
      <c r="I136" s="46"/>
      <c r="J136" s="46"/>
      <c r="K136" s="46"/>
      <c r="L136" s="46"/>
      <c r="M136" s="46"/>
    </row>
    <row r="137" spans="1:13" x14ac:dyDescent="0.35">
      <c r="A137" s="59" t="s">
        <v>30</v>
      </c>
      <c r="B137" s="51">
        <f>$B$6+0.001</f>
        <v>2.8E-3</v>
      </c>
      <c r="C137" s="38"/>
      <c r="D137" s="38"/>
      <c r="E137" s="38"/>
      <c r="F137" s="38"/>
      <c r="G137" s="39">
        <f>F145*EXP(10*$G$24)</f>
        <v>7.6708739518901961E-2</v>
      </c>
      <c r="H137" s="40" t="s">
        <v>26</v>
      </c>
      <c r="M137" s="41">
        <f>MIN($B$10,((100+$B$9)/(1+G137+$D$10/10000)))+$B$9</f>
        <v>101.90672263358525</v>
      </c>
    </row>
    <row r="138" spans="1:13" x14ac:dyDescent="0.35">
      <c r="A138" s="60"/>
      <c r="B138" s="38"/>
      <c r="C138" s="38"/>
      <c r="D138" s="38"/>
      <c r="E138" s="38"/>
      <c r="F138" s="38"/>
      <c r="G138" s="42">
        <f>(F145+$B$6)*EXP(10*$G$24)</f>
        <v>7.8947196240616274E-2</v>
      </c>
      <c r="H138" s="43"/>
      <c r="M138" s="41">
        <f t="shared" ref="M138:M152" si="18">MIN($B$10,(100+$B$9)/(1+G138+$D$10/10000))+$B$9</f>
        <v>101.70314196272385</v>
      </c>
    </row>
    <row r="139" spans="1:13" x14ac:dyDescent="0.35">
      <c r="A139" s="60"/>
      <c r="B139" s="38"/>
      <c r="C139" s="38"/>
      <c r="D139" s="38"/>
      <c r="E139" s="38"/>
      <c r="F139" s="38"/>
      <c r="G139" s="39">
        <f>F146*EXP(10*$G$24)</f>
        <v>7.9526438717474737E-2</v>
      </c>
      <c r="H139" s="43"/>
      <c r="M139" s="41">
        <f t="shared" si="18"/>
        <v>101.65060000335333</v>
      </c>
    </row>
    <row r="140" spans="1:13" x14ac:dyDescent="0.35">
      <c r="A140" s="60"/>
      <c r="B140" s="38"/>
      <c r="C140" s="38"/>
      <c r="D140" s="38"/>
      <c r="E140" s="38"/>
      <c r="F140" s="38"/>
      <c r="G140" s="42">
        <f>(F146+$B$6)*EXP(10*$G$24)</f>
        <v>8.176489543918905E-2</v>
      </c>
      <c r="H140" s="43"/>
      <c r="M140" s="41">
        <f t="shared" si="18"/>
        <v>101.44808604225975</v>
      </c>
    </row>
    <row r="141" spans="1:13" x14ac:dyDescent="0.35">
      <c r="A141" s="60"/>
      <c r="B141" s="38"/>
      <c r="C141" s="38"/>
      <c r="D141" s="38"/>
      <c r="E141" s="38"/>
      <c r="F141" s="38"/>
      <c r="G141" s="39">
        <f>F147*EXP(10*$G$24)</f>
        <v>8.0239631994371299E-2</v>
      </c>
      <c r="H141" s="43"/>
      <c r="M141" s="41">
        <f t="shared" si="18"/>
        <v>101.58598549916005</v>
      </c>
    </row>
    <row r="142" spans="1:13" x14ac:dyDescent="0.35">
      <c r="A142" s="60"/>
      <c r="B142" s="38"/>
      <c r="C142" s="38"/>
      <c r="D142" s="38"/>
      <c r="E142" s="38"/>
      <c r="F142" s="38"/>
      <c r="G142" s="42">
        <f>(F147+$B$6)*EXP(10*$G$24)</f>
        <v>8.2478088716085612E-2</v>
      </c>
      <c r="H142" s="43"/>
      <c r="M142" s="41">
        <f t="shared" si="18"/>
        <v>101.38374020544936</v>
      </c>
    </row>
    <row r="143" spans="1:13" x14ac:dyDescent="0.35">
      <c r="A143" s="4"/>
      <c r="B143" s="38"/>
      <c r="C143" s="38"/>
      <c r="D143" s="38"/>
      <c r="E143" s="38"/>
      <c r="F143" s="38"/>
      <c r="G143" s="39">
        <f>F148*EXP(10*$G$24)</f>
        <v>8.3057331192944089E-2</v>
      </c>
      <c r="H143" s="43"/>
      <c r="M143" s="41">
        <f t="shared" si="18"/>
        <v>101.33154244164101</v>
      </c>
    </row>
    <row r="144" spans="1:13" x14ac:dyDescent="0.35">
      <c r="A144" s="4"/>
      <c r="B144" s="38"/>
      <c r="C144" s="44"/>
      <c r="D144" s="38"/>
      <c r="E144" s="38"/>
      <c r="F144" s="38"/>
      <c r="G144" s="42">
        <f>(F148+$B$6)*EXP(10*$G$24)</f>
        <v>8.5295787914658389E-2</v>
      </c>
      <c r="H144" s="45"/>
      <c r="I144" s="46"/>
      <c r="J144" s="46"/>
      <c r="K144" s="46"/>
      <c r="L144" s="46"/>
      <c r="M144" s="41">
        <f t="shared" si="18"/>
        <v>101.13035339302898</v>
      </c>
    </row>
    <row r="145" spans="1:13" x14ac:dyDescent="0.35">
      <c r="A145" s="4"/>
      <c r="B145" s="38"/>
      <c r="C145" s="38"/>
      <c r="D145" s="38"/>
      <c r="E145" s="38"/>
      <c r="F145" s="39">
        <f>E149*EXP(10*$F$24)</f>
        <v>6.1683449045322122E-2</v>
      </c>
      <c r="G145" s="39">
        <f>F149*EXP(10*$G$24)</f>
        <v>8.703121068726366E-2</v>
      </c>
      <c r="I145" s="46"/>
      <c r="J145" s="46"/>
      <c r="K145" s="46"/>
      <c r="L145" s="41">
        <f>MIN($B$10,AVERAGE(M137:M138)/(1+F145+$D$10/10000))+$B$9</f>
        <v>100.85982276352772</v>
      </c>
      <c r="M145" s="41">
        <f t="shared" si="18"/>
        <v>100.97494992430292</v>
      </c>
    </row>
    <row r="146" spans="1:13" x14ac:dyDescent="0.35">
      <c r="A146" s="61"/>
      <c r="B146" s="38"/>
      <c r="C146" s="38"/>
      <c r="D146" s="38"/>
      <c r="E146" s="38"/>
      <c r="F146" s="42">
        <f>(E149+$B$6)*EXP(10*$F$24)</f>
        <v>6.3949232657857971E-2</v>
      </c>
      <c r="G146" s="42">
        <f>(F149+$B$6)*EXP(10*$G$24)</f>
        <v>8.926966740897796E-2</v>
      </c>
      <c r="J146" s="46"/>
      <c r="K146" s="46"/>
      <c r="L146" s="41">
        <f>MIN($B$10,AVERAGE(M139:M140)/(1+F146+$D$10/10000))+$B$9</f>
        <v>100.4113636113746</v>
      </c>
      <c r="M146" s="41">
        <f t="shared" si="18"/>
        <v>100.77523652013137</v>
      </c>
    </row>
    <row r="147" spans="1:13" x14ac:dyDescent="0.35">
      <c r="A147" s="61"/>
      <c r="B147" s="38"/>
      <c r="C147" s="38"/>
      <c r="D147" s="38"/>
      <c r="E147" s="38"/>
      <c r="F147" s="39">
        <f>E150*EXP(10*$F$24)</f>
        <v>6.452272951663604E-2</v>
      </c>
      <c r="G147" s="39">
        <f>F150*EXP(10*$G$24)</f>
        <v>8.9848909885836437E-2</v>
      </c>
      <c r="K147" s="46"/>
      <c r="L147" s="41">
        <f>MIN($B$10,AVERAGE(M141:M142)/(1+F147+$D$10/10000))+$B$9</f>
        <v>100.29835875386077</v>
      </c>
      <c r="M147" s="41">
        <f t="shared" si="18"/>
        <v>100.72369136711291</v>
      </c>
    </row>
    <row r="148" spans="1:13" x14ac:dyDescent="0.35">
      <c r="A148" s="61"/>
      <c r="B148" s="38"/>
      <c r="C148" s="38"/>
      <c r="D148" s="38"/>
      <c r="E148" s="38"/>
      <c r="F148" s="42">
        <f>(E150+$B$6)*EXP(10*$F$24)</f>
        <v>6.6788513129171889E-2</v>
      </c>
      <c r="G148" s="42">
        <f>(F150+$B$6)*EXP(10*$G$24)</f>
        <v>9.208736660755075E-2</v>
      </c>
      <c r="K148" s="41">
        <f>MIN($B$10,AVERAGE(L145:L146)/(1+E149+$D$10/10000))+$B$9</f>
        <v>100.91174919965728</v>
      </c>
      <c r="L148" s="41">
        <f>MIN($B$10,AVERAGE(M143:M144)/(1+F148+$D$10/10000))+$B$9</f>
        <v>99.853879625203575</v>
      </c>
      <c r="M148" s="41">
        <f t="shared" si="18"/>
        <v>100.52501446120739</v>
      </c>
    </row>
    <row r="149" spans="1:13" x14ac:dyDescent="0.35">
      <c r="A149" s="61"/>
      <c r="B149" s="38"/>
      <c r="C149" s="38"/>
      <c r="D149" s="38"/>
      <c r="E149" s="39">
        <f>D150*EXP(10*$E$24)</f>
        <v>4.9003006142018954E-2</v>
      </c>
      <c r="F149" s="39">
        <f>E151*EXP(10*$F$24)</f>
        <v>6.9984010732671298E-2</v>
      </c>
      <c r="G149" s="39">
        <f>F151*EXP(10*$G$24)</f>
        <v>8.6318017410367071E-2</v>
      </c>
      <c r="K149" s="41">
        <f>MIN($B$10,AVERAGE(L147:L148)/(1+E150+$D$10/10000))+$B$9</f>
        <v>100.1677924231726</v>
      </c>
      <c r="L149" s="41">
        <f>MIN($B$10,AVERAGE(M145:M146)/(1+F149+$D$10/10000))+$B$9</f>
        <v>99.232352048014633</v>
      </c>
      <c r="M149" s="41">
        <f t="shared" si="18"/>
        <v>101.03875442471085</v>
      </c>
    </row>
    <row r="150" spans="1:13" x14ac:dyDescent="0.35">
      <c r="A150" s="61"/>
      <c r="B150" s="38"/>
      <c r="C150" s="38"/>
      <c r="D150" s="39">
        <f>C152*EXP(10*$D$24)</f>
        <v>3.9105051228066463E-2</v>
      </c>
      <c r="E150" s="42">
        <f>(D150+$B$6)*EXP(10*$E$24)</f>
        <v>5.1258607612560625E-2</v>
      </c>
      <c r="F150" s="42">
        <f>(E151+$B$6)*EXP(10*$F$24)</f>
        <v>7.2249794345207147E-2</v>
      </c>
      <c r="G150" s="42">
        <f>(F151+$B$6)*EXP(10*$G$24)</f>
        <v>8.8556474132081384E-2</v>
      </c>
      <c r="J150" s="41">
        <f>MIN($B$10,AVERAGE(K148:K149)/(1+D150+$D$10/10000))+$B$9</f>
        <v>101.74433348520056</v>
      </c>
      <c r="K150" s="41">
        <f>MIN($B$10,AVERAGE(L149:L150)/(1+E151+$D$10/10000))+$B$9</f>
        <v>98.759045017645917</v>
      </c>
      <c r="L150" s="41">
        <f>MIN($B$10,AVERAGE(M147:M148)/(1+F150+$D$10/10000))+$B$9</f>
        <v>98.795396002942041</v>
      </c>
      <c r="M150" s="41">
        <f t="shared" si="18"/>
        <v>100.83877738411613</v>
      </c>
    </row>
    <row r="151" spans="1:13" x14ac:dyDescent="0.35">
      <c r="A151" s="61"/>
      <c r="B151" s="38"/>
      <c r="C151" s="38"/>
      <c r="D151" s="42">
        <f>(C152+$B$137)*EXP(10*$D$24)</f>
        <v>4.2567303826279948E-2</v>
      </c>
      <c r="E151" s="42">
        <f>(D151+$B$6)*EXP(10*$E$24)</f>
        <v>5.5597197641403438E-2</v>
      </c>
      <c r="F151" s="42">
        <f>(E152+$B$6)*EXP(10*$F$24)</f>
        <v>6.9410513873893215E-2</v>
      </c>
      <c r="G151" s="42">
        <f>(F152+$B$6)*EXP(10*$G$24)</f>
        <v>8.5738774933508607E-2</v>
      </c>
      <c r="H151" s="36"/>
      <c r="J151" s="41">
        <f>MIN($B$10,AVERAGE(K150:K151)/(1+D151+$D$10/10000))+$B$9</f>
        <v>100.05184818290101</v>
      </c>
      <c r="K151" s="41">
        <f>MIN($B$10,AVERAGE(L151:L152)/(1+E152+$D$10/10000))+$B$9</f>
        <v>99.487822997791241</v>
      </c>
      <c r="L151" s="41">
        <f>MIN($B$10,AVERAGE(M149:M150)/(1+F151+$D$10/10000))+$B$9</f>
        <v>99.343441339190647</v>
      </c>
      <c r="M151" s="41">
        <f t="shared" si="18"/>
        <v>101.09063732800736</v>
      </c>
    </row>
    <row r="152" spans="1:13" x14ac:dyDescent="0.35">
      <c r="A152" s="61"/>
      <c r="B152" s="38"/>
      <c r="C152" s="42">
        <f>(B153+$B$137)*EXP(10*$C$24)</f>
        <v>3.1625116981668186E-2</v>
      </c>
      <c r="D152" s="38"/>
      <c r="E152" s="39">
        <f>D151*EXP(10*$E$24)</f>
        <v>5.334159617086176E-2</v>
      </c>
      <c r="F152" s="39">
        <f>E152*EXP(10*$F$24)</f>
        <v>6.7144730261357366E-2</v>
      </c>
      <c r="G152" s="39">
        <f>F152*EXP(10*$G$24)</f>
        <v>8.3500318211794294E-2</v>
      </c>
      <c r="H152" s="47"/>
      <c r="I152" s="41">
        <f>MIN($B$10,AVERAGE(J150:J151)/(1+C152+$D$10/10000))+$B$9</f>
        <v>102.80438261824203</v>
      </c>
      <c r="J152" s="46"/>
      <c r="K152" s="46"/>
      <c r="L152" s="41">
        <f t="array" ref="L152">MIN($B$10,AVERAGE(M151:M152/(1+F152+$D$10/10000))+$B$9)</f>
        <v>99.784287048188958</v>
      </c>
      <c r="M152" s="41">
        <f t="shared" si="18"/>
        <v>101.29166107107781</v>
      </c>
    </row>
    <row r="153" spans="1:13" x14ac:dyDescent="0.35">
      <c r="A153" s="61"/>
      <c r="B153" s="48">
        <f>B135*EXP(10*B24)</f>
        <v>2.2722276168781318E-2</v>
      </c>
      <c r="C153" s="49"/>
      <c r="D153" s="38"/>
      <c r="E153" s="38"/>
      <c r="F153" s="38"/>
      <c r="G153" s="38"/>
      <c r="H153" s="50">
        <f>AVERAGE(I152:I154)/(1+B153+$D$10/10000)</f>
        <v>104.36851247726433</v>
      </c>
      <c r="L153" s="46"/>
      <c r="M153" s="46"/>
    </row>
    <row r="154" spans="1:13" x14ac:dyDescent="0.35">
      <c r="A154" s="61"/>
      <c r="B154" s="38"/>
      <c r="C154" s="51">
        <f>(B153-$B$137)*EXP(10*$C$24)</f>
        <v>2.4686055045101171E-2</v>
      </c>
      <c r="D154" s="38"/>
      <c r="E154" s="39">
        <f>D155*EXP(10*$E$24)</f>
        <v>3.3912364353350308E-2</v>
      </c>
      <c r="F154" s="39">
        <f>E154*EXP(10*$F$24)</f>
        <v>4.2687821896758786E-2</v>
      </c>
      <c r="G154" s="39">
        <f>F154*EXP(10*$G$24)</f>
        <v>5.3086023255635037E-2</v>
      </c>
      <c r="H154" s="52"/>
      <c r="I154" s="41">
        <f>MIN($B$10,AVERAGE(J155:J156)/(1+C154+$D$10/10000))+$B$9</f>
        <v>109.309625</v>
      </c>
      <c r="J154" s="46"/>
      <c r="K154" s="46"/>
      <c r="L154" s="41">
        <f>MIN($B$10,AVERAGE(M154:M155)/(1+F154+$D$10/10000))+$B$9</f>
        <v>105.01228892608991</v>
      </c>
      <c r="M154" s="41">
        <f t="shared" ref="M154:M169" si="19">MIN($B$10,(100+$B$9)/(1+G154+$D$10/10000))+$B$9</f>
        <v>104.10822472075627</v>
      </c>
    </row>
    <row r="155" spans="1:13" x14ac:dyDescent="0.35">
      <c r="A155" s="61"/>
      <c r="B155" s="38"/>
      <c r="C155" s="38"/>
      <c r="D155" s="51">
        <f>(C154-$B$137)*EXP(10*$D$24)</f>
        <v>2.7062518194480321E-2</v>
      </c>
      <c r="E155" s="51">
        <f>(D155-$B$137)*EXP(10*$E$24)</f>
        <v>3.0403650954729931E-2</v>
      </c>
      <c r="F155" s="51">
        <f>(E154-$B$137)*EXP(10*$E$24)</f>
        <v>3.8987274881914016E-2</v>
      </c>
      <c r="G155" s="51">
        <f>(F154-$B$137)*EXP(10*$G$24)</f>
        <v>4.960397946630167E-2</v>
      </c>
      <c r="H155" s="36"/>
      <c r="J155" s="41">
        <f>MIN($B$10,AVERAGE(K155:K156)/(1+D155+$D$10/10000))+$B$9</f>
        <v>109.309625</v>
      </c>
      <c r="K155" s="41">
        <f>MIN($B$10,AVERAGE(L154:L155)/(1+E154+$D$10/10000))+$B$9</f>
        <v>106.97373623755998</v>
      </c>
      <c r="L155" s="41">
        <f>MIN($B$10,AVERAGE(M156:M157)/(1+F155+$D$10/10000))+$B$9</f>
        <v>105.80108055022919</v>
      </c>
      <c r="M155" s="41">
        <f t="shared" si="19"/>
        <v>104.44116385999018</v>
      </c>
    </row>
    <row r="156" spans="1:13" x14ac:dyDescent="0.35">
      <c r="A156" s="61"/>
      <c r="B156" s="38"/>
      <c r="C156" s="38"/>
      <c r="D156" s="39">
        <f>C154*EXP(10*$D$24)</f>
        <v>3.0524770792693806E-2</v>
      </c>
      <c r="E156" s="51">
        <f>(D156-$B$137)*EXP(10*$E$24)</f>
        <v>3.4742240983572738E-2</v>
      </c>
      <c r="F156" s="51">
        <f>(E155-$B$137)*EXP(10*$E$24)</f>
        <v>3.4590464269893248E-2</v>
      </c>
      <c r="G156" s="51">
        <f>(F155-$B$137)*EXP(10*$G$24)</f>
        <v>4.5002027055524391E-2</v>
      </c>
      <c r="H156" s="43"/>
      <c r="J156" s="41">
        <f>MIN($B$10,AVERAGE(K157:K158)/(1+D156+$D$10/10000))+$B$9</f>
        <v>107.94215222500846</v>
      </c>
      <c r="K156" s="41">
        <f>MIN($B$10,AVERAGE(L156:L157)/(1+E155+$D$10/10000))+$B$9</f>
        <v>108.24933219295015</v>
      </c>
      <c r="L156" s="41">
        <f>MIN($B$10,AVERAGE(M158:M159)/(1+F156+$D$10/10000))+$B$9</f>
        <v>106.75063740875159</v>
      </c>
      <c r="M156" s="41">
        <f t="shared" si="19"/>
        <v>104.88460958429383</v>
      </c>
    </row>
    <row r="157" spans="1:13" x14ac:dyDescent="0.35">
      <c r="A157" s="61"/>
      <c r="B157" s="38"/>
      <c r="C157" s="38"/>
      <c r="D157" s="38"/>
      <c r="E157" s="39">
        <f>D156*EXP(10*$E$24)</f>
        <v>3.8250954382193121E-2</v>
      </c>
      <c r="F157" s="39">
        <f>E155*EXP(10*$F$24)</f>
        <v>3.8271163385826014E-2</v>
      </c>
      <c r="G157" s="39">
        <f>F155*EXP(10*$G$24)</f>
        <v>4.8484070844857757E-2</v>
      </c>
      <c r="H157" s="43"/>
      <c r="K157" s="41">
        <f>MIN($B$10,AVERAGE(L158:L159)/(1+E156+$D$10/10000))+$B$9</f>
        <v>106.67521541245377</v>
      </c>
      <c r="L157" s="41">
        <f>MIN($B$10,AVERAGE(M160:M161)/(1+F157+$D$10/10000))+$B$9</f>
        <v>105.95481512993732</v>
      </c>
      <c r="M157" s="41">
        <f t="shared" si="19"/>
        <v>104.54871800287057</v>
      </c>
    </row>
    <row r="158" spans="1:13" x14ac:dyDescent="0.35">
      <c r="A158" s="61"/>
      <c r="B158" s="38"/>
      <c r="C158" s="38"/>
      <c r="D158" s="38"/>
      <c r="E158" s="38"/>
      <c r="F158" s="51">
        <f>(E156-$B$137)*EXP(10*$E$24)</f>
        <v>4.002720318607951E-2</v>
      </c>
      <c r="G158" s="51">
        <f>(F156-$B$137)*EXP(10*$G$24)</f>
        <v>3.9534210239645109E-2</v>
      </c>
      <c r="H158" s="45"/>
      <c r="I158" s="46"/>
      <c r="J158" s="46"/>
      <c r="K158" s="41">
        <f>MIN($B$10,AVERAGE(L160:L161)/(1+E157+$D$10/10000))+$B$9</f>
        <v>105.42630691654915</v>
      </c>
      <c r="L158" s="41">
        <f>MIN($B$10,AVERAGE(M162:M163)/(1+F158+$D$10/10000))+$B$9</f>
        <v>105.57846174454345</v>
      </c>
      <c r="M158" s="41">
        <f t="shared" si="19"/>
        <v>105.41662642775145</v>
      </c>
    </row>
    <row r="159" spans="1:13" x14ac:dyDescent="0.35">
      <c r="A159" s="61"/>
      <c r="B159" s="38"/>
      <c r="C159" s="38"/>
      <c r="D159" s="38"/>
      <c r="E159" s="38"/>
      <c r="F159" s="39">
        <f>E156*EXP(10*$F$24)</f>
        <v>4.3732444601861258E-2</v>
      </c>
      <c r="G159" s="39">
        <f>F156*EXP(10*$G$24)</f>
        <v>4.3016254028978476E-2</v>
      </c>
      <c r="I159" s="46"/>
      <c r="J159" s="46"/>
      <c r="K159" s="46"/>
      <c r="L159" s="41">
        <f>MIN($B$10,AVERAGE(M164:M165)/(1+F159+$D$10/10000))+$B$9</f>
        <v>104.79131920878476</v>
      </c>
      <c r="M159" s="41">
        <f t="shared" si="19"/>
        <v>105.07717556150088</v>
      </c>
    </row>
    <row r="160" spans="1:13" x14ac:dyDescent="0.35">
      <c r="A160" s="61"/>
      <c r="B160" s="53"/>
      <c r="C160" s="38"/>
      <c r="D160" s="38"/>
      <c r="E160" s="38"/>
      <c r="F160" s="51">
        <f>(E157-$B$137)*EXP(10*$E$24)</f>
        <v>4.4424013798100292E-2</v>
      </c>
      <c r="G160" s="51">
        <f>(F157-$B$137)*EXP(10*$G$24)</f>
        <v>4.4111480060016015E-2</v>
      </c>
      <c r="J160" s="46"/>
      <c r="K160" s="46"/>
      <c r="L160" s="41">
        <f>MIN($B$10,AVERAGE(M166:M167)/(1+F160+$D$10/10000))+$B$9</f>
        <v>104.64543903777869</v>
      </c>
      <c r="M160" s="41">
        <f t="shared" si="19"/>
        <v>104.97087726508001</v>
      </c>
    </row>
    <row r="161" spans="1:13" x14ac:dyDescent="0.35">
      <c r="A161" s="61"/>
      <c r="B161" s="38"/>
      <c r="C161" s="38"/>
      <c r="D161" s="38"/>
      <c r="E161" s="38"/>
      <c r="F161" s="39">
        <f>E157*EXP(10*$F$24)</f>
        <v>4.8149103112794037E-2</v>
      </c>
      <c r="G161" s="39">
        <f>F157*EXP(10*$G$24)</f>
        <v>4.7593523849349381E-2</v>
      </c>
      <c r="K161" s="46"/>
      <c r="L161" s="41">
        <f>MIN($B$10,AVERAGE(M168:M169)/(1+F161+$D$10/10000))+$B$9</f>
        <v>103.86521129743664</v>
      </c>
      <c r="M161" s="41">
        <f t="shared" si="19"/>
        <v>104.63440980793776</v>
      </c>
    </row>
    <row r="162" spans="1:13" x14ac:dyDescent="0.35">
      <c r="A162" s="61"/>
      <c r="B162" s="38"/>
      <c r="C162" s="38"/>
      <c r="D162" s="38"/>
      <c r="E162" s="38"/>
      <c r="F162" s="38"/>
      <c r="G162" s="51">
        <f>(F158-$B$137)*EXP(10*$G$24)</f>
        <v>4.6295268445835619E-2</v>
      </c>
      <c r="L162" s="46"/>
      <c r="M162" s="41">
        <f t="shared" si="19"/>
        <v>104.75959583850481</v>
      </c>
    </row>
    <row r="163" spans="1:13" x14ac:dyDescent="0.35">
      <c r="A163" s="61"/>
      <c r="B163" s="38"/>
      <c r="C163" s="38"/>
      <c r="D163" s="38"/>
      <c r="E163" s="38"/>
      <c r="F163" s="38"/>
      <c r="G163" s="39">
        <f>F158*EXP(10*$G$24)</f>
        <v>4.9777312235168993E-2</v>
      </c>
      <c r="M163" s="41">
        <f t="shared" si="19"/>
        <v>104.42453790791764</v>
      </c>
    </row>
    <row r="164" spans="1:13" x14ac:dyDescent="0.35">
      <c r="A164" s="61"/>
      <c r="B164" s="38"/>
      <c r="C164" s="38"/>
      <c r="D164" s="38"/>
      <c r="E164" s="38"/>
      <c r="F164" s="38"/>
      <c r="G164" s="51">
        <f>(F159-$B$137)*EXP(10*$G$24)</f>
        <v>5.0903058752908348E-2</v>
      </c>
      <c r="M164" s="41">
        <f t="shared" si="19"/>
        <v>104.31669144494141</v>
      </c>
    </row>
    <row r="165" spans="1:13" x14ac:dyDescent="0.35">
      <c r="A165" s="61"/>
      <c r="B165" s="38"/>
      <c r="C165" s="38"/>
      <c r="D165" s="38"/>
      <c r="E165" s="38"/>
      <c r="F165" s="38"/>
      <c r="G165" s="39">
        <f>F159*EXP(10*$G$24)</f>
        <v>5.4385102542241714E-2</v>
      </c>
      <c r="H165" s="43"/>
      <c r="M165" s="41">
        <f t="shared" si="19"/>
        <v>103.9845787027886</v>
      </c>
    </row>
    <row r="166" spans="1:13" x14ac:dyDescent="0.35">
      <c r="A166" s="61"/>
      <c r="B166" s="38"/>
      <c r="C166" s="38"/>
      <c r="D166" s="38"/>
      <c r="E166" s="38"/>
      <c r="F166" s="38"/>
      <c r="G166" s="51">
        <f>(F160-$B$137)*EXP(10*$G$24)</f>
        <v>5.1763085261714921E-2</v>
      </c>
      <c r="H166" s="43"/>
      <c r="M166" s="41">
        <f t="shared" si="19"/>
        <v>104.23445747688406</v>
      </c>
    </row>
    <row r="167" spans="1:13" x14ac:dyDescent="0.35">
      <c r="A167" s="61"/>
      <c r="B167" s="38"/>
      <c r="C167" s="38"/>
      <c r="D167" s="38"/>
      <c r="E167" s="38"/>
      <c r="F167" s="38"/>
      <c r="G167" s="39">
        <f>F160*EXP(10*$G$24)</f>
        <v>5.5245129051048288E-2</v>
      </c>
      <c r="H167" s="43"/>
      <c r="M167" s="41">
        <f t="shared" si="19"/>
        <v>103.90289014093236</v>
      </c>
    </row>
    <row r="168" spans="1:13" x14ac:dyDescent="0.35">
      <c r="A168" s="61"/>
      <c r="B168" s="38"/>
      <c r="C168" s="38"/>
      <c r="D168" s="38"/>
      <c r="E168" s="38"/>
      <c r="F168" s="38"/>
      <c r="G168" s="51">
        <f>(F161-$B$137)*EXP(10*$G$24)</f>
        <v>5.6395558159194011E-2</v>
      </c>
      <c r="H168" s="43"/>
      <c r="M168" s="41">
        <f t="shared" si="19"/>
        <v>103.79382729981492</v>
      </c>
    </row>
    <row r="169" spans="1:13" x14ac:dyDescent="0.35">
      <c r="A169" s="61"/>
      <c r="B169" s="38"/>
      <c r="C169" s="38"/>
      <c r="D169" s="38"/>
      <c r="E169" s="38"/>
      <c r="F169" s="38"/>
      <c r="G169" s="39">
        <f>F161*EXP(10*$G$24)</f>
        <v>5.9877601948527384E-2</v>
      </c>
      <c r="H169" s="43"/>
      <c r="M169" s="41">
        <f t="shared" si="19"/>
        <v>103.46517477696558</v>
      </c>
    </row>
  </sheetData>
  <hyperlinks>
    <hyperlink ref="E10" r:id="rId1" display="DV01@10BP" xr:uid="{79041F59-1C55-40F5-BF89-73583C2369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HJM_6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HJM Far Forward Rate for CBOT CTD Baskets</dc:title>
  <dc:creator>Thomas Madison Glimp</dc:creator>
  <cp:keywords>Finance, Futures, Forwards, CTD Basket, CBOT</cp:keywords>
  <cp:lastModifiedBy>Thomas Madison Glimp</cp:lastModifiedBy>
  <dcterms:created xsi:type="dcterms:W3CDTF">2025-11-15T18:35:04Z</dcterms:created>
  <dcterms:modified xsi:type="dcterms:W3CDTF">2025-11-16T06:36:42Z</dcterms:modified>
  <cp:category>Financial Models</cp:category>
</cp:coreProperties>
</file>