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b241ff32dfa2842/Desktop/"/>
    </mc:Choice>
  </mc:AlternateContent>
  <xr:revisionPtr revIDLastSave="5141" documentId="8_{458E77EB-200A-4C61-ABC8-6FF3C8B94725}" xr6:coauthVersionLast="47" xr6:coauthVersionMax="47" xr10:uidLastSave="{66DBD3A7-58D5-4B57-9491-91FD9CEE4096}"/>
  <bookViews>
    <workbookView xWindow="-110" yWindow="-110" windowWidth="22780" windowHeight="14540" xr2:uid="{00000000-000D-0000-FFFF-FFFF00000000}"/>
  </bookViews>
  <sheets>
    <sheet name="HJM_exp" sheetId="4" r:id="rId1"/>
    <sheet name="HJM_10y" sheetId="5" r:id="rId2"/>
  </sheets>
  <definedNames>
    <definedName name="solver_adj" localSheetId="0" hidden="1">HJM_exp!$B$9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4" l="1"/>
  <c r="B133" i="4"/>
  <c r="G21" i="4" l="1"/>
  <c r="F21" i="4"/>
  <c r="F57" i="4" s="1"/>
  <c r="F58" i="4" s="1"/>
  <c r="F59" i="4" s="1"/>
  <c r="E21" i="4"/>
  <c r="F13" i="4" s="1"/>
  <c r="D21" i="4"/>
  <c r="D13" i="4" s="1"/>
  <c r="C21" i="4"/>
  <c r="C13" i="4" s="1"/>
  <c r="B21" i="4"/>
  <c r="B13" i="4" s="1"/>
  <c r="K14" i="5"/>
  <c r="J14" i="5"/>
  <c r="I14" i="5"/>
  <c r="H14" i="5"/>
  <c r="G14" i="5"/>
  <c r="F14" i="5"/>
  <c r="E14" i="5"/>
  <c r="D14" i="5"/>
  <c r="C14" i="5"/>
  <c r="B14" i="5"/>
  <c r="B160" i="5"/>
  <c r="K433" i="5"/>
  <c r="J433" i="5"/>
  <c r="I433" i="5"/>
  <c r="H433" i="5"/>
  <c r="K396" i="5"/>
  <c r="J396" i="5"/>
  <c r="I396" i="5"/>
  <c r="H396" i="5"/>
  <c r="G13" i="4" l="1"/>
  <c r="G11" i="4" s="1"/>
  <c r="C57" i="4"/>
  <c r="C58" i="4" s="1"/>
  <c r="C59" i="4" s="1"/>
  <c r="D57" i="4"/>
  <c r="D58" i="4" s="1"/>
  <c r="D59" i="4" s="1"/>
  <c r="E57" i="4"/>
  <c r="E58" i="4" s="1"/>
  <c r="E59" i="4" s="1"/>
  <c r="C94" i="4"/>
  <c r="C95" i="4" s="1"/>
  <c r="C96" i="4" s="1"/>
  <c r="D94" i="4"/>
  <c r="D95" i="4" s="1"/>
  <c r="D96" i="4" s="1"/>
  <c r="E94" i="4"/>
  <c r="E95" i="4" s="1"/>
  <c r="E96" i="4" s="1"/>
  <c r="B57" i="4"/>
  <c r="B58" i="4" s="1"/>
  <c r="B76" i="4" s="1"/>
  <c r="B94" i="4"/>
  <c r="B95" i="4" s="1"/>
  <c r="B113" i="4" s="1"/>
  <c r="F94" i="4"/>
  <c r="F95" i="4" s="1"/>
  <c r="F96" i="4" s="1"/>
  <c r="G94" i="4"/>
  <c r="G95" i="4" s="1"/>
  <c r="G57" i="4"/>
  <c r="G58" i="4" s="1"/>
  <c r="B14" i="4"/>
  <c r="B15" i="4" s="1"/>
  <c r="E13" i="4"/>
  <c r="C159" i="5"/>
  <c r="C161" i="5"/>
  <c r="C75" i="4" l="1"/>
  <c r="C77" i="4"/>
  <c r="C112" i="4"/>
  <c r="C114" i="4"/>
  <c r="F11" i="4"/>
  <c r="E11" i="4"/>
  <c r="G59" i="4"/>
  <c r="G96" i="4"/>
  <c r="B96" i="4"/>
  <c r="B59" i="4"/>
  <c r="C11" i="4"/>
  <c r="B11" i="4"/>
  <c r="D11" i="4"/>
  <c r="D163" i="5"/>
  <c r="D162" i="5"/>
  <c r="D157" i="5"/>
  <c r="D158" i="5"/>
  <c r="D115" i="4" l="1"/>
  <c r="D116" i="4"/>
  <c r="D74" i="4"/>
  <c r="D73" i="4"/>
  <c r="D111" i="4"/>
  <c r="D110" i="4"/>
  <c r="D79" i="4"/>
  <c r="D78" i="4"/>
  <c r="E158" i="5"/>
  <c r="E159" i="5"/>
  <c r="E156" i="5"/>
  <c r="E157" i="5"/>
  <c r="E162" i="5"/>
  <c r="E161" i="5"/>
  <c r="E164" i="5"/>
  <c r="E163" i="5"/>
  <c r="E110" i="4" l="1"/>
  <c r="E109" i="4"/>
  <c r="E117" i="4"/>
  <c r="E116" i="4"/>
  <c r="E78" i="4"/>
  <c r="E77" i="4"/>
  <c r="E79" i="4"/>
  <c r="E80" i="4"/>
  <c r="E111" i="4"/>
  <c r="E112" i="4"/>
  <c r="E72" i="4"/>
  <c r="E73" i="4"/>
  <c r="E75" i="4"/>
  <c r="E74" i="4"/>
  <c r="E114" i="4"/>
  <c r="E115" i="4"/>
  <c r="F154" i="5"/>
  <c r="F155" i="5"/>
  <c r="F166" i="5"/>
  <c r="F165" i="5"/>
  <c r="F168" i="5"/>
  <c r="F167" i="5"/>
  <c r="F162" i="5"/>
  <c r="F161" i="5"/>
  <c r="F164" i="5"/>
  <c r="F163" i="5"/>
  <c r="F153" i="5"/>
  <c r="F152" i="5"/>
  <c r="F159" i="5"/>
  <c r="F158" i="5"/>
  <c r="F157" i="5"/>
  <c r="F156" i="5"/>
  <c r="G433" i="5"/>
  <c r="F433" i="5"/>
  <c r="E433" i="5"/>
  <c r="D433" i="5"/>
  <c r="C433" i="5"/>
  <c r="B433" i="5"/>
  <c r="G396" i="5"/>
  <c r="F396" i="5"/>
  <c r="E396" i="5"/>
  <c r="D396" i="5"/>
  <c r="C396" i="5"/>
  <c r="B396" i="5"/>
  <c r="F397" i="5"/>
  <c r="F398" i="5" s="1"/>
  <c r="E15" i="5"/>
  <c r="B8" i="5"/>
  <c r="F131" i="4"/>
  <c r="F132" i="4" s="1"/>
  <c r="B8" i="4"/>
  <c r="F117" i="4" l="1"/>
  <c r="F116" i="4"/>
  <c r="F84" i="4"/>
  <c r="F83" i="4"/>
  <c r="F111" i="4"/>
  <c r="F112" i="4"/>
  <c r="F107" i="4"/>
  <c r="F108" i="4"/>
  <c r="F114" i="4"/>
  <c r="F115" i="4"/>
  <c r="F80" i="4"/>
  <c r="F79" i="4"/>
  <c r="F106" i="4"/>
  <c r="F105" i="4"/>
  <c r="F110" i="4"/>
  <c r="F109" i="4"/>
  <c r="F82" i="4"/>
  <c r="F81" i="4"/>
  <c r="F73" i="4"/>
  <c r="F72" i="4"/>
  <c r="F78" i="4"/>
  <c r="F77" i="4"/>
  <c r="F74" i="4"/>
  <c r="F75" i="4"/>
  <c r="F71" i="4"/>
  <c r="F70" i="4"/>
  <c r="F119" i="4"/>
  <c r="F118" i="4"/>
  <c r="F68" i="4"/>
  <c r="F69" i="4"/>
  <c r="F120" i="4"/>
  <c r="F121" i="4"/>
  <c r="M24" i="4"/>
  <c r="M34" i="4"/>
  <c r="M26" i="4"/>
  <c r="M40" i="4"/>
  <c r="M46" i="4"/>
  <c r="M54" i="4"/>
  <c r="M44" i="4"/>
  <c r="M38" i="4"/>
  <c r="M42" i="4"/>
  <c r="M52" i="4"/>
  <c r="M32" i="4"/>
  <c r="M30" i="4"/>
  <c r="M50" i="4"/>
  <c r="M28" i="4"/>
  <c r="M48" i="4"/>
  <c r="M36" i="4"/>
  <c r="M87" i="4"/>
  <c r="M65" i="4"/>
  <c r="M110" i="4"/>
  <c r="M120" i="4"/>
  <c r="M102" i="4"/>
  <c r="M126" i="4"/>
  <c r="M71" i="4"/>
  <c r="M63" i="4"/>
  <c r="M124" i="4"/>
  <c r="M118" i="4"/>
  <c r="M77" i="4"/>
  <c r="M85" i="4"/>
  <c r="M108" i="4"/>
  <c r="M116" i="4"/>
  <c r="M61" i="4"/>
  <c r="M69" i="4"/>
  <c r="M114" i="4"/>
  <c r="M122" i="4"/>
  <c r="M91" i="4"/>
  <c r="M98" i="4"/>
  <c r="M106" i="4"/>
  <c r="M75" i="4"/>
  <c r="M81" i="4"/>
  <c r="M128" i="4"/>
  <c r="M89" i="4"/>
  <c r="M112" i="4"/>
  <c r="M73" i="4"/>
  <c r="M100" i="4"/>
  <c r="M83" i="4"/>
  <c r="M104" i="4"/>
  <c r="M79" i="4"/>
  <c r="M67" i="4"/>
  <c r="Q155" i="5"/>
  <c r="P161" i="5" s="1"/>
  <c r="Q173" i="5"/>
  <c r="Q145" i="5"/>
  <c r="Q163" i="5"/>
  <c r="Q147" i="5"/>
  <c r="Q157" i="5"/>
  <c r="Q175" i="5"/>
  <c r="Q161" i="5"/>
  <c r="Q165" i="5"/>
  <c r="Q167" i="5"/>
  <c r="Q151" i="5"/>
  <c r="Q169" i="5"/>
  <c r="Q153" i="5"/>
  <c r="P159" i="5" s="1"/>
  <c r="Q171" i="5"/>
  <c r="Q149" i="5"/>
  <c r="P156" i="5" s="1"/>
  <c r="O157" i="5" s="1"/>
  <c r="Q159" i="5"/>
  <c r="G164" i="5"/>
  <c r="G163" i="5"/>
  <c r="G159" i="5"/>
  <c r="G158" i="5"/>
  <c r="G173" i="5"/>
  <c r="G174" i="5"/>
  <c r="G175" i="5"/>
  <c r="G176" i="5"/>
  <c r="G170" i="5"/>
  <c r="G169" i="5"/>
  <c r="G172" i="5"/>
  <c r="G171" i="5"/>
  <c r="G153" i="5"/>
  <c r="G152" i="5"/>
  <c r="G166" i="5"/>
  <c r="G165" i="5"/>
  <c r="G151" i="5"/>
  <c r="G150" i="5"/>
  <c r="G162" i="5"/>
  <c r="G161" i="5"/>
  <c r="G157" i="5"/>
  <c r="G156" i="5"/>
  <c r="G144" i="5"/>
  <c r="H128" i="5" s="1"/>
  <c r="G145" i="5"/>
  <c r="H129" i="5" s="1"/>
  <c r="G146" i="5"/>
  <c r="G147" i="5"/>
  <c r="G155" i="5"/>
  <c r="G154" i="5"/>
  <c r="G168" i="5"/>
  <c r="G167" i="5"/>
  <c r="G149" i="5"/>
  <c r="G148" i="5"/>
  <c r="B22" i="4"/>
  <c r="B39" i="4"/>
  <c r="H397" i="5"/>
  <c r="H398" i="5" s="1"/>
  <c r="H434" i="5"/>
  <c r="H435" i="5" s="1"/>
  <c r="H323" i="5"/>
  <c r="H324" i="5" s="1"/>
  <c r="H15" i="5"/>
  <c r="H360" i="5"/>
  <c r="H361" i="5" s="1"/>
  <c r="I434" i="5"/>
  <c r="I435" i="5" s="1"/>
  <c r="I360" i="5"/>
  <c r="I361" i="5" s="1"/>
  <c r="I397" i="5"/>
  <c r="I398" i="5" s="1"/>
  <c r="I15" i="5"/>
  <c r="I323" i="5"/>
  <c r="I324" i="5" s="1"/>
  <c r="J323" i="5"/>
  <c r="J324" i="5" s="1"/>
  <c r="J397" i="5"/>
  <c r="J398" i="5" s="1"/>
  <c r="J15" i="5"/>
  <c r="J434" i="5"/>
  <c r="J435" i="5" s="1"/>
  <c r="J360" i="5"/>
  <c r="J361" i="5" s="1"/>
  <c r="K397" i="5"/>
  <c r="K398" i="5" s="1"/>
  <c r="K15" i="5"/>
  <c r="K434" i="5"/>
  <c r="K435" i="5" s="1"/>
  <c r="K360" i="5"/>
  <c r="K361" i="5" s="1"/>
  <c r="K323" i="5"/>
  <c r="K324" i="5" s="1"/>
  <c r="B397" i="5"/>
  <c r="B415" i="5" s="1"/>
  <c r="C416" i="5" s="1"/>
  <c r="I7" i="5"/>
  <c r="I8" i="5" s="1"/>
  <c r="B15" i="5"/>
  <c r="M6" i="5"/>
  <c r="N6" i="5"/>
  <c r="B323" i="5"/>
  <c r="B341" i="5" s="1"/>
  <c r="C340" i="5" s="1"/>
  <c r="D339" i="5" s="1"/>
  <c r="G15" i="5"/>
  <c r="G360" i="5"/>
  <c r="M383" i="5" s="1"/>
  <c r="I6" i="5"/>
  <c r="B434" i="5"/>
  <c r="B452" i="5" s="1"/>
  <c r="C453" i="5" s="1"/>
  <c r="D454" i="5" s="1"/>
  <c r="B360" i="5"/>
  <c r="F15" i="5"/>
  <c r="M7" i="5" s="1"/>
  <c r="M8" i="5" s="1"/>
  <c r="F360" i="5"/>
  <c r="F361" i="5" s="1"/>
  <c r="C434" i="5"/>
  <c r="C435" i="5" s="1"/>
  <c r="C15" i="5"/>
  <c r="J6" i="5"/>
  <c r="C397" i="5"/>
  <c r="C398" i="5" s="1"/>
  <c r="C360" i="5"/>
  <c r="C361" i="5" s="1"/>
  <c r="C323" i="5"/>
  <c r="C324" i="5" s="1"/>
  <c r="D15" i="5"/>
  <c r="L7" i="5" s="1"/>
  <c r="L8" i="5" s="1"/>
  <c r="K6" i="5"/>
  <c r="D434" i="5"/>
  <c r="D435" i="5" s="1"/>
  <c r="D323" i="5"/>
  <c r="D324" i="5" s="1"/>
  <c r="D397" i="5"/>
  <c r="D398" i="5" s="1"/>
  <c r="D360" i="5"/>
  <c r="D361" i="5" s="1"/>
  <c r="E434" i="5"/>
  <c r="E435" i="5" s="1"/>
  <c r="E323" i="5"/>
  <c r="E324" i="5" s="1"/>
  <c r="E397" i="5"/>
  <c r="E398" i="5" s="1"/>
  <c r="E360" i="5"/>
  <c r="E361" i="5" s="1"/>
  <c r="L6" i="5"/>
  <c r="F434" i="5"/>
  <c r="F435" i="5" s="1"/>
  <c r="G397" i="5"/>
  <c r="F323" i="5"/>
  <c r="F324" i="5" s="1"/>
  <c r="G434" i="5"/>
  <c r="G323" i="5"/>
  <c r="D131" i="4"/>
  <c r="D132" i="4" s="1"/>
  <c r="C22" i="4"/>
  <c r="F22" i="4"/>
  <c r="E131" i="4"/>
  <c r="E132" i="4" s="1"/>
  <c r="E22" i="4"/>
  <c r="G22" i="4"/>
  <c r="G131" i="4"/>
  <c r="B131" i="4"/>
  <c r="B149" i="4" s="1"/>
  <c r="D22" i="4"/>
  <c r="C131" i="4"/>
  <c r="C132" i="4" s="1"/>
  <c r="G85" i="4" l="1"/>
  <c r="G86" i="4"/>
  <c r="C150" i="4"/>
  <c r="C148" i="4"/>
  <c r="G67" i="4"/>
  <c r="G66" i="4"/>
  <c r="G87" i="4"/>
  <c r="G88" i="4"/>
  <c r="G115" i="4"/>
  <c r="G114" i="4"/>
  <c r="G128" i="4"/>
  <c r="G129" i="4"/>
  <c r="G75" i="4"/>
  <c r="G74" i="4"/>
  <c r="G106" i="4"/>
  <c r="G105" i="4"/>
  <c r="G104" i="4"/>
  <c r="G103" i="4"/>
  <c r="G73" i="4"/>
  <c r="G72" i="4"/>
  <c r="G111" i="4"/>
  <c r="G112" i="4"/>
  <c r="G126" i="4"/>
  <c r="G127" i="4"/>
  <c r="G107" i="4"/>
  <c r="G108" i="4"/>
  <c r="G62" i="4"/>
  <c r="G63" i="4"/>
  <c r="G77" i="4"/>
  <c r="G78" i="4"/>
  <c r="G98" i="4"/>
  <c r="G97" i="4"/>
  <c r="G61" i="4"/>
  <c r="G60" i="4"/>
  <c r="G79" i="4"/>
  <c r="G80" i="4"/>
  <c r="G100" i="4"/>
  <c r="G99" i="4"/>
  <c r="G110" i="4"/>
  <c r="G109" i="4"/>
  <c r="G102" i="4"/>
  <c r="G101" i="4"/>
  <c r="G123" i="4"/>
  <c r="G122" i="4"/>
  <c r="G68" i="4"/>
  <c r="G69" i="4"/>
  <c r="G81" i="4"/>
  <c r="G82" i="4"/>
  <c r="G89" i="4"/>
  <c r="G90" i="4"/>
  <c r="G124" i="4"/>
  <c r="G125" i="4"/>
  <c r="G70" i="4"/>
  <c r="G71" i="4"/>
  <c r="G84" i="4"/>
  <c r="G83" i="4"/>
  <c r="G92" i="4"/>
  <c r="G91" i="4"/>
  <c r="G119" i="4"/>
  <c r="G118" i="4"/>
  <c r="G64" i="4"/>
  <c r="G65" i="4"/>
  <c r="G116" i="4"/>
  <c r="G117" i="4"/>
  <c r="G120" i="4"/>
  <c r="G121" i="4"/>
  <c r="L68" i="4"/>
  <c r="L105" i="4"/>
  <c r="L112" i="4"/>
  <c r="L82" i="4"/>
  <c r="L107" i="4"/>
  <c r="L75" i="4"/>
  <c r="L109" i="4"/>
  <c r="L84" i="4"/>
  <c r="L70" i="4"/>
  <c r="L114" i="4"/>
  <c r="L117" i="4"/>
  <c r="L80" i="4"/>
  <c r="L121" i="4"/>
  <c r="L72" i="4"/>
  <c r="L77" i="4"/>
  <c r="M150" i="4"/>
  <c r="M134" i="4"/>
  <c r="M164" i="4"/>
  <c r="M148" i="4"/>
  <c r="M162" i="4"/>
  <c r="M146" i="4"/>
  <c r="M160" i="4"/>
  <c r="M144" i="4"/>
  <c r="M158" i="4"/>
  <c r="M142" i="4"/>
  <c r="M156" i="4"/>
  <c r="M140" i="4"/>
  <c r="M154" i="4"/>
  <c r="M152" i="4"/>
  <c r="M138" i="4"/>
  <c r="M136" i="4"/>
  <c r="G132" i="4"/>
  <c r="L119" i="4"/>
  <c r="B132" i="4"/>
  <c r="F14" i="4"/>
  <c r="D14" i="4"/>
  <c r="E14" i="4"/>
  <c r="C14" i="4"/>
  <c r="G14" i="4"/>
  <c r="P154" i="5"/>
  <c r="P164" i="5"/>
  <c r="P166" i="5"/>
  <c r="P168" i="5"/>
  <c r="P152" i="5"/>
  <c r="O155" i="5" s="1"/>
  <c r="O163" i="5"/>
  <c r="H156" i="5"/>
  <c r="H157" i="5"/>
  <c r="H158" i="5"/>
  <c r="N158" i="5" s="1"/>
  <c r="M159" i="5" s="1"/>
  <c r="H159" i="5"/>
  <c r="C414" i="5"/>
  <c r="D413" i="5" s="1"/>
  <c r="B398" i="5"/>
  <c r="D338" i="5"/>
  <c r="E338" i="5" s="1"/>
  <c r="N7" i="5"/>
  <c r="N8" i="5" s="1"/>
  <c r="N9" i="5" s="1"/>
  <c r="M9" i="5" s="1"/>
  <c r="L9" i="5" s="1"/>
  <c r="C451" i="5"/>
  <c r="D450" i="5" s="1"/>
  <c r="E450" i="5" s="1"/>
  <c r="F448" i="5" s="1"/>
  <c r="B324" i="5"/>
  <c r="D455" i="5"/>
  <c r="E455" i="5" s="1"/>
  <c r="C342" i="5"/>
  <c r="D343" i="5" s="1"/>
  <c r="M391" i="5"/>
  <c r="M393" i="5"/>
  <c r="G361" i="5"/>
  <c r="M389" i="5"/>
  <c r="M387" i="5"/>
  <c r="M377" i="5"/>
  <c r="M379" i="5"/>
  <c r="M373" i="5"/>
  <c r="M371" i="5"/>
  <c r="M369" i="5"/>
  <c r="M375" i="5"/>
  <c r="M385" i="5"/>
  <c r="M363" i="5"/>
  <c r="M381" i="5"/>
  <c r="M365" i="5"/>
  <c r="M367" i="5"/>
  <c r="B435" i="5"/>
  <c r="B361" i="5"/>
  <c r="B378" i="5"/>
  <c r="H6" i="5"/>
  <c r="G6" i="5" s="1"/>
  <c r="M453" i="5"/>
  <c r="G435" i="5"/>
  <c r="M467" i="5"/>
  <c r="M451" i="5"/>
  <c r="M461" i="5"/>
  <c r="M439" i="5"/>
  <c r="M465" i="5"/>
  <c r="M463" i="5"/>
  <c r="M441" i="5"/>
  <c r="M445" i="5"/>
  <c r="M459" i="5"/>
  <c r="M455" i="5"/>
  <c r="M437" i="5"/>
  <c r="M449" i="5"/>
  <c r="M457" i="5"/>
  <c r="M447" i="5"/>
  <c r="M443" i="5"/>
  <c r="M408" i="5"/>
  <c r="M426" i="5"/>
  <c r="M422" i="5"/>
  <c r="M410" i="5"/>
  <c r="M404" i="5"/>
  <c r="M416" i="5"/>
  <c r="M424" i="5"/>
  <c r="M420" i="5"/>
  <c r="M414" i="5"/>
  <c r="M400" i="5"/>
  <c r="M430" i="5"/>
  <c r="M412" i="5"/>
  <c r="M406" i="5"/>
  <c r="G398" i="5"/>
  <c r="M402" i="5"/>
  <c r="M428" i="5"/>
  <c r="M418" i="5"/>
  <c r="K7" i="5"/>
  <c r="K8" i="5" s="1"/>
  <c r="J7" i="5"/>
  <c r="J8" i="5" s="1"/>
  <c r="E339" i="5"/>
  <c r="E340" i="5"/>
  <c r="D417" i="5"/>
  <c r="D418" i="5"/>
  <c r="M342" i="5"/>
  <c r="G324" i="5"/>
  <c r="M356" i="5"/>
  <c r="M340" i="5"/>
  <c r="M352" i="5"/>
  <c r="M344" i="5"/>
  <c r="M338" i="5"/>
  <c r="M336" i="5"/>
  <c r="M326" i="5"/>
  <c r="M350" i="5"/>
  <c r="M332" i="5"/>
  <c r="M346" i="5"/>
  <c r="M348" i="5"/>
  <c r="M328" i="5"/>
  <c r="M354" i="5"/>
  <c r="M334" i="5"/>
  <c r="M330" i="5"/>
  <c r="E454" i="5"/>
  <c r="E453" i="5"/>
  <c r="C40" i="4"/>
  <c r="D41" i="4" s="1"/>
  <c r="E41" i="4" s="1"/>
  <c r="C38" i="4"/>
  <c r="D37" i="4" s="1"/>
  <c r="G6" i="4"/>
  <c r="D147" i="4" l="1"/>
  <c r="D146" i="4"/>
  <c r="D151" i="4"/>
  <c r="D152" i="4"/>
  <c r="K73" i="4"/>
  <c r="K71" i="4"/>
  <c r="K108" i="4"/>
  <c r="K110" i="4"/>
  <c r="K118" i="4"/>
  <c r="K81" i="4"/>
  <c r="K79" i="4"/>
  <c r="K116" i="4"/>
  <c r="O165" i="5"/>
  <c r="N162" i="5" s="1"/>
  <c r="M161" i="5" s="1"/>
  <c r="L160" i="5" s="1"/>
  <c r="L159" i="5" s="1"/>
  <c r="D412" i="5"/>
  <c r="E411" i="5" s="1"/>
  <c r="E337" i="5"/>
  <c r="F334" i="5" s="1"/>
  <c r="D449" i="5"/>
  <c r="E449" i="5" s="1"/>
  <c r="F447" i="5" s="1"/>
  <c r="F449" i="5"/>
  <c r="G447" i="5" s="1"/>
  <c r="E451" i="5"/>
  <c r="F450" i="5" s="1"/>
  <c r="G449" i="5" s="1"/>
  <c r="D344" i="5"/>
  <c r="E345" i="5" s="1"/>
  <c r="E456" i="5"/>
  <c r="F459" i="5" s="1"/>
  <c r="K9" i="5"/>
  <c r="J9" i="5" s="1"/>
  <c r="I9" i="5" s="1"/>
  <c r="G9" i="5" s="1"/>
  <c r="C377" i="5"/>
  <c r="C379" i="5"/>
  <c r="E417" i="5"/>
  <c r="E416" i="5"/>
  <c r="F454" i="5"/>
  <c r="F453" i="5"/>
  <c r="G444" i="5"/>
  <c r="L448" i="5"/>
  <c r="G445" i="5"/>
  <c r="E419" i="5"/>
  <c r="E418" i="5"/>
  <c r="F455" i="5"/>
  <c r="F456" i="5"/>
  <c r="F336" i="5"/>
  <c r="F335" i="5"/>
  <c r="E343" i="5"/>
  <c r="E342" i="5"/>
  <c r="F339" i="5"/>
  <c r="F340" i="5"/>
  <c r="F338" i="5"/>
  <c r="F337" i="5"/>
  <c r="F457" i="5"/>
  <c r="F458" i="5"/>
  <c r="E414" i="5"/>
  <c r="E413" i="5"/>
  <c r="D36" i="4"/>
  <c r="D42" i="4"/>
  <c r="E152" i="4" l="1"/>
  <c r="E153" i="4"/>
  <c r="E151" i="4"/>
  <c r="E150" i="4"/>
  <c r="E148" i="4"/>
  <c r="E147" i="4"/>
  <c r="E146" i="4"/>
  <c r="E145" i="4"/>
  <c r="J74" i="4"/>
  <c r="I75" i="4" s="1"/>
  <c r="J111" i="4"/>
  <c r="I112" i="4" s="1"/>
  <c r="J115" i="4"/>
  <c r="I114" i="4" s="1"/>
  <c r="J78" i="4"/>
  <c r="I77" i="4" s="1"/>
  <c r="E412" i="5"/>
  <c r="F409" i="5" s="1"/>
  <c r="E344" i="5"/>
  <c r="F346" i="5" s="1"/>
  <c r="F451" i="5"/>
  <c r="G451" i="5" s="1"/>
  <c r="G448" i="5"/>
  <c r="F333" i="5"/>
  <c r="L333" i="5" s="1"/>
  <c r="F446" i="5"/>
  <c r="G441" i="5" s="1"/>
  <c r="E448" i="5"/>
  <c r="F445" i="5" s="1"/>
  <c r="G438" i="5" s="1"/>
  <c r="G446" i="5"/>
  <c r="F460" i="5"/>
  <c r="G467" i="5" s="1"/>
  <c r="D381" i="5"/>
  <c r="D380" i="5"/>
  <c r="D375" i="5"/>
  <c r="D376" i="5"/>
  <c r="F348" i="5"/>
  <c r="F349" i="5"/>
  <c r="G462" i="5"/>
  <c r="G461" i="5"/>
  <c r="F413" i="5"/>
  <c r="F414" i="5"/>
  <c r="G333" i="5"/>
  <c r="G334" i="5"/>
  <c r="L337" i="5"/>
  <c r="G442" i="5"/>
  <c r="G443" i="5"/>
  <c r="G338" i="5"/>
  <c r="G337" i="5"/>
  <c r="G456" i="5"/>
  <c r="G455" i="5"/>
  <c r="F407" i="5"/>
  <c r="F408" i="5"/>
  <c r="F344" i="5"/>
  <c r="F345" i="5"/>
  <c r="G459" i="5"/>
  <c r="L456" i="5"/>
  <c r="G460" i="5"/>
  <c r="F420" i="5"/>
  <c r="F421" i="5"/>
  <c r="F412" i="5"/>
  <c r="F411" i="5"/>
  <c r="G466" i="5"/>
  <c r="G465" i="5"/>
  <c r="G339" i="5"/>
  <c r="L340" i="5"/>
  <c r="G340" i="5"/>
  <c r="L453" i="5"/>
  <c r="G453" i="5"/>
  <c r="G454" i="5"/>
  <c r="G336" i="5"/>
  <c r="G335" i="5"/>
  <c r="G330" i="5"/>
  <c r="G329" i="5"/>
  <c r="L335" i="5"/>
  <c r="F343" i="5"/>
  <c r="F342" i="5"/>
  <c r="G332" i="5"/>
  <c r="G331" i="5"/>
  <c r="G457" i="5"/>
  <c r="G458" i="5"/>
  <c r="F423" i="5"/>
  <c r="F422" i="5"/>
  <c r="G327" i="5"/>
  <c r="G328" i="5"/>
  <c r="F417" i="5"/>
  <c r="F416" i="5"/>
  <c r="G463" i="5"/>
  <c r="L458" i="5"/>
  <c r="G464" i="5"/>
  <c r="F418" i="5"/>
  <c r="F419" i="5"/>
  <c r="E43" i="4"/>
  <c r="E42" i="4"/>
  <c r="E40" i="4"/>
  <c r="E37" i="4"/>
  <c r="E38" i="4"/>
  <c r="E36" i="4"/>
  <c r="E35" i="4"/>
  <c r="F154" i="4" l="1"/>
  <c r="F155" i="4"/>
  <c r="F142" i="4"/>
  <c r="F141" i="4"/>
  <c r="F144" i="4"/>
  <c r="F143" i="4"/>
  <c r="F145" i="4"/>
  <c r="F146" i="4"/>
  <c r="F148" i="4"/>
  <c r="F147" i="4"/>
  <c r="F156" i="4"/>
  <c r="F157" i="4"/>
  <c r="F151" i="4"/>
  <c r="F150" i="4"/>
  <c r="F152" i="4"/>
  <c r="F153" i="4"/>
  <c r="F410" i="5"/>
  <c r="G405" i="5" s="1"/>
  <c r="F347" i="5"/>
  <c r="G352" i="5" s="1"/>
  <c r="G450" i="5"/>
  <c r="L451" i="5"/>
  <c r="K449" i="5" s="1"/>
  <c r="G325" i="5"/>
  <c r="G326" i="5"/>
  <c r="G439" i="5"/>
  <c r="L446" i="5"/>
  <c r="G440" i="5"/>
  <c r="F444" i="5"/>
  <c r="G468" i="5"/>
  <c r="L460" i="5"/>
  <c r="K457" i="5" s="1"/>
  <c r="E377" i="5"/>
  <c r="E376" i="5"/>
  <c r="E375" i="5"/>
  <c r="E374" i="5"/>
  <c r="K455" i="5"/>
  <c r="K338" i="5"/>
  <c r="E379" i="5"/>
  <c r="E380" i="5"/>
  <c r="E382" i="5"/>
  <c r="E381" i="5"/>
  <c r="G424" i="5"/>
  <c r="G425" i="5"/>
  <c r="L409" i="5"/>
  <c r="G404" i="5"/>
  <c r="G403" i="5"/>
  <c r="G351" i="5"/>
  <c r="G350" i="5"/>
  <c r="G417" i="5"/>
  <c r="L416" i="5"/>
  <c r="G416" i="5"/>
  <c r="G408" i="5"/>
  <c r="G407" i="5"/>
  <c r="L411" i="5"/>
  <c r="G347" i="5"/>
  <c r="G346" i="5"/>
  <c r="L414" i="5"/>
  <c r="G414" i="5"/>
  <c r="G413" i="5"/>
  <c r="G357" i="5"/>
  <c r="G356" i="5"/>
  <c r="L349" i="5"/>
  <c r="G422" i="5"/>
  <c r="L419" i="5"/>
  <c r="G423" i="5"/>
  <c r="G420" i="5"/>
  <c r="G421" i="5"/>
  <c r="L342" i="5"/>
  <c r="G343" i="5"/>
  <c r="G342" i="5"/>
  <c r="G410" i="5"/>
  <c r="G409" i="5"/>
  <c r="G412" i="5"/>
  <c r="G411" i="5"/>
  <c r="G400" i="5"/>
  <c r="G399" i="5"/>
  <c r="L407" i="5"/>
  <c r="G431" i="5"/>
  <c r="L423" i="5"/>
  <c r="G430" i="5"/>
  <c r="G348" i="5"/>
  <c r="L345" i="5"/>
  <c r="G349" i="5"/>
  <c r="G418" i="5"/>
  <c r="G419" i="5"/>
  <c r="K336" i="5"/>
  <c r="G429" i="5"/>
  <c r="G428" i="5"/>
  <c r="G344" i="5"/>
  <c r="G345" i="5"/>
  <c r="G427" i="5"/>
  <c r="G426" i="5"/>
  <c r="L421" i="5"/>
  <c r="G401" i="5"/>
  <c r="G402" i="5"/>
  <c r="G355" i="5"/>
  <c r="G354" i="5"/>
  <c r="F40" i="4"/>
  <c r="L40" i="4" s="1"/>
  <c r="F41" i="4"/>
  <c r="F32" i="4"/>
  <c r="F31" i="4"/>
  <c r="L31" i="4" s="1"/>
  <c r="F34" i="4"/>
  <c r="F33" i="4"/>
  <c r="L33" i="4" s="1"/>
  <c r="F37" i="4"/>
  <c r="F38" i="4"/>
  <c r="L38" i="4" s="1"/>
  <c r="F35" i="4"/>
  <c r="L35" i="4" s="1"/>
  <c r="F36" i="4"/>
  <c r="F42" i="4"/>
  <c r="F43" i="4"/>
  <c r="L43" i="4" s="1"/>
  <c r="F45" i="4"/>
  <c r="F44" i="4"/>
  <c r="F47" i="4"/>
  <c r="L47" i="4" s="1"/>
  <c r="F46" i="4"/>
  <c r="G145" i="4" l="1"/>
  <c r="G146" i="4"/>
  <c r="G160" i="4"/>
  <c r="G161" i="4"/>
  <c r="G148" i="4"/>
  <c r="G147" i="4"/>
  <c r="G158" i="4"/>
  <c r="G159" i="4"/>
  <c r="G156" i="4"/>
  <c r="G157" i="4"/>
  <c r="G143" i="4"/>
  <c r="G144" i="4"/>
  <c r="G141" i="4"/>
  <c r="G142" i="4"/>
  <c r="G151" i="4"/>
  <c r="G150" i="4"/>
  <c r="G152" i="4"/>
  <c r="G153" i="4"/>
  <c r="G139" i="4"/>
  <c r="G140" i="4"/>
  <c r="G154" i="4"/>
  <c r="G155" i="4"/>
  <c r="G137" i="4"/>
  <c r="G138" i="4"/>
  <c r="G164" i="4"/>
  <c r="G165" i="4"/>
  <c r="G134" i="4"/>
  <c r="G133" i="4"/>
  <c r="L45" i="4"/>
  <c r="K44" i="4" s="1"/>
  <c r="G50" i="4"/>
  <c r="G162" i="4"/>
  <c r="G163" i="4"/>
  <c r="G136" i="4"/>
  <c r="G135" i="4"/>
  <c r="K42" i="4"/>
  <c r="K36" i="4"/>
  <c r="K34" i="4"/>
  <c r="L347" i="5"/>
  <c r="K346" i="5" s="1"/>
  <c r="G353" i="5"/>
  <c r="G406" i="5"/>
  <c r="G436" i="5"/>
  <c r="G437" i="5"/>
  <c r="L444" i="5"/>
  <c r="K447" i="5" s="1"/>
  <c r="J450" i="5" s="1"/>
  <c r="I451" i="5" s="1"/>
  <c r="K412" i="5"/>
  <c r="J454" i="5"/>
  <c r="I453" i="5" s="1"/>
  <c r="H452" i="5" s="1"/>
  <c r="F370" i="5"/>
  <c r="F371" i="5"/>
  <c r="F372" i="5"/>
  <c r="F373" i="5"/>
  <c r="F379" i="5"/>
  <c r="F380" i="5"/>
  <c r="J339" i="5"/>
  <c r="I340" i="5" s="1"/>
  <c r="F384" i="5"/>
  <c r="F383" i="5"/>
  <c r="F375" i="5"/>
  <c r="F374" i="5"/>
  <c r="F386" i="5"/>
  <c r="F385" i="5"/>
  <c r="F377" i="5"/>
  <c r="F376" i="5"/>
  <c r="K344" i="5"/>
  <c r="F382" i="5"/>
  <c r="F381" i="5"/>
  <c r="K418" i="5"/>
  <c r="K420" i="5"/>
  <c r="K410" i="5"/>
  <c r="G37" i="4"/>
  <c r="G38" i="4"/>
  <c r="G36" i="4"/>
  <c r="G35" i="4"/>
  <c r="G53" i="4"/>
  <c r="G52" i="4"/>
  <c r="G34" i="4"/>
  <c r="G33" i="4"/>
  <c r="G24" i="4"/>
  <c r="G23" i="4"/>
  <c r="G42" i="4"/>
  <c r="G43" i="4"/>
  <c r="G51" i="4"/>
  <c r="G28" i="4"/>
  <c r="G27" i="4"/>
  <c r="G47" i="4"/>
  <c r="G46" i="4"/>
  <c r="G44" i="4"/>
  <c r="G45" i="4"/>
  <c r="G48" i="4"/>
  <c r="G49" i="4"/>
  <c r="G55" i="4"/>
  <c r="G54" i="4"/>
  <c r="G32" i="4"/>
  <c r="G31" i="4"/>
  <c r="G26" i="4"/>
  <c r="G25" i="4"/>
  <c r="G41" i="4"/>
  <c r="G40" i="4"/>
  <c r="G30" i="4"/>
  <c r="G29" i="4"/>
  <c r="J41" i="4" l="1"/>
  <c r="I40" i="4" s="1"/>
  <c r="J37" i="4"/>
  <c r="I38" i="4" s="1"/>
  <c r="L153" i="4"/>
  <c r="L145" i="4"/>
  <c r="L157" i="4"/>
  <c r="L143" i="4"/>
  <c r="L148" i="4"/>
  <c r="L141" i="4"/>
  <c r="L150" i="4"/>
  <c r="L155" i="4"/>
  <c r="J343" i="5"/>
  <c r="I342" i="5" s="1"/>
  <c r="H341" i="5" s="1"/>
  <c r="J413" i="5"/>
  <c r="I414" i="5" s="1"/>
  <c r="J417" i="5"/>
  <c r="I416" i="5" s="1"/>
  <c r="H415" i="5" s="1"/>
  <c r="G392" i="5"/>
  <c r="G391" i="5"/>
  <c r="L379" i="5"/>
  <c r="G380" i="5"/>
  <c r="G379" i="5"/>
  <c r="G393" i="5"/>
  <c r="L386" i="5"/>
  <c r="G394" i="5"/>
  <c r="G369" i="5"/>
  <c r="G368" i="5"/>
  <c r="G371" i="5"/>
  <c r="L374" i="5"/>
  <c r="G370" i="5"/>
  <c r="L372" i="5"/>
  <c r="G367" i="5"/>
  <c r="G366" i="5"/>
  <c r="G375" i="5"/>
  <c r="G374" i="5"/>
  <c r="L377" i="5"/>
  <c r="G377" i="5"/>
  <c r="G376" i="5"/>
  <c r="G382" i="5"/>
  <c r="G381" i="5"/>
  <c r="G384" i="5"/>
  <c r="G383" i="5"/>
  <c r="G372" i="5"/>
  <c r="G373" i="5"/>
  <c r="G364" i="5"/>
  <c r="G365" i="5"/>
  <c r="G386" i="5"/>
  <c r="L382" i="5"/>
  <c r="G385" i="5"/>
  <c r="G388" i="5"/>
  <c r="G387" i="5"/>
  <c r="G362" i="5"/>
  <c r="L370" i="5"/>
  <c r="G363" i="5"/>
  <c r="L384" i="5"/>
  <c r="G390" i="5"/>
  <c r="G389" i="5"/>
  <c r="K146" i="4" l="1"/>
  <c r="K154" i="4"/>
  <c r="K144" i="4"/>
  <c r="K152" i="4"/>
  <c r="K381" i="5"/>
  <c r="K383" i="5"/>
  <c r="K373" i="5"/>
  <c r="K375" i="5"/>
  <c r="J151" i="4" l="1"/>
  <c r="I150" i="4" s="1"/>
  <c r="J147" i="4"/>
  <c r="I148" i="4" s="1"/>
  <c r="J380" i="5"/>
  <c r="I379" i="5" s="1"/>
  <c r="H378" i="5" s="1"/>
  <c r="J376" i="5"/>
  <c r="I377" i="5" s="1"/>
  <c r="H149" i="4" l="1"/>
  <c r="C15" i="4"/>
  <c r="D15" i="4"/>
  <c r="E15" i="4"/>
  <c r="F15" i="4"/>
  <c r="G15" i="4"/>
  <c r="G16" i="4" s="1"/>
  <c r="F16" i="4" l="1"/>
  <c r="E16" i="4" s="1"/>
  <c r="D16" i="4" s="1"/>
  <c r="C16" i="4" s="1"/>
  <c r="B16" i="4" s="1"/>
  <c r="H39" i="4"/>
  <c r="H76" i="4"/>
  <c r="F5" i="4" s="1"/>
  <c r="H113" i="4"/>
  <c r="F6" i="4" s="1"/>
  <c r="D5" i="4" l="1"/>
  <c r="F8" i="4" s="1"/>
  <c r="D9" i="4" s="1"/>
  <c r="D6" i="4"/>
  <c r="F7" i="4" l="1"/>
  <c r="F9" i="4" s="1"/>
</calcChain>
</file>

<file path=xl/sharedStrings.xml><?xml version="1.0" encoding="utf-8"?>
<sst xmlns="http://schemas.openxmlformats.org/spreadsheetml/2006/main" count="104" uniqueCount="58">
  <si>
    <t>Price</t>
  </si>
  <si>
    <t>PV</t>
  </si>
  <si>
    <t>Fwds</t>
  </si>
  <si>
    <t>Cash Eq.</t>
  </si>
  <si>
    <t>DV10+</t>
  </si>
  <si>
    <t>DV10-</t>
  </si>
  <si>
    <t>Z(t)</t>
  </si>
  <si>
    <t>YR</t>
  </si>
  <si>
    <t>Threefy σ(t)</t>
  </si>
  <si>
    <t>Adj z(t)</t>
  </si>
  <si>
    <t>CTD CF</t>
  </si>
  <si>
    <t>CTD Coupon</t>
  </si>
  <si>
    <t>Duration</t>
  </si>
  <si>
    <t>Convexity</t>
  </si>
  <si>
    <t>z(t)-10bp</t>
  </si>
  <si>
    <t>z(t)+10bp</t>
  </si>
  <si>
    <t>Calibration #</t>
  </si>
  <si>
    <t>Vega+1</t>
  </si>
  <si>
    <t>Vega-1</t>
  </si>
  <si>
    <t>ZV BP</t>
  </si>
  <si>
    <t>z(t)</t>
  </si>
  <si>
    <t>Threefy σ(t)+.1%</t>
  </si>
  <si>
    <t>Threefy σ(t)-.1%</t>
  </si>
  <si>
    <t>Put Cost BP</t>
  </si>
  <si>
    <t>Fut Imp σ</t>
  </si>
  <si>
    <t>Fut Mkt Price</t>
  </si>
  <si>
    <t>Put Cost US$</t>
  </si>
  <si>
    <t>5-Factor HJM Forward Rate Curve w. stationary calibration</t>
  </si>
  <si>
    <t>by Mr. Thomas Madison Glimp, 10/17/2025.</t>
  </si>
  <si>
    <t xml:space="preserve"># Stationary fitted coeffecients </t>
  </si>
  <si>
    <t>Far Fwd Price</t>
  </si>
  <si>
    <t># 0 spot rates</t>
  </si>
  <si>
    <t xml:space="preserve"># Calibrated 0 implied volatility rates </t>
  </si>
  <si>
    <t>Vega Rho</t>
  </si>
  <si>
    <t># Exponential volatilities</t>
  </si>
  <si>
    <t># Fut implied volatility</t>
  </si>
  <si>
    <t># Minimize w. Solver</t>
  </si>
  <si>
    <t># Optional HJM discounting</t>
  </si>
  <si>
    <t>Primitive Objs</t>
  </si>
  <si>
    <t># Price</t>
  </si>
  <si>
    <t>Stationary HJM Primitive Obj. Far Fwd Projection Function</t>
  </si>
  <si>
    <t>Disc. Cpn/Prin</t>
  </si>
  <si>
    <t>Years</t>
  </si>
  <si>
    <t>by Mr. Thomas Madison Glimp, 10/26/2025</t>
  </si>
  <si>
    <t>DV01</t>
  </si>
  <si>
    <t>DV1+</t>
  </si>
  <si>
    <t>DV1-</t>
  </si>
  <si>
    <t>Adj z(t)+1bp</t>
  </si>
  <si>
    <t>Adj z(t)-1bp</t>
  </si>
  <si>
    <t>Adj Fut Imp Vol</t>
  </si>
  <si>
    <t>ZV Put BP</t>
  </si>
  <si>
    <t>ADJ.FWD</t>
  </si>
  <si>
    <t>INSTRUCTIONS</t>
  </si>
  <si>
    <t>3. hard paste abs(D7) to D8</t>
  </si>
  <si>
    <t>4. enter fut imp vol into B4</t>
  </si>
  <si>
    <t>1. set B4, D7, D8 == 0</t>
  </si>
  <si>
    <t>2. solve for D7 by minimizing distance btwn (H39-B9)^2 by toggling B9</t>
  </si>
  <si>
    <t>5. solve for D9 by minimizing distance btwn (H39-B9)^2 by toggling B9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</si>
</sst>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000"/>
    <numFmt numFmtId="165" formatCode="0.000"/>
    <numFmt numFmtId="166" formatCode="0.000%"/>
    <numFmt numFmtId="167" formatCode="0.000000000000"/>
    <numFmt numFmtId="168" formatCode="0.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CC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7F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4">
    <xf numFmtId="0" fontId="0" fillId="0" borderId="0" xfId="0"/>
    <xf numFmtId="0" fontId="0" fillId="2" borderId="0" xfId="0" applyFill="1"/>
    <xf numFmtId="165" fontId="5" fillId="3" borderId="0" xfId="0" applyNumberFormat="1" applyFont="1" applyFill="1"/>
    <xf numFmtId="165" fontId="6" fillId="4" borderId="0" xfId="0" applyNumberFormat="1" applyFont="1" applyFill="1"/>
    <xf numFmtId="10" fontId="0" fillId="2" borderId="0" xfId="0" applyNumberFormat="1" applyFill="1"/>
    <xf numFmtId="166" fontId="5" fillId="2" borderId="0" xfId="0" applyNumberFormat="1" applyFont="1" applyFill="1" applyAlignment="1">
      <alignment horizontal="left"/>
    </xf>
    <xf numFmtId="10" fontId="4" fillId="4" borderId="0" xfId="1" applyNumberFormat="1" applyFont="1" applyFill="1" applyBorder="1" applyAlignment="1">
      <alignment horizontal="left"/>
    </xf>
    <xf numFmtId="166" fontId="4" fillId="4" borderId="0" xfId="1" applyNumberFormat="1" applyFont="1" applyFill="1" applyBorder="1" applyAlignment="1">
      <alignment horizontal="left"/>
    </xf>
    <xf numFmtId="164" fontId="4" fillId="4" borderId="0" xfId="0" applyNumberFormat="1" applyFont="1" applyFill="1" applyAlignment="1">
      <alignment horizontal="left"/>
    </xf>
    <xf numFmtId="0" fontId="4" fillId="2" borderId="0" xfId="0" applyFont="1" applyFill="1"/>
    <xf numFmtId="166" fontId="5" fillId="5" borderId="0" xfId="0" applyNumberFormat="1" applyFont="1" applyFill="1" applyAlignment="1">
      <alignment horizontal="left"/>
    </xf>
    <xf numFmtId="1" fontId="8" fillId="7" borderId="0" xfId="0" applyNumberFormat="1" applyFont="1" applyFill="1"/>
    <xf numFmtId="166" fontId="3" fillId="7" borderId="0" xfId="0" applyNumberFormat="1" applyFont="1" applyFill="1"/>
    <xf numFmtId="166" fontId="4" fillId="6" borderId="0" xfId="0" applyNumberFormat="1" applyFont="1" applyFill="1" applyAlignment="1">
      <alignment horizontal="left"/>
    </xf>
    <xf numFmtId="164" fontId="9" fillId="2" borderId="0" xfId="0" applyNumberFormat="1" applyFont="1" applyFill="1"/>
    <xf numFmtId="1" fontId="2" fillId="2" borderId="0" xfId="0" applyNumberFormat="1" applyFont="1" applyFill="1"/>
    <xf numFmtId="2" fontId="10" fillId="2" borderId="0" xfId="0" applyNumberFormat="1" applyFont="1" applyFill="1" applyAlignment="1">
      <alignment horizontal="left"/>
    </xf>
    <xf numFmtId="165" fontId="2" fillId="2" borderId="0" xfId="0" applyNumberFormat="1" applyFont="1" applyFill="1"/>
    <xf numFmtId="0" fontId="0" fillId="7" borderId="0" xfId="0" applyFill="1"/>
    <xf numFmtId="166" fontId="5" fillId="8" borderId="0" xfId="0" applyNumberFormat="1" applyFont="1" applyFill="1" applyAlignment="1">
      <alignment horizontal="left"/>
    </xf>
    <xf numFmtId="165" fontId="6" fillId="2" borderId="0" xfId="0" applyNumberFormat="1" applyFont="1" applyFill="1"/>
    <xf numFmtId="165" fontId="5" fillId="2" borderId="0" xfId="0" applyNumberFormat="1" applyFont="1" applyFill="1"/>
    <xf numFmtId="0" fontId="7" fillId="2" borderId="0" xfId="0" applyFont="1" applyFill="1" applyAlignment="1">
      <alignment horizontal="center"/>
    </xf>
    <xf numFmtId="166" fontId="5" fillId="4" borderId="0" xfId="0" applyNumberFormat="1" applyFont="1" applyFill="1" applyAlignment="1">
      <alignment horizontal="left"/>
    </xf>
    <xf numFmtId="166" fontId="12" fillId="4" borderId="0" xfId="0" applyNumberFormat="1" applyFont="1" applyFill="1" applyAlignment="1">
      <alignment horizontal="left"/>
    </xf>
    <xf numFmtId="2" fontId="9" fillId="7" borderId="0" xfId="0" applyNumberFormat="1" applyFont="1" applyFill="1"/>
    <xf numFmtId="44" fontId="3" fillId="7" borderId="0" xfId="2" applyFont="1" applyFill="1"/>
    <xf numFmtId="2" fontId="0" fillId="7" borderId="0" xfId="0" applyNumberFormat="1" applyFill="1"/>
    <xf numFmtId="167" fontId="7" fillId="2" borderId="0" xfId="0" applyNumberFormat="1" applyFont="1" applyFill="1" applyAlignment="1">
      <alignment horizontal="center"/>
    </xf>
    <xf numFmtId="0" fontId="13" fillId="0" borderId="0" xfId="0" applyFont="1"/>
    <xf numFmtId="10" fontId="4" fillId="4" borderId="0" xfId="0" applyNumberFormat="1" applyFont="1" applyFill="1" applyAlignment="1">
      <alignment horizontal="left"/>
    </xf>
    <xf numFmtId="0" fontId="9" fillId="7" borderId="0" xfId="0" applyFont="1" applyFill="1"/>
    <xf numFmtId="1" fontId="9" fillId="7" borderId="0" xfId="0" applyNumberFormat="1" applyFont="1" applyFill="1"/>
    <xf numFmtId="165" fontId="3" fillId="7" borderId="0" xfId="0" applyNumberFormat="1" applyFont="1" applyFill="1" applyAlignment="1">
      <alignment horizontal="left"/>
    </xf>
    <xf numFmtId="165" fontId="9" fillId="7" borderId="0" xfId="0" applyNumberFormat="1" applyFont="1" applyFill="1"/>
    <xf numFmtId="0" fontId="9" fillId="7" borderId="2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1" fontId="3" fillId="6" borderId="0" xfId="1" applyNumberFormat="1" applyFont="1" applyFill="1" applyBorder="1" applyAlignment="1">
      <alignment horizontal="left"/>
    </xf>
    <xf numFmtId="0" fontId="9" fillId="6" borderId="0" xfId="0" applyFont="1" applyFill="1" applyAlignment="1">
      <alignment horizontal="left"/>
    </xf>
    <xf numFmtId="1" fontId="3" fillId="6" borderId="0" xfId="0" applyNumberFormat="1" applyFont="1" applyFill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4" borderId="2" xfId="0" quotePrefix="1" applyFont="1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3" fillId="2" borderId="0" xfId="0" applyFont="1" applyFill="1"/>
    <xf numFmtId="0" fontId="11" fillId="2" borderId="0" xfId="0" applyFont="1" applyFill="1"/>
    <xf numFmtId="0" fontId="11" fillId="0" borderId="0" xfId="0" applyFont="1"/>
    <xf numFmtId="166" fontId="4" fillId="2" borderId="0" xfId="0" applyNumberFormat="1" applyFont="1" applyFill="1" applyAlignment="1">
      <alignment horizontal="left"/>
    </xf>
    <xf numFmtId="0" fontId="3" fillId="9" borderId="0" xfId="0" applyFont="1" applyFill="1" applyAlignment="1">
      <alignment horizontal="left"/>
    </xf>
    <xf numFmtId="166" fontId="4" fillId="9" borderId="0" xfId="0" applyNumberFormat="1" applyFont="1" applyFill="1" applyAlignment="1">
      <alignment horizontal="left"/>
    </xf>
    <xf numFmtId="0" fontId="3" fillId="9" borderId="0" xfId="0" applyFont="1" applyFill="1" applyAlignment="1">
      <alignment horizontal="center"/>
    </xf>
    <xf numFmtId="0" fontId="8" fillId="9" borderId="0" xfId="0" applyFont="1" applyFill="1"/>
    <xf numFmtId="165" fontId="4" fillId="9" borderId="0" xfId="0" applyNumberFormat="1" applyFont="1" applyFill="1"/>
    <xf numFmtId="166" fontId="12" fillId="2" borderId="0" xfId="0" applyNumberFormat="1" applyFont="1" applyFill="1" applyAlignment="1">
      <alignment horizontal="left"/>
    </xf>
    <xf numFmtId="0" fontId="8" fillId="7" borderId="0" xfId="0" applyFont="1" applyFill="1"/>
    <xf numFmtId="166" fontId="4" fillId="4" borderId="0" xfId="0" applyNumberFormat="1" applyFont="1" applyFill="1" applyAlignment="1">
      <alignment horizontal="left"/>
    </xf>
    <xf numFmtId="166" fontId="4" fillId="5" borderId="0" xfId="0" applyNumberFormat="1" applyFont="1" applyFill="1" applyAlignment="1">
      <alignment horizontal="left"/>
    </xf>
    <xf numFmtId="166" fontId="4" fillId="2" borderId="0" xfId="1" applyNumberFormat="1" applyFont="1" applyFill="1" applyBorder="1" applyAlignment="1">
      <alignment horizontal="left"/>
    </xf>
    <xf numFmtId="165" fontId="0" fillId="2" borderId="0" xfId="0" applyNumberFormat="1" applyFill="1"/>
    <xf numFmtId="2" fontId="0" fillId="2" borderId="0" xfId="0" applyNumberForma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9" borderId="0" xfId="0" applyFill="1"/>
    <xf numFmtId="0" fontId="9" fillId="2" borderId="0" xfId="0" applyFont="1" applyFill="1"/>
    <xf numFmtId="2" fontId="9" fillId="2" borderId="0" xfId="0" applyNumberFormat="1" applyFont="1" applyFill="1"/>
    <xf numFmtId="165" fontId="9" fillId="2" borderId="0" xfId="0" applyNumberFormat="1" applyFont="1" applyFill="1"/>
    <xf numFmtId="1" fontId="9" fillId="2" borderId="0" xfId="0" applyNumberFormat="1" applyFont="1" applyFill="1"/>
    <xf numFmtId="165" fontId="3" fillId="2" borderId="0" xfId="0" applyNumberFormat="1" applyFont="1" applyFill="1" applyAlignment="1">
      <alignment horizontal="left"/>
    </xf>
    <xf numFmtId="166" fontId="3" fillId="2" borderId="0" xfId="0" applyNumberFormat="1" applyFont="1" applyFill="1"/>
    <xf numFmtId="44" fontId="3" fillId="2" borderId="0" xfId="2" applyFont="1" applyFill="1"/>
    <xf numFmtId="168" fontId="9" fillId="7" borderId="0" xfId="0" applyNumberFormat="1" applyFont="1" applyFill="1"/>
    <xf numFmtId="165" fontId="11" fillId="2" borderId="0" xfId="0" applyNumberFormat="1" applyFont="1" applyFill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44" fontId="9" fillId="7" borderId="0" xfId="2" applyFont="1" applyFill="1" applyAlignment="1">
      <alignment horizontal="right"/>
    </xf>
    <xf numFmtId="1" fontId="9" fillId="7" borderId="0" xfId="0" applyNumberFormat="1" applyFont="1" applyFill="1" applyAlignment="1">
      <alignment horizontal="right"/>
    </xf>
    <xf numFmtId="0" fontId="9" fillId="7" borderId="0" xfId="0" applyFont="1" applyFill="1" applyAlignment="1">
      <alignment horizontal="right"/>
    </xf>
    <xf numFmtId="166" fontId="9" fillId="7" borderId="0" xfId="0" applyNumberFormat="1" applyFont="1" applyFill="1" applyAlignment="1">
      <alignment horizontal="right"/>
    </xf>
    <xf numFmtId="2" fontId="9" fillId="7" borderId="0" xfId="0" applyNumberFormat="1" applyFont="1" applyFill="1" applyAlignment="1">
      <alignment horizontal="right"/>
    </xf>
    <xf numFmtId="0" fontId="9" fillId="7" borderId="0" xfId="0" applyFont="1" applyFill="1" applyAlignment="1">
      <alignment horizontal="left"/>
    </xf>
    <xf numFmtId="2" fontId="9" fillId="7" borderId="0" xfId="0" applyNumberFormat="1" applyFont="1" applyFill="1" applyAlignment="1">
      <alignment horizontal="left"/>
    </xf>
    <xf numFmtId="0" fontId="15" fillId="0" borderId="3" xfId="0" applyFont="1" applyBorder="1"/>
    <xf numFmtId="2" fontId="9" fillId="7" borderId="0" xfId="2" applyNumberFormat="1" applyFont="1" applyFill="1" applyAlignment="1">
      <alignment horizontal="left"/>
    </xf>
    <xf numFmtId="168" fontId="6" fillId="4" borderId="0" xfId="0" applyNumberFormat="1" applyFont="1" applyFill="1"/>
    <xf numFmtId="0" fontId="3" fillId="4" borderId="0" xfId="0" applyFont="1" applyFill="1"/>
    <xf numFmtId="164" fontId="4" fillId="2" borderId="0" xfId="0" applyNumberFormat="1" applyFont="1" applyFill="1" applyAlignment="1">
      <alignment horizontal="left"/>
    </xf>
    <xf numFmtId="164" fontId="6" fillId="4" borderId="0" xfId="0" applyNumberFormat="1" applyFont="1" applyFill="1"/>
    <xf numFmtId="164" fontId="9" fillId="7" borderId="0" xfId="0" applyNumberFormat="1" applyFont="1" applyFill="1" applyAlignment="1">
      <alignment horizontal="left"/>
    </xf>
    <xf numFmtId="164" fontId="9" fillId="7" borderId="0" xfId="0" applyNumberFormat="1" applyFont="1" applyFill="1" applyAlignment="1">
      <alignment horizontal="right"/>
    </xf>
    <xf numFmtId="44" fontId="9" fillId="7" borderId="0" xfId="0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30A1-98DF-49B2-9149-B77495313B3C}">
  <dimension ref="A1:P165"/>
  <sheetViews>
    <sheetView tabSelected="1" zoomScale="62" zoomScaleNormal="85" workbookViewId="0">
      <selection activeCell="B10" sqref="B10"/>
    </sheetView>
  </sheetViews>
  <sheetFormatPr defaultRowHeight="14.5" x14ac:dyDescent="0.35"/>
  <cols>
    <col min="1" max="1" width="14.81640625" style="1" customWidth="1"/>
    <col min="2" max="2" width="13.08984375" style="1" customWidth="1"/>
    <col min="3" max="7" width="10.453125" style="1" customWidth="1"/>
    <col min="8" max="8" width="11.54296875" style="1" customWidth="1"/>
    <col min="9" max="13" width="9.36328125" style="1" customWidth="1"/>
    <col min="14" max="16384" width="8.7265625" style="1"/>
  </cols>
  <sheetData>
    <row r="1" spans="1:16" ht="15.5" x14ac:dyDescent="0.35">
      <c r="A1" s="85" t="s">
        <v>40</v>
      </c>
    </row>
    <row r="2" spans="1:16" x14ac:dyDescent="0.35">
      <c r="A2" t="s">
        <v>43</v>
      </c>
    </row>
    <row r="3" spans="1:16" x14ac:dyDescent="0.35">
      <c r="A3"/>
    </row>
    <row r="4" spans="1:16" x14ac:dyDescent="0.35">
      <c r="A4" s="35" t="s">
        <v>24</v>
      </c>
      <c r="B4" s="83">
        <v>2E-3</v>
      </c>
      <c r="C4" s="48" t="s">
        <v>35</v>
      </c>
      <c r="I4" s="61"/>
      <c r="J4" s="61"/>
      <c r="K4" s="61"/>
      <c r="L4" s="61"/>
      <c r="M4" s="61"/>
      <c r="P4" s="1" t="s">
        <v>52</v>
      </c>
    </row>
    <row r="5" spans="1:16" x14ac:dyDescent="0.35">
      <c r="A5" s="31" t="s">
        <v>25</v>
      </c>
      <c r="B5" s="83">
        <v>104.35</v>
      </c>
      <c r="C5" s="31" t="s">
        <v>12</v>
      </c>
      <c r="D5" s="80">
        <f>(H76-H113)/(2*B8*0.0001)</f>
        <v>-4.8695378688863444</v>
      </c>
      <c r="E5" s="31" t="s">
        <v>45</v>
      </c>
      <c r="F5" s="34">
        <f>H76</f>
        <v>99.5327708394463</v>
      </c>
      <c r="G5" s="15" t="s">
        <v>0</v>
      </c>
      <c r="H5" s="70"/>
      <c r="I5" s="70"/>
      <c r="J5" s="70"/>
      <c r="K5" s="70"/>
      <c r="L5" s="70"/>
      <c r="M5" s="70"/>
      <c r="N5" s="70"/>
      <c r="P5" s="1" t="s">
        <v>55</v>
      </c>
    </row>
    <row r="6" spans="1:16" x14ac:dyDescent="0.35">
      <c r="A6" s="31" t="s">
        <v>10</v>
      </c>
      <c r="B6" s="83">
        <v>0.95430000000000004</v>
      </c>
      <c r="C6" s="31" t="s">
        <v>13</v>
      </c>
      <c r="D6" s="80">
        <f>(H113+H76-2*$B$8)/(2*$B$8*(0.0001)^2)</f>
        <v>57.525236802015591</v>
      </c>
      <c r="E6" s="31" t="s">
        <v>46</v>
      </c>
      <c r="F6" s="34">
        <f>H113</f>
        <v>99.629753729201667</v>
      </c>
      <c r="G6" s="16">
        <f>SUM(H6:M6)</f>
        <v>0</v>
      </c>
      <c r="H6" s="71"/>
      <c r="I6" s="69"/>
      <c r="J6" s="69"/>
      <c r="K6" s="69"/>
      <c r="L6" s="69"/>
      <c r="M6" s="69"/>
      <c r="N6" s="69"/>
      <c r="P6" s="1" t="s">
        <v>56</v>
      </c>
    </row>
    <row r="7" spans="1:16" x14ac:dyDescent="0.35">
      <c r="A7" s="31" t="s">
        <v>11</v>
      </c>
      <c r="B7" s="83">
        <v>4</v>
      </c>
      <c r="C7" s="31" t="s">
        <v>19</v>
      </c>
      <c r="D7" s="84">
        <v>81.879000000000005</v>
      </c>
      <c r="E7" s="31" t="s">
        <v>17</v>
      </c>
      <c r="F7" s="74">
        <f>((B8-H149)/B8)-1</f>
        <v>-0.99579153514595409</v>
      </c>
      <c r="G7" s="75" t="s">
        <v>37</v>
      </c>
      <c r="H7" s="69"/>
      <c r="I7" s="72"/>
      <c r="J7" s="72"/>
      <c r="K7" s="72"/>
      <c r="L7" s="72"/>
      <c r="M7" s="72"/>
      <c r="N7" s="72"/>
      <c r="P7" s="1" t="s">
        <v>53</v>
      </c>
    </row>
    <row r="8" spans="1:16" x14ac:dyDescent="0.35">
      <c r="A8" s="31" t="s">
        <v>3</v>
      </c>
      <c r="B8" s="91">
        <f>B5*B6</f>
        <v>99.581204999999997</v>
      </c>
      <c r="C8" s="31" t="s">
        <v>50</v>
      </c>
      <c r="D8" s="82">
        <f>D7</f>
        <v>81.879000000000005</v>
      </c>
      <c r="E8" s="31" t="s">
        <v>44</v>
      </c>
      <c r="F8" s="31">
        <f>D5*0.0001*B8</f>
        <v>-4.8491444877683421E-2</v>
      </c>
      <c r="G8" s="75" t="s">
        <v>37</v>
      </c>
      <c r="H8" s="69"/>
      <c r="I8" s="73"/>
      <c r="J8" s="73"/>
      <c r="K8" s="73"/>
      <c r="L8" s="73"/>
      <c r="M8" s="73"/>
      <c r="N8" s="73"/>
      <c r="P8" s="1" t="s">
        <v>54</v>
      </c>
    </row>
    <row r="9" spans="1:16" x14ac:dyDescent="0.35">
      <c r="A9" s="31" t="s">
        <v>16</v>
      </c>
      <c r="B9" s="84">
        <v>33.963000000000001</v>
      </c>
      <c r="C9" s="31" t="s">
        <v>26</v>
      </c>
      <c r="D9" s="92">
        <f>B9*F8</f>
        <v>-1.6469149423807621</v>
      </c>
      <c r="E9" s="31" t="s">
        <v>51</v>
      </c>
      <c r="F9" s="93">
        <f>B11+F7</f>
        <v>101.4823491661508</v>
      </c>
      <c r="G9" s="75" t="s">
        <v>37</v>
      </c>
      <c r="H9" s="69"/>
      <c r="I9" s="68"/>
      <c r="J9" s="68"/>
      <c r="K9" s="68"/>
      <c r="L9" s="68"/>
      <c r="M9" s="68"/>
      <c r="N9" s="68"/>
      <c r="P9" s="1" t="s">
        <v>57</v>
      </c>
    </row>
    <row r="10" spans="1:16" x14ac:dyDescent="0.35">
      <c r="A10" s="67"/>
      <c r="B10" s="68"/>
      <c r="C10" s="67"/>
      <c r="D10" s="62"/>
      <c r="E10" s="67"/>
      <c r="G10" s="17"/>
      <c r="H10" s="69"/>
      <c r="I10" s="68"/>
      <c r="J10" s="68"/>
      <c r="K10" s="68"/>
      <c r="L10" s="68"/>
      <c r="M10" s="68"/>
      <c r="N10" s="68"/>
    </row>
    <row r="11" spans="1:16" x14ac:dyDescent="0.35">
      <c r="A11" s="31" t="s">
        <v>38</v>
      </c>
      <c r="B11" s="78">
        <f>SUM(B13:G13)</f>
        <v>102.47814070129675</v>
      </c>
      <c r="C11" s="78">
        <f>SUM(C13:G13)</f>
        <v>98.571333912239112</v>
      </c>
      <c r="D11" s="78">
        <f>SUM(D13:G13)</f>
        <v>94.76227061200558</v>
      </c>
      <c r="E11" s="78">
        <f>SUM(E13:G13)</f>
        <v>91.048484998838561</v>
      </c>
      <c r="F11" s="78">
        <f>SUM(F13:G13)</f>
        <v>87.441052129243218</v>
      </c>
      <c r="G11" s="78">
        <f>G13</f>
        <v>83.925586754215118</v>
      </c>
      <c r="H11" s="69"/>
      <c r="I11" s="68"/>
      <c r="J11" s="68"/>
      <c r="K11" s="68"/>
      <c r="L11" s="68"/>
      <c r="M11" s="68"/>
      <c r="N11" s="68"/>
    </row>
    <row r="12" spans="1:16" ht="13.5" customHeight="1" x14ac:dyDescent="0.35">
      <c r="A12" s="32" t="s">
        <v>42</v>
      </c>
      <c r="B12" s="79">
        <v>1</v>
      </c>
      <c r="C12" s="80">
        <v>2</v>
      </c>
      <c r="D12" s="79">
        <v>3</v>
      </c>
      <c r="E12" s="80">
        <v>4</v>
      </c>
      <c r="F12" s="80">
        <v>5</v>
      </c>
      <c r="G12" s="79">
        <v>6</v>
      </c>
      <c r="H12" s="69"/>
      <c r="I12" s="68"/>
      <c r="J12" s="68"/>
      <c r="K12" s="68"/>
      <c r="L12" s="68"/>
      <c r="M12" s="68"/>
      <c r="N12" s="68"/>
    </row>
    <row r="13" spans="1:16" ht="13.5" customHeight="1" x14ac:dyDescent="0.35">
      <c r="A13" s="86" t="s">
        <v>41</v>
      </c>
      <c r="B13" s="78">
        <f>$B$7/(1+$B$21+$D$8/10000)^$B$12</f>
        <v>3.9068067890576406</v>
      </c>
      <c r="C13" s="78">
        <f>$B$7/(1+$C$21+$D$8/10000)^$C$12</f>
        <v>3.8090633002335315</v>
      </c>
      <c r="D13" s="78">
        <f>$B$7/(1+$D$21+$D$8/10000)^$D$12</f>
        <v>3.7137856131670226</v>
      </c>
      <c r="E13" s="78">
        <f>$B$7/(1+$E$21+$D$8/10000)^$E$12</f>
        <v>3.6074328695953355</v>
      </c>
      <c r="F13" s="78">
        <f>$B$7/(1+$E$21+$D$8/10000)^$F$12</f>
        <v>3.5154653750281017</v>
      </c>
      <c r="G13" s="78">
        <f>(100+$B$19)/(1+$G$21+$D$8/10000)^$G$12</f>
        <v>83.925586754215118</v>
      </c>
      <c r="H13" s="69"/>
      <c r="I13" s="68"/>
      <c r="J13" s="68"/>
      <c r="K13" s="68"/>
      <c r="L13" s="68"/>
      <c r="M13" s="68"/>
      <c r="N13" s="68"/>
    </row>
    <row r="14" spans="1:16" ht="13.5" customHeight="1" x14ac:dyDescent="0.35">
      <c r="A14" s="34" t="s">
        <v>2</v>
      </c>
      <c r="B14" s="81">
        <f>B21</f>
        <v>1.5666161891000001E-2</v>
      </c>
      <c r="C14" s="81">
        <f>B22/C22-1</f>
        <v>1.7472874204304656E-2</v>
      </c>
      <c r="D14" s="81">
        <f>C22/D22-1</f>
        <v>1.7467241366821096E-2</v>
      </c>
      <c r="E14" s="81">
        <f>D22/E22-1</f>
        <v>2.1293716191126189E-2</v>
      </c>
      <c r="F14" s="81">
        <f>E22/F22-1</f>
        <v>2.5502759729498115E-2</v>
      </c>
      <c r="G14" s="81">
        <f>F22/G22-1</f>
        <v>3.1508498770630222E-2</v>
      </c>
      <c r="H14" s="72"/>
      <c r="I14" s="68"/>
      <c r="J14" s="68"/>
      <c r="K14" s="68"/>
      <c r="L14" s="68"/>
      <c r="M14" s="68"/>
      <c r="N14" s="68"/>
    </row>
    <row r="15" spans="1:16" ht="13.5" customHeight="1" x14ac:dyDescent="0.35">
      <c r="A15" s="34" t="s">
        <v>1</v>
      </c>
      <c r="B15" s="78">
        <f t="shared" ref="B15:G15" si="0">1/(1+B14+$D$8/10000)</f>
        <v>0.97670169726441014</v>
      </c>
      <c r="C15" s="78">
        <f t="shared" si="0"/>
        <v>0.97498122688350641</v>
      </c>
      <c r="D15" s="78">
        <f t="shared" si="0"/>
        <v>0.97498658142284333</v>
      </c>
      <c r="E15" s="78">
        <f t="shared" si="0"/>
        <v>0.97136265890769158</v>
      </c>
      <c r="F15" s="78">
        <f t="shared" si="0"/>
        <v>0.96740740625603172</v>
      </c>
      <c r="G15" s="78">
        <f t="shared" si="0"/>
        <v>0.9618192399073725</v>
      </c>
      <c r="H15" s="69"/>
      <c r="I15" s="68"/>
      <c r="J15" s="68"/>
      <c r="K15" s="68"/>
      <c r="L15" s="68"/>
      <c r="M15" s="68"/>
      <c r="N15" s="68"/>
    </row>
    <row r="16" spans="1:16" ht="13.5" customHeight="1" x14ac:dyDescent="0.35">
      <c r="A16" s="34" t="s">
        <v>0</v>
      </c>
      <c r="B16" s="82">
        <f>MIN($B$8,B$15*C16)+$B$7</f>
        <v>103.581205</v>
      </c>
      <c r="C16" s="82">
        <f>MIN($B$8,C$15*D16)+$B$7</f>
        <v>103.581205</v>
      </c>
      <c r="D16" s="82">
        <f>MIN($B$8,D$15*E16)+$B$7</f>
        <v>103.581205</v>
      </c>
      <c r="E16" s="82">
        <f>MIN($B$8,E$15*F16)+$B$7</f>
        <v>103.581205</v>
      </c>
      <c r="F16" s="82">
        <f>MIN($B$8,F$15*G16)+$B$7</f>
        <v>103.581205</v>
      </c>
      <c r="G16" s="82">
        <f>MIN($B$8,(100+$B$7)*$G$15)+$B$7</f>
        <v>103.581205</v>
      </c>
      <c r="H16" s="69"/>
      <c r="I16" s="68"/>
      <c r="J16" s="68"/>
      <c r="K16" s="68"/>
      <c r="L16" s="68"/>
      <c r="M16" s="68"/>
      <c r="N16" s="68"/>
    </row>
    <row r="17" spans="1:13" x14ac:dyDescent="0.35">
      <c r="B17" s="62"/>
      <c r="G17" s="17"/>
      <c r="H17" s="14"/>
      <c r="I17" s="14"/>
      <c r="J17" s="14"/>
      <c r="K17" s="14"/>
    </row>
    <row r="18" spans="1:13" x14ac:dyDescent="0.35">
      <c r="A18" s="36" t="s">
        <v>7</v>
      </c>
      <c r="B18" s="37">
        <v>1</v>
      </c>
      <c r="C18" s="37">
        <v>2</v>
      </c>
      <c r="D18" s="37">
        <v>3</v>
      </c>
      <c r="E18" s="37">
        <v>4</v>
      </c>
      <c r="F18" s="37">
        <v>5</v>
      </c>
      <c r="G18" s="37">
        <v>6</v>
      </c>
    </row>
    <row r="19" spans="1:13" x14ac:dyDescent="0.35">
      <c r="A19" s="41" t="s">
        <v>6</v>
      </c>
      <c r="B19" s="6">
        <v>1.2200000000000001E-2</v>
      </c>
      <c r="C19" s="6">
        <v>1.3100000000000001E-2</v>
      </c>
      <c r="D19" s="6">
        <v>1.34E-2</v>
      </c>
      <c r="E19" s="6">
        <v>1.4500000000000001E-2</v>
      </c>
      <c r="F19" s="6">
        <v>1.6E-2</v>
      </c>
      <c r="G19" s="6">
        <v>1.7999999999999999E-2</v>
      </c>
      <c r="H19" s="48" t="s">
        <v>31</v>
      </c>
    </row>
    <row r="20" spans="1:13" x14ac:dyDescent="0.35">
      <c r="A20" s="41" t="s">
        <v>8</v>
      </c>
      <c r="B20" s="6">
        <v>2.0570000000000001E-2</v>
      </c>
      <c r="C20" s="6">
        <v>2.1440000000000001E-2</v>
      </c>
      <c r="D20" s="6">
        <v>2.1229999999999999E-2</v>
      </c>
      <c r="E20" s="6">
        <v>2.2563E-2</v>
      </c>
      <c r="F20" s="6">
        <v>2.30134E-2</v>
      </c>
      <c r="G20" s="6">
        <v>2.18E-2</v>
      </c>
      <c r="H20" s="76" t="s">
        <v>32</v>
      </c>
    </row>
    <row r="21" spans="1:13" x14ac:dyDescent="0.35">
      <c r="A21" s="41" t="s">
        <v>9</v>
      </c>
      <c r="B21" s="7">
        <f t="shared" ref="B21:G21" si="1">B19+($B$9*(1+B20))/10000</f>
        <v>1.5666161891000001E-2</v>
      </c>
      <c r="C21" s="7">
        <f t="shared" si="1"/>
        <v>1.6569116671999999E-2</v>
      </c>
      <c r="D21" s="7">
        <f t="shared" si="1"/>
        <v>1.6868403449000001E-2</v>
      </c>
      <c r="E21" s="7">
        <f t="shared" si="1"/>
        <v>1.7972930716899999E-2</v>
      </c>
      <c r="F21" s="7">
        <f t="shared" si="1"/>
        <v>1.9474460410419999E-2</v>
      </c>
      <c r="G21" s="7">
        <f t="shared" si="1"/>
        <v>2.1470339339999998E-2</v>
      </c>
      <c r="H21" s="76" t="s">
        <v>29</v>
      </c>
    </row>
    <row r="22" spans="1:13" x14ac:dyDescent="0.35">
      <c r="A22" s="41" t="s">
        <v>0</v>
      </c>
      <c r="B22" s="8">
        <f t="shared" ref="B22:G22" si="2">1/(1+B21)^B18</f>
        <v>0.98457548111888249</v>
      </c>
      <c r="C22" s="8">
        <f t="shared" si="2"/>
        <v>0.96766754778484987</v>
      </c>
      <c r="D22" s="8">
        <f t="shared" si="2"/>
        <v>0.95105523641717205</v>
      </c>
      <c r="E22" s="8">
        <f t="shared" si="2"/>
        <v>0.9312259747999766</v>
      </c>
      <c r="F22" s="8">
        <f t="shared" si="2"/>
        <v>0.90806774137361712</v>
      </c>
      <c r="G22" s="8">
        <f t="shared" si="2"/>
        <v>0.8803298687852481</v>
      </c>
      <c r="H22" s="46" t="s">
        <v>39</v>
      </c>
    </row>
    <row r="23" spans="1:13" x14ac:dyDescent="0.35">
      <c r="A23" s="42"/>
      <c r="B23" s="5"/>
      <c r="C23" s="5"/>
      <c r="D23" s="5"/>
      <c r="E23" s="5"/>
      <c r="F23" s="5"/>
      <c r="G23" s="10">
        <f>F31*EXP(10*$G$20)</f>
        <v>6.3850340590755408E-2</v>
      </c>
      <c r="H23" s="77" t="s">
        <v>34</v>
      </c>
      <c r="M23" s="21"/>
    </row>
    <row r="24" spans="1:13" x14ac:dyDescent="0.35">
      <c r="A24" s="42"/>
      <c r="B24" s="5"/>
      <c r="C24" s="5"/>
      <c r="D24" s="5"/>
      <c r="E24" s="5"/>
      <c r="F24" s="5"/>
      <c r="G24" s="13">
        <f>(F31+$B$4)*EXP(10*$G$20)</f>
        <v>6.6337514725993529E-2</v>
      </c>
      <c r="H24" s="22"/>
      <c r="M24" s="2">
        <f>MIN($B$8,(100+$B$7)/(1+G$21+$D$8/10000))+$B$7</f>
        <v>103.581205</v>
      </c>
    </row>
    <row r="25" spans="1:13" x14ac:dyDescent="0.35">
      <c r="A25" s="42"/>
      <c r="B25" s="5"/>
      <c r="C25" s="5"/>
      <c r="D25" s="5"/>
      <c r="E25" s="5"/>
      <c r="F25" s="5"/>
      <c r="G25" s="10">
        <f>F32*EXP(10*$G$20)</f>
        <v>6.6981117478058502E-2</v>
      </c>
      <c r="H25" s="22"/>
      <c r="M25" s="21"/>
    </row>
    <row r="26" spans="1:13" x14ac:dyDescent="0.35">
      <c r="A26" s="42"/>
      <c r="B26" s="5"/>
      <c r="C26" s="5"/>
      <c r="D26" s="5"/>
      <c r="E26" s="5"/>
      <c r="F26" s="5"/>
      <c r="G26" s="13">
        <f>(F32+$B$4)*EXP(10*$G$20)</f>
        <v>6.9468291613296623E-2</v>
      </c>
      <c r="H26" s="22"/>
      <c r="M26" s="2">
        <f>MIN($B$8,(100+$B$7)/(1+G$21+$D$8/10000))+$B$7</f>
        <v>103.581205</v>
      </c>
    </row>
    <row r="27" spans="1:13" x14ac:dyDescent="0.35">
      <c r="A27" s="42"/>
      <c r="B27" s="5"/>
      <c r="C27" s="5"/>
      <c r="D27" s="5"/>
      <c r="E27" s="5"/>
      <c r="F27" s="5"/>
      <c r="G27" s="10">
        <f>F33*EXP(10*$G$20)</f>
        <v>6.7773554452388016E-2</v>
      </c>
      <c r="H27" s="22"/>
      <c r="M27" s="21"/>
    </row>
    <row r="28" spans="1:13" x14ac:dyDescent="0.35">
      <c r="A28" s="42"/>
      <c r="B28" s="5"/>
      <c r="C28" s="5"/>
      <c r="D28" s="5"/>
      <c r="E28" s="5"/>
      <c r="F28" s="5"/>
      <c r="G28" s="13">
        <f>(F33+$B$4)*EXP(10*$G$20)</f>
        <v>7.0260728587626151E-2</v>
      </c>
      <c r="H28" s="22"/>
      <c r="M28" s="2">
        <f>MIN($B$8,(100+$B$7)/(1+G$21+$D$8/10000))+$B$7</f>
        <v>103.581205</v>
      </c>
    </row>
    <row r="29" spans="1:13" x14ac:dyDescent="0.35">
      <c r="A29" s="42"/>
      <c r="B29" s="5"/>
      <c r="C29" s="5"/>
      <c r="D29" s="5"/>
      <c r="E29" s="5"/>
      <c r="F29" s="5"/>
      <c r="G29" s="10">
        <f>F34*EXP(10*$G$20)</f>
        <v>7.090433133969111E-2</v>
      </c>
      <c r="H29" s="22"/>
      <c r="M29" s="21"/>
    </row>
    <row r="30" spans="1:13" x14ac:dyDescent="0.35">
      <c r="A30" s="42"/>
      <c r="B30" s="5"/>
      <c r="C30" s="60"/>
      <c r="D30" s="5"/>
      <c r="E30" s="5"/>
      <c r="F30" s="5"/>
      <c r="G30" s="13">
        <f>(F34+$B$4)*EXP(10*$G$20)</f>
        <v>7.3391505474929231E-2</v>
      </c>
      <c r="H30" s="20"/>
      <c r="I30" s="21"/>
      <c r="J30" s="21"/>
      <c r="K30" s="21"/>
      <c r="L30" s="21"/>
      <c r="M30" s="2">
        <f>MIN($B$8,(100+$B$7)/(1+G$21+$D$8/10000))+$B$7</f>
        <v>103.581205</v>
      </c>
    </row>
    <row r="31" spans="1:13" x14ac:dyDescent="0.35">
      <c r="A31" s="42"/>
      <c r="B31" s="5"/>
      <c r="C31" s="5"/>
      <c r="D31" s="5"/>
      <c r="E31" s="5"/>
      <c r="F31" s="10">
        <f>E35*EXP(10*$F$20)</f>
        <v>5.1343683328101457E-2</v>
      </c>
      <c r="G31" s="10">
        <f>F35*EXP(10*$G$20)</f>
        <v>7.2624682090168272E-2</v>
      </c>
      <c r="I31" s="21"/>
      <c r="J31" s="21"/>
      <c r="K31" s="21"/>
      <c r="L31" s="2">
        <f>MIN($B$8,AVERAGE(M24:M26)/(1+F31+$D$8/10000))+$B$7</f>
        <v>101.76131889777218</v>
      </c>
      <c r="M31" s="21"/>
    </row>
    <row r="32" spans="1:13" x14ac:dyDescent="0.35">
      <c r="A32" s="42"/>
      <c r="B32" s="5"/>
      <c r="C32" s="5"/>
      <c r="D32" s="5"/>
      <c r="E32" s="5"/>
      <c r="F32" s="13">
        <f>(E35+$B$4)*EXP(10*$F$20)</f>
        <v>5.3861220675363509E-2</v>
      </c>
      <c r="G32" s="13">
        <f>(F35+$B$4)*EXP(10*$G$20)</f>
        <v>7.5111856225406406E-2</v>
      </c>
      <c r="J32" s="21"/>
      <c r="K32" s="21"/>
      <c r="L32" s="21"/>
      <c r="M32" s="2">
        <f>MIN($B$8,(100+$B$7)/(1+G$21+$D$8/10000))+$B$7</f>
        <v>103.581205</v>
      </c>
    </row>
    <row r="33" spans="1:13" x14ac:dyDescent="0.35">
      <c r="A33" s="42"/>
      <c r="B33" s="5"/>
      <c r="C33" s="5"/>
      <c r="D33" s="5"/>
      <c r="E33" s="5"/>
      <c r="F33" s="10">
        <f>E36*EXP(10*$F$20)</f>
        <v>5.4498439407339151E-2</v>
      </c>
      <c r="G33" s="10">
        <f>F36*EXP(10*$G$20)</f>
        <v>7.5755458977471365E-2</v>
      </c>
      <c r="K33" s="21"/>
      <c r="L33" s="2">
        <f>MIN($B$8,AVERAGE(M26:M28)/(1+F33+$D$8/10000))+$B$7</f>
        <v>101.47109862894003</v>
      </c>
      <c r="M33" s="21"/>
    </row>
    <row r="34" spans="1:13" x14ac:dyDescent="0.35">
      <c r="A34" s="42"/>
      <c r="B34" s="5"/>
      <c r="C34" s="5"/>
      <c r="D34" s="5"/>
      <c r="E34" s="5"/>
      <c r="F34" s="13">
        <f>(E36+$B$4)*EXP(10*$F$20)</f>
        <v>5.7015976754601204E-2</v>
      </c>
      <c r="G34" s="13">
        <f>(F36+$B$4)*EXP(10*$G$20)</f>
        <v>7.8242633112709487E-2</v>
      </c>
      <c r="K34" s="2">
        <f>MIN($B$8,AVERAGE(L31:L33)/(1+E35+$D$8/10000))+$B$7</f>
        <v>100.87174867745081</v>
      </c>
      <c r="L34" s="21"/>
      <c r="M34" s="2">
        <f>MIN($B$8,(100+$B$7)/(1+G$21+$D$8/10000))+$B$7</f>
        <v>103.581205</v>
      </c>
    </row>
    <row r="35" spans="1:13" x14ac:dyDescent="0.35">
      <c r="A35" s="42"/>
      <c r="B35" s="5"/>
      <c r="C35" s="5"/>
      <c r="D35" s="5"/>
      <c r="E35" s="10">
        <f>D36*EXP(10*$E$20)</f>
        <v>4.0788815612956345E-2</v>
      </c>
      <c r="F35" s="10">
        <f>E37*EXP(10*$F$20)</f>
        <v>5.8399354561650053E-2</v>
      </c>
      <c r="G35" s="10">
        <f>F37*EXP(10*$G$20)</f>
        <v>7.1832245115838744E-2</v>
      </c>
      <c r="K35" s="21"/>
      <c r="L35" s="2">
        <f>MIN($B$8,AVERAGE(M28:M30)/(1+F35+$D$8/10000))+$B$7</f>
        <v>101.11460975836447</v>
      </c>
      <c r="M35" s="21"/>
    </row>
    <row r="36" spans="1:13" x14ac:dyDescent="0.35">
      <c r="A36" s="42"/>
      <c r="B36" s="5"/>
      <c r="C36" s="5"/>
      <c r="D36" s="10">
        <f>C38*EXP(10*$D$20)</f>
        <v>3.2550017838785146E-2</v>
      </c>
      <c r="E36" s="13">
        <f>(D36+$B$4)*EXP(10*$E$20)</f>
        <v>4.3295039469113755E-2</v>
      </c>
      <c r="F36" s="13">
        <f>(E37+$B$4)*EXP(10*$F$20)</f>
        <v>6.0916891908912106E-2</v>
      </c>
      <c r="G36" s="13">
        <f>(F37+$B$4)*EXP(10*$G$20)</f>
        <v>7.4319419251076865E-2</v>
      </c>
      <c r="K36" s="2">
        <f>MIN($B$8,AVERAGE(L35:L38)/(1+E38+$D$8/10000))+$B$7</f>
        <v>100.24655146210914</v>
      </c>
      <c r="L36" s="21"/>
      <c r="M36" s="2">
        <f>MIN($B$8,(100+$B$7)/(1+G$21+$D$8/10000))+$B$7</f>
        <v>103.581205</v>
      </c>
    </row>
    <row r="37" spans="1:13" x14ac:dyDescent="0.35">
      <c r="A37" s="42"/>
      <c r="B37" s="5"/>
      <c r="C37" s="5"/>
      <c r="D37" s="13">
        <f>(C38+$B$4)*EXP(10*$D$20)</f>
        <v>3.5023055408937638E-2</v>
      </c>
      <c r="E37" s="13">
        <f>(D37+$B$4)*EXP(10*$E$20)</f>
        <v>4.6394032346858627E-2</v>
      </c>
      <c r="F37" s="13">
        <f>(E38+$B$4)*EXP(10*$F$20)</f>
        <v>5.7762135829674405E-2</v>
      </c>
      <c r="G37" s="13">
        <f>(F38+$B$4)*EXP(10*$G$20)</f>
        <v>7.1188642363773785E-2</v>
      </c>
      <c r="H37" s="46" t="s">
        <v>36</v>
      </c>
      <c r="J37" s="2">
        <f>MIN($B$8,AVERAGE(K34:K36)/(1+D37+$D$8/10000))+$B$7</f>
        <v>100.39387848487546</v>
      </c>
      <c r="K37" s="21"/>
      <c r="L37" s="21"/>
      <c r="M37" s="21"/>
    </row>
    <row r="38" spans="1:13" x14ac:dyDescent="0.35">
      <c r="A38" s="42"/>
      <c r="B38" s="5"/>
      <c r="C38" s="13">
        <f>(B39+$B$4)*EXP(10*$C$20)</f>
        <v>2.6323916976949188E-2</v>
      </c>
      <c r="D38" s="5"/>
      <c r="E38" s="10">
        <f>D37*EXP(10*$E$20)</f>
        <v>4.3887808490701209E-2</v>
      </c>
      <c r="F38" s="10">
        <f>E38*EXP(10*$F$20)</f>
        <v>5.5244598482412352E-2</v>
      </c>
      <c r="G38" s="10">
        <f>F38*EXP(10*$G$20)</f>
        <v>6.870146822853565E-2</v>
      </c>
      <c r="H38" s="28"/>
      <c r="I38" s="2">
        <f>MIN($B$8,AVERAGE(J37:J37)/(1+C38+$D$8/10000))+$B$7</f>
        <v>101.04468990817958</v>
      </c>
      <c r="J38" s="21"/>
      <c r="K38" s="21"/>
      <c r="L38" s="2">
        <f>MIN($B$8,AVERAGE(M31:M33)/(1+F38+$D$8/10000))+$B$7</f>
        <v>101.40270788020598</v>
      </c>
      <c r="M38" s="2">
        <f>MIN($B$8,(100+$B$7)/(1+G$21+$D$8/10000))+$B$7</f>
        <v>103.581205</v>
      </c>
    </row>
    <row r="39" spans="1:13" x14ac:dyDescent="0.35">
      <c r="A39" s="42"/>
      <c r="B39" s="59">
        <f>B21*EXP(10*B20)</f>
        <v>1.9244072530046626E-2</v>
      </c>
      <c r="C39" s="19"/>
      <c r="D39" s="5"/>
      <c r="E39" s="5"/>
      <c r="F39" s="5"/>
      <c r="G39" s="5"/>
      <c r="H39" s="90">
        <f>AVERAGE(I38:I40)/(1+B39+$D$8/10000)</f>
        <v>99.581237677609565</v>
      </c>
    </row>
    <row r="40" spans="1:13" x14ac:dyDescent="0.35">
      <c r="A40" s="42"/>
      <c r="B40" s="5"/>
      <c r="C40" s="58">
        <f>(B39-$B$4)*EXP(10*$C$20)</f>
        <v>2.1367444165115601E-2</v>
      </c>
      <c r="D40" s="5"/>
      <c r="E40" s="10">
        <f>D41*EXP(10*$E$20)</f>
        <v>3.0009785763907299E-2</v>
      </c>
      <c r="F40" s="10">
        <f>E40*EXP(10*$F$20)</f>
        <v>3.7775378221984776E-2</v>
      </c>
      <c r="G40" s="10">
        <f>F40*EXP(10*$G$20)</f>
        <v>4.6976971831279017E-2</v>
      </c>
      <c r="H40" s="22"/>
      <c r="I40" s="2">
        <f>MIN($B$8,AVERAGE(J41:J41)/(1+C40+$D$8/10000))+$B$7</f>
        <v>103.581205</v>
      </c>
      <c r="J40" s="21"/>
      <c r="K40" s="21"/>
      <c r="L40" s="2">
        <f>MIN($B$8,AVERAGE(M33:M35)/(1+F40+$D$8/10000))+$B$7</f>
        <v>103.0294852187124</v>
      </c>
      <c r="M40" s="2">
        <f>MIN($B$8,(100+$B$7)/(1+G$21+$D$8/10000))+$B$7</f>
        <v>103.581205</v>
      </c>
    </row>
    <row r="41" spans="1:13" x14ac:dyDescent="0.35">
      <c r="A41" s="42"/>
      <c r="B41" s="5"/>
      <c r="C41" s="5"/>
      <c r="D41" s="58">
        <f>(C40-$B$4)*EXP(10*$D$20)</f>
        <v>2.394820852908075E-2</v>
      </c>
      <c r="E41" s="58">
        <f>(D41-$B$4)*EXP(10*$E$20)</f>
        <v>2.7503561907749885E-2</v>
      </c>
      <c r="F41" s="58">
        <f>(E40-$B$4)*EXP(10*$E$20)</f>
        <v>3.5099396643681377E-2</v>
      </c>
      <c r="G41" s="58">
        <f>(F40-$B$4)*EXP(10*$G$20)</f>
        <v>4.4489797696040896E-2</v>
      </c>
      <c r="H41" s="22"/>
      <c r="J41" s="2">
        <f>MIN($B$8,AVERAGE(K42:K44)/(1+D42+$D$8/10000))+$B$7</f>
        <v>103.581205</v>
      </c>
      <c r="K41" s="21"/>
      <c r="L41" s="21"/>
      <c r="M41" s="21"/>
    </row>
    <row r="42" spans="1:13" x14ac:dyDescent="0.35">
      <c r="A42" s="42"/>
      <c r="B42" s="5"/>
      <c r="C42" s="5"/>
      <c r="D42" s="10">
        <f>C40*EXP(10*$D$20)</f>
        <v>2.6421246099233242E-2</v>
      </c>
      <c r="E42" s="58">
        <f>(D42-$B$4)*EXP(10*$E$20)</f>
        <v>3.0602554785494753E-2</v>
      </c>
      <c r="F42" s="58">
        <f>(E41-$B$4)*EXP(10*$E$20)</f>
        <v>3.1958817635095109E-2</v>
      </c>
      <c r="G42" s="58">
        <f>(F41-$B$4)*EXP(10*$G$20)</f>
        <v>4.1161981612075939E-2</v>
      </c>
      <c r="H42" s="22"/>
      <c r="K42" s="2">
        <f>MIN($B$8,AVERAGE(L40:L43)/(1+E40+$D$8/10000))+$B$7</f>
        <v>103.38307616122869</v>
      </c>
      <c r="L42" s="21"/>
      <c r="M42" s="2">
        <f>MIN($B$8,(100+$B$7)/(1+G$21+$D$8/10000))+$B$7</f>
        <v>103.581205</v>
      </c>
    </row>
    <row r="43" spans="1:13" x14ac:dyDescent="0.35">
      <c r="A43" s="42"/>
      <c r="B43" s="5"/>
      <c r="C43" s="5"/>
      <c r="D43" s="5"/>
      <c r="E43" s="10">
        <f>D42*EXP(10*$E$20)</f>
        <v>3.3108778641652167E-2</v>
      </c>
      <c r="F43" s="10">
        <f>E41*EXP(10*$F$20)</f>
        <v>3.4620622142747075E-2</v>
      </c>
      <c r="G43" s="10">
        <f>F41*EXP(10*$G$20)</f>
        <v>4.3649155747314067E-2</v>
      </c>
      <c r="H43" s="22"/>
      <c r="K43" s="21"/>
      <c r="L43" s="2">
        <f>MIN($B$8,AVERAGE(M36:M38)/(1+F43+$D$8/10000))+$B$7</f>
        <v>103.32907413065912</v>
      </c>
      <c r="M43" s="21"/>
    </row>
    <row r="44" spans="1:13" x14ac:dyDescent="0.35">
      <c r="A44" s="42"/>
      <c r="B44" s="5"/>
      <c r="C44" s="5"/>
      <c r="D44" s="5"/>
      <c r="E44" s="5"/>
      <c r="F44" s="58">
        <f>(E42-$B$4)*EXP(10*$E$20)</f>
        <v>3.584220257522816E-2</v>
      </c>
      <c r="G44" s="58">
        <f>(F42-$B$4)*EXP(10*$G$20)</f>
        <v>3.7256398172162163E-2</v>
      </c>
      <c r="H44" s="20"/>
      <c r="I44" s="21"/>
      <c r="J44" s="21"/>
      <c r="K44" s="2">
        <f>MIN($B$8,AVERAGE(L45:L47)/(1+E43+$D$8/10000))+$B$7</f>
        <v>102.73286961428103</v>
      </c>
      <c r="L44" s="21"/>
      <c r="M44" s="2">
        <f>MIN($B$8,(100+$B$7)/(1+G$21+$D$8/10000))+$B$7</f>
        <v>103.581205</v>
      </c>
    </row>
    <row r="45" spans="1:13" x14ac:dyDescent="0.35">
      <c r="A45" s="42"/>
      <c r="B45" s="5"/>
      <c r="C45" s="5"/>
      <c r="D45" s="5"/>
      <c r="E45" s="5"/>
      <c r="F45" s="10">
        <f>E42*EXP(10*$F$20)</f>
        <v>3.8521537297057977E-2</v>
      </c>
      <c r="G45" s="10">
        <f>F42*EXP(10*$G$20)</f>
        <v>3.9743572307400291E-2</v>
      </c>
      <c r="I45" s="21"/>
      <c r="J45" s="21"/>
      <c r="K45" s="21"/>
      <c r="L45" s="2">
        <f>MIN($B$8,AVERAGE(M38:M40)/(1+F45+$D$8/10000))+$B$7</f>
        <v>102.95889089094308</v>
      </c>
      <c r="M45" s="21"/>
    </row>
    <row r="46" spans="1:13" x14ac:dyDescent="0.35">
      <c r="A46" s="42"/>
      <c r="B46" s="89"/>
      <c r="C46" s="5"/>
      <c r="D46" s="5"/>
      <c r="E46" s="5"/>
      <c r="F46" s="58">
        <f>(E43-$B$4)*EXP(10*$E$20)</f>
        <v>3.8982781583814428E-2</v>
      </c>
      <c r="G46" s="58">
        <f>(F43-$B$4)*EXP(10*$G$20)</f>
        <v>4.0566583834408275E-2</v>
      </c>
      <c r="J46" s="21"/>
      <c r="K46" s="21"/>
      <c r="L46" s="21"/>
      <c r="M46" s="2">
        <f>MIN($B$8,(100+$B$7)/(1+G$21+$D$8/10000))+$B$7</f>
        <v>103.581205</v>
      </c>
    </row>
    <row r="47" spans="1:13" x14ac:dyDescent="0.35">
      <c r="A47" s="42"/>
      <c r="B47" s="5"/>
      <c r="C47" s="5"/>
      <c r="D47" s="5"/>
      <c r="E47" s="5"/>
      <c r="F47" s="10">
        <f>E43*EXP(10*$F$20)</f>
        <v>4.1676293376295671E-2</v>
      </c>
      <c r="G47" s="10">
        <f>F43*EXP(10*$G$20)</f>
        <v>4.3053757969646396E-2</v>
      </c>
      <c r="K47" s="21"/>
      <c r="L47" s="2">
        <f>MIN($B$8,AVERAGE(M40:M42)/(1+F47+$D$8/10000))+$B$7</f>
        <v>102.66152751327722</v>
      </c>
      <c r="M47" s="21"/>
    </row>
    <row r="48" spans="1:13" x14ac:dyDescent="0.35">
      <c r="A48" s="42"/>
      <c r="B48" s="5"/>
      <c r="C48" s="5"/>
      <c r="D48" s="5"/>
      <c r="E48" s="5"/>
      <c r="F48" s="5"/>
      <c r="G48" s="58">
        <f>(F44-$B$4)*EXP(10*$G$20)</f>
        <v>4.2085725462298253E-2</v>
      </c>
      <c r="L48" s="21"/>
      <c r="M48" s="2">
        <f>MIN($B$8,(100+$B$7)/(1+G$21+$D$8/10000))+$B$7</f>
        <v>103.581205</v>
      </c>
    </row>
    <row r="49" spans="1:13" x14ac:dyDescent="0.35">
      <c r="A49" s="42"/>
      <c r="B49" s="5"/>
      <c r="C49" s="5"/>
      <c r="D49" s="5"/>
      <c r="E49" s="5"/>
      <c r="F49" s="5"/>
      <c r="G49" s="10">
        <f>F44*EXP(10*$G$20)</f>
        <v>4.4572899597536374E-2</v>
      </c>
      <c r="M49" s="21"/>
    </row>
    <row r="50" spans="1:13" x14ac:dyDescent="0.35">
      <c r="A50" s="42"/>
      <c r="B50" s="5"/>
      <c r="C50" s="5"/>
      <c r="D50" s="5"/>
      <c r="E50" s="5"/>
      <c r="F50" s="5"/>
      <c r="G50" s="58">
        <f>(F45-$B$4)*EXP(10*$G$20)</f>
        <v>4.5417711472188531E-2</v>
      </c>
      <c r="M50" s="2">
        <f>MIN($B$8,(100+$B$7)/(1+G$21+$D$8/10000))+$B$7</f>
        <v>103.581205</v>
      </c>
    </row>
    <row r="51" spans="1:13" x14ac:dyDescent="0.35">
      <c r="A51" s="42"/>
      <c r="B51" s="5"/>
      <c r="C51" s="5"/>
      <c r="D51" s="5"/>
      <c r="E51" s="5"/>
      <c r="F51" s="5"/>
      <c r="G51" s="10">
        <f>F45*EXP(10*$G$20)</f>
        <v>4.7904885607426652E-2</v>
      </c>
      <c r="H51" s="22"/>
      <c r="M51" s="21"/>
    </row>
    <row r="52" spans="1:13" x14ac:dyDescent="0.35">
      <c r="A52" s="42"/>
      <c r="B52" s="5"/>
      <c r="C52" s="5"/>
      <c r="D52" s="5"/>
      <c r="E52" s="5"/>
      <c r="F52" s="5"/>
      <c r="G52" s="58">
        <f>(F46-$B$4)*EXP(10*$G$20)</f>
        <v>4.5991308902212029E-2</v>
      </c>
      <c r="H52" s="22"/>
      <c r="M52" s="2">
        <f>MIN($B$8,(100+$B$7)/(1+G$21+$D$8/10000))+$B$7</f>
        <v>103.581205</v>
      </c>
    </row>
    <row r="53" spans="1:13" x14ac:dyDescent="0.35">
      <c r="A53" s="42"/>
      <c r="B53" s="5"/>
      <c r="C53" s="5"/>
      <c r="D53" s="5"/>
      <c r="E53" s="5"/>
      <c r="F53" s="5"/>
      <c r="G53" s="10">
        <f>F46*EXP(10*$G$20)</f>
        <v>4.8478483037450157E-2</v>
      </c>
      <c r="H53" s="22"/>
      <c r="M53" s="21"/>
    </row>
    <row r="54" spans="1:13" x14ac:dyDescent="0.35">
      <c r="A54" s="42"/>
      <c r="B54" s="5"/>
      <c r="C54" s="5"/>
      <c r="D54" s="5"/>
      <c r="E54" s="5"/>
      <c r="F54" s="5"/>
      <c r="G54" s="58">
        <f>(F47-$B$4)*EXP(10*$G$20)</f>
        <v>4.9340925333821138E-2</v>
      </c>
      <c r="H54" s="22"/>
      <c r="M54" s="2">
        <f>MIN($B$8,(100+$B$7)/(1+G$21+$D$8/10000))+$B$7</f>
        <v>103.581205</v>
      </c>
    </row>
    <row r="55" spans="1:13" x14ac:dyDescent="0.35">
      <c r="A55" s="42"/>
      <c r="B55" s="5"/>
      <c r="C55" s="5"/>
      <c r="D55" s="5"/>
      <c r="E55" s="5"/>
      <c r="F55" s="5"/>
      <c r="G55" s="10">
        <f>F47*EXP(10*$G$20)</f>
        <v>5.1828099469059266E-2</v>
      </c>
      <c r="H55" s="22"/>
      <c r="M55" s="21"/>
    </row>
    <row r="56" spans="1:13" x14ac:dyDescent="0.35">
      <c r="A56" s="36" t="s">
        <v>7</v>
      </c>
      <c r="B56" s="37">
        <v>1</v>
      </c>
      <c r="C56" s="37">
        <v>2</v>
      </c>
      <c r="D56" s="37">
        <v>3</v>
      </c>
      <c r="E56" s="37">
        <v>4</v>
      </c>
      <c r="F56" s="37">
        <v>5</v>
      </c>
      <c r="G56" s="37">
        <v>6</v>
      </c>
    </row>
    <row r="57" spans="1:13" x14ac:dyDescent="0.35">
      <c r="A57" s="43" t="s">
        <v>9</v>
      </c>
      <c r="B57" s="30">
        <f t="shared" ref="B57:G57" si="3">B21</f>
        <v>1.5666161891000001E-2</v>
      </c>
      <c r="C57" s="30">
        <f t="shared" si="3"/>
        <v>1.6569116671999999E-2</v>
      </c>
      <c r="D57" s="30">
        <f t="shared" si="3"/>
        <v>1.6868403449000001E-2</v>
      </c>
      <c r="E57" s="30">
        <f t="shared" si="3"/>
        <v>1.7972930716899999E-2</v>
      </c>
      <c r="F57" s="30">
        <f t="shared" si="3"/>
        <v>1.9474460410419999E-2</v>
      </c>
      <c r="G57" s="30">
        <f t="shared" si="3"/>
        <v>2.1470339339999998E-2</v>
      </c>
      <c r="H57"/>
    </row>
    <row r="58" spans="1:13" x14ac:dyDescent="0.35">
      <c r="A58" s="41" t="s">
        <v>47</v>
      </c>
      <c r="B58" s="7">
        <f t="shared" ref="B58:G58" si="4">B57+0.0001</f>
        <v>1.5766161891E-2</v>
      </c>
      <c r="C58" s="7">
        <f t="shared" si="4"/>
        <v>1.6669116671999998E-2</v>
      </c>
      <c r="D58" s="7">
        <f t="shared" si="4"/>
        <v>1.6968403449E-2</v>
      </c>
      <c r="E58" s="7">
        <f t="shared" si="4"/>
        <v>1.8072930716899999E-2</v>
      </c>
      <c r="F58" s="7">
        <f t="shared" si="4"/>
        <v>1.9574460410419998E-2</v>
      </c>
      <c r="G58" s="7">
        <f t="shared" si="4"/>
        <v>2.1570339339999998E-2</v>
      </c>
    </row>
    <row r="59" spans="1:13" x14ac:dyDescent="0.35">
      <c r="A59" s="41" t="s">
        <v>0</v>
      </c>
      <c r="B59" s="8">
        <f>1/(1+B58)^B56</f>
        <v>0.98447855177450583</v>
      </c>
      <c r="C59" s="8">
        <f>1/(1+C58)^C56</f>
        <v>0.96747719677647825</v>
      </c>
      <c r="D59" s="8">
        <f>1/(1+D58)^D56</f>
        <v>0.9507747080199489</v>
      </c>
      <c r="E59" s="8">
        <f>1/(1+E58)^E56</f>
        <v>0.93086015079995532</v>
      </c>
      <c r="F59" s="8">
        <f>1/(1+F58)^F56</f>
        <v>0.90762251168844743</v>
      </c>
      <c r="G59" s="8">
        <f>1/(1+G58)^G56</f>
        <v>0.87981295021729955</v>
      </c>
      <c r="M59"/>
    </row>
    <row r="60" spans="1:13" x14ac:dyDescent="0.35">
      <c r="A60" s="42"/>
      <c r="B60" s="5"/>
      <c r="C60" s="5"/>
      <c r="D60" s="5"/>
      <c r="E60" s="5"/>
      <c r="F60" s="5"/>
      <c r="G60" s="10">
        <f>F68*EXP(10*$G$20)</f>
        <v>6.4219538997055112E-2</v>
      </c>
      <c r="H60" s="22"/>
      <c r="M60" s="21"/>
    </row>
    <row r="61" spans="1:13" x14ac:dyDescent="0.35">
      <c r="A61" s="42"/>
      <c r="B61" s="5"/>
      <c r="C61" s="5"/>
      <c r="D61" s="5"/>
      <c r="E61" s="5"/>
      <c r="F61" s="5"/>
      <c r="G61" s="13">
        <f>(F68+$B$4)*EXP(10*$G$20)</f>
        <v>6.6706713132293247E-2</v>
      </c>
      <c r="H61" s="22"/>
      <c r="M61" s="2">
        <f>MIN($B$8,(100+$B$7)/(1+G$58+$D$8/10000))+$B$7</f>
        <v>103.581205</v>
      </c>
    </row>
    <row r="62" spans="1:13" x14ac:dyDescent="0.35">
      <c r="A62" s="42"/>
      <c r="B62" s="5"/>
      <c r="C62" s="5"/>
      <c r="D62" s="5"/>
      <c r="E62" s="5"/>
      <c r="F62" s="5"/>
      <c r="G62" s="10">
        <f>F69*EXP(10*$G$20)</f>
        <v>6.7350315884358206E-2</v>
      </c>
      <c r="H62" s="22"/>
      <c r="M62" s="21"/>
    </row>
    <row r="63" spans="1:13" x14ac:dyDescent="0.35">
      <c r="A63" s="42"/>
      <c r="B63" s="5"/>
      <c r="C63" s="5"/>
      <c r="D63" s="5"/>
      <c r="E63" s="5"/>
      <c r="F63" s="5"/>
      <c r="G63" s="13">
        <f>(F69+$B$4)*EXP(10*$G$20)</f>
        <v>6.9837490019596327E-2</v>
      </c>
      <c r="H63" s="22"/>
      <c r="M63" s="2">
        <f>MIN($B$8,(100+$B$7)/(1+G$58+$D$8/10000))+$B$7</f>
        <v>103.581205</v>
      </c>
    </row>
    <row r="64" spans="1:13" x14ac:dyDescent="0.35">
      <c r="A64" s="42"/>
      <c r="B64" s="5"/>
      <c r="C64" s="5"/>
      <c r="D64" s="5"/>
      <c r="E64" s="5"/>
      <c r="F64" s="5"/>
      <c r="G64" s="10">
        <f>F70*EXP(10*$G$20)</f>
        <v>6.8142752858687747E-2</v>
      </c>
      <c r="H64" s="22"/>
      <c r="M64" s="21"/>
    </row>
    <row r="65" spans="1:13" x14ac:dyDescent="0.35">
      <c r="A65" s="42"/>
      <c r="B65" s="5"/>
      <c r="C65" s="5"/>
      <c r="D65" s="5"/>
      <c r="E65" s="5"/>
      <c r="F65" s="5"/>
      <c r="G65" s="13">
        <f>(F70+$B$4)*EXP(10*$G$20)</f>
        <v>7.0629926993925882E-2</v>
      </c>
      <c r="H65" s="22"/>
      <c r="M65" s="2">
        <f>MIN($B$8,(100+$B$7)/(1+G$58+$D$8/10000))+$B$7</f>
        <v>103.581205</v>
      </c>
    </row>
    <row r="66" spans="1:13" x14ac:dyDescent="0.35">
      <c r="A66" s="42"/>
      <c r="B66" s="5"/>
      <c r="C66" s="5"/>
      <c r="D66" s="5"/>
      <c r="E66" s="5"/>
      <c r="F66" s="5"/>
      <c r="G66" s="10">
        <f>F71*EXP(10*$G$20)</f>
        <v>7.1273529745990827E-2</v>
      </c>
      <c r="H66" s="22"/>
      <c r="M66" s="21"/>
    </row>
    <row r="67" spans="1:13" x14ac:dyDescent="0.35">
      <c r="A67" s="42"/>
      <c r="B67" s="5"/>
      <c r="C67" s="60"/>
      <c r="D67" s="5"/>
      <c r="E67" s="5"/>
      <c r="F67" s="5"/>
      <c r="G67" s="13">
        <f>(F71+$B$4)*EXP(10*$G$20)</f>
        <v>7.3760703881228948E-2</v>
      </c>
      <c r="H67" s="20"/>
      <c r="I67" s="21"/>
      <c r="J67" s="21"/>
      <c r="K67" s="21"/>
      <c r="L67" s="21"/>
      <c r="M67" s="2">
        <f>MIN($B$8,(100+$B$7)/(1+G$58+$D$8/10000))+$B$7</f>
        <v>103.581205</v>
      </c>
    </row>
    <row r="68" spans="1:13" x14ac:dyDescent="0.35">
      <c r="A68" s="42"/>
      <c r="B68" s="5"/>
      <c r="C68" s="5"/>
      <c r="D68" s="5"/>
      <c r="E68" s="5"/>
      <c r="F68" s="10">
        <f>E72*EXP(10*$F$20)</f>
        <v>5.1640565159629802E-2</v>
      </c>
      <c r="G68" s="10">
        <f>F72*EXP(10*$G$20)</f>
        <v>7.2993880496467975E-2</v>
      </c>
      <c r="I68" s="21"/>
      <c r="J68" s="21"/>
      <c r="K68" s="21"/>
      <c r="L68" s="2">
        <f>MIN($B$8,AVERAGE(M61:M63)/(1+F68+$D$8/10000))+$B$7</f>
        <v>101.73393374974009</v>
      </c>
      <c r="M68" s="21"/>
    </row>
    <row r="69" spans="1:13" x14ac:dyDescent="0.35">
      <c r="A69" s="42"/>
      <c r="B69" s="5"/>
      <c r="C69" s="5"/>
      <c r="D69" s="5"/>
      <c r="E69" s="5"/>
      <c r="F69" s="13">
        <f>(E72+$B$4)*EXP(10*$F$20)</f>
        <v>5.4158102506891855E-2</v>
      </c>
      <c r="G69" s="13">
        <f>(F72+$B$4)*EXP(10*$G$20)</f>
        <v>7.548105463170611E-2</v>
      </c>
      <c r="J69" s="21"/>
      <c r="K69" s="21"/>
      <c r="L69" s="21"/>
      <c r="M69" s="2">
        <f>MIN($B$8,(100+$B$7)/(1+G$58+$D$8/10000))+$B$7</f>
        <v>103.581205</v>
      </c>
    </row>
    <row r="70" spans="1:13" x14ac:dyDescent="0.35">
      <c r="A70" s="42"/>
      <c r="B70" s="5"/>
      <c r="C70" s="5"/>
      <c r="D70" s="5"/>
      <c r="E70" s="5"/>
      <c r="F70" s="10">
        <f>E73*EXP(10*$F$20)</f>
        <v>5.479532123886751E-2</v>
      </c>
      <c r="G70" s="10">
        <f>F73*EXP(10*$G$20)</f>
        <v>7.6124657383771069E-2</v>
      </c>
      <c r="K70" s="21"/>
      <c r="L70" s="2">
        <f>MIN($B$8,AVERAGE(M63:M65)/(1+F70+$D$8/10000))+$B$7</f>
        <v>101.44387581139799</v>
      </c>
      <c r="M70" s="21"/>
    </row>
    <row r="71" spans="1:13" x14ac:dyDescent="0.35">
      <c r="A71" s="42"/>
      <c r="B71" s="5"/>
      <c r="C71" s="5"/>
      <c r="D71" s="5"/>
      <c r="E71" s="5"/>
      <c r="F71" s="13">
        <f>(E73+$B$4)*EXP(10*$F$20)</f>
        <v>5.7312858586129556E-2</v>
      </c>
      <c r="G71" s="13">
        <f>(F73+$B$4)*EXP(10*$G$20)</f>
        <v>7.861183151900919E-2</v>
      </c>
      <c r="K71" s="2">
        <f>MIN($B$8,AVERAGE(L68:L70)/(1+E72+$D$8/10000))+$B$7</f>
        <v>100.8239497073229</v>
      </c>
      <c r="L71" s="21"/>
      <c r="M71" s="2">
        <f>MIN($B$8,(100+$B$7)/(1+G$58+$D$8/10000))+$B$7</f>
        <v>103.581205</v>
      </c>
    </row>
    <row r="72" spans="1:13" x14ac:dyDescent="0.35">
      <c r="A72" s="42"/>
      <c r="B72" s="5"/>
      <c r="C72" s="5"/>
      <c r="D72" s="5"/>
      <c r="E72" s="10">
        <f>D73*EXP(10*$E$20)</f>
        <v>4.1024666597928798E-2</v>
      </c>
      <c r="F72" s="10">
        <f>E74*EXP(10*$F$20)</f>
        <v>5.8696236393178391E-2</v>
      </c>
      <c r="G72" s="10">
        <f>F74*EXP(10*$G$20)</f>
        <v>7.2201443522138448E-2</v>
      </c>
      <c r="K72" s="21"/>
      <c r="L72" s="2">
        <f>MIN($B$8,AVERAGE(M65:M67)/(1+F72+$D$8/10000))+$B$7</f>
        <v>101.08758567746409</v>
      </c>
      <c r="M72" s="21"/>
    </row>
    <row r="73" spans="1:13" x14ac:dyDescent="0.35">
      <c r="A73" s="42"/>
      <c r="B73" s="5"/>
      <c r="C73" s="5"/>
      <c r="D73" s="10">
        <f>C75*EXP(10*$D$20)</f>
        <v>3.2738230064435304E-2</v>
      </c>
      <c r="E73" s="13">
        <f>(D73+$B$4)*EXP(10*$E$20)</f>
        <v>4.3530890454086216E-2</v>
      </c>
      <c r="F73" s="13">
        <f>(E74+$B$4)*EXP(10*$F$20)</f>
        <v>6.1213773740440444E-2</v>
      </c>
      <c r="G73" s="13">
        <f>(F74+$B$4)*EXP(10*$G$20)</f>
        <v>7.4688617657376569E-2</v>
      </c>
      <c r="K73" s="2">
        <f>MIN($B$8,AVERAGE(L72:L75)/(1+E75+$D$8/10000))+$B$7</f>
        <v>100.19922308187088</v>
      </c>
      <c r="L73" s="21"/>
      <c r="M73" s="2">
        <f>MIN($B$8,(100+$B$7)/(1+G$58+$D$8/10000))+$B$7</f>
        <v>103.581205</v>
      </c>
    </row>
    <row r="74" spans="1:13" x14ac:dyDescent="0.35">
      <c r="A74" s="42"/>
      <c r="B74" s="5"/>
      <c r="C74" s="5"/>
      <c r="D74" s="13">
        <f>(C75+$B$4)*EXP(10*$D$20)</f>
        <v>3.521126763458779E-2</v>
      </c>
      <c r="E74" s="13">
        <f>(D74+$B$4)*EXP(10*$E$20)</f>
        <v>4.6629883331831073E-2</v>
      </c>
      <c r="F74" s="13">
        <f>(E75+$B$4)*EXP(10*$F$20)</f>
        <v>5.8059017661202743E-2</v>
      </c>
      <c r="G74" s="13">
        <f>(F75+$B$4)*EXP(10*$G$20)</f>
        <v>7.1557840770073489E-2</v>
      </c>
      <c r="H74" s="22"/>
      <c r="J74" s="2">
        <f>MIN($B$8,AVERAGE(K71:K73)/(1+D74+$D$8/10000))+$B$7</f>
        <v>100.33090528762754</v>
      </c>
      <c r="K74" s="21"/>
      <c r="L74" s="21"/>
      <c r="M74" s="21"/>
    </row>
    <row r="75" spans="1:13" x14ac:dyDescent="0.35">
      <c r="A75" s="42"/>
      <c r="B75" s="5"/>
      <c r="C75" s="13">
        <f>(B76+$B$4)*EXP(10*$C$20)</f>
        <v>2.6476128352887606E-2</v>
      </c>
      <c r="D75" s="5"/>
      <c r="E75" s="10">
        <f>D74*EXP(10*$E$20)</f>
        <v>4.4123659475673656E-2</v>
      </c>
      <c r="F75" s="10">
        <f>E75*EXP(10*$F$20)</f>
        <v>5.554148031394069E-2</v>
      </c>
      <c r="G75" s="10">
        <f>F75*EXP(10*$G$20)</f>
        <v>6.9070666634835354E-2</v>
      </c>
      <c r="H75" s="22"/>
      <c r="I75" s="2">
        <f>MIN($B$8,AVERAGE(J74:J74)/(1+C75+$D$8/10000))+$B$7</f>
        <v>100.9695500551491</v>
      </c>
      <c r="J75" s="21"/>
      <c r="K75" s="21"/>
      <c r="L75" s="2">
        <f>MIN($B$8,AVERAGE(M68:M70)/(1+F75+$D$8/10000))+$B$7</f>
        <v>101.37552324579947</v>
      </c>
      <c r="M75" s="2">
        <f>MIN($B$8,(100+$B$7)/(1+G$58+$D$8/10000))+$B$7</f>
        <v>103.581205</v>
      </c>
    </row>
    <row r="76" spans="1:13" x14ac:dyDescent="0.35">
      <c r="A76" s="42"/>
      <c r="B76" s="59">
        <f>B58*EXP(10*B20)</f>
        <v>1.936691099337887E-2</v>
      </c>
      <c r="C76" s="19"/>
      <c r="D76" s="5"/>
      <c r="E76" s="5"/>
      <c r="F76" s="5"/>
      <c r="G76" s="5"/>
      <c r="H76" s="87">
        <f>AVERAGE(I75:I77)/(1+B76+$D$8/10000)</f>
        <v>99.5327708394463</v>
      </c>
    </row>
    <row r="77" spans="1:13" x14ac:dyDescent="0.35">
      <c r="A77" s="42"/>
      <c r="B77" s="5"/>
      <c r="C77" s="58">
        <f>(B76-$B$4)*EXP(10*$C$20)</f>
        <v>2.1519655541054027E-2</v>
      </c>
      <c r="D77" s="5"/>
      <c r="E77" s="10">
        <f>D78*EXP(10*$E$20)</f>
        <v>3.0245636748879763E-2</v>
      </c>
      <c r="F77" s="10">
        <f>E77*EXP(10*$F$20)</f>
        <v>3.8072260053513135E-2</v>
      </c>
      <c r="G77" s="10">
        <f>F77*EXP(10*$G$20)</f>
        <v>4.7346170237578748E-2</v>
      </c>
      <c r="H77" s="22"/>
      <c r="I77" s="2">
        <f>MIN($B$8,AVERAGE(J78:J78)/(1+C77+$D$8/10000))+$B$7</f>
        <v>103.581205</v>
      </c>
      <c r="J77" s="21"/>
      <c r="K77" s="21"/>
      <c r="L77" s="2">
        <f>MIN($B$8,AVERAGE(M70:M72)/(1+F77+$D$8/10000))+$B$7</f>
        <v>103.00138508064967</v>
      </c>
      <c r="M77" s="2">
        <f>MIN($B$8,(100+$B$7)/(1+G$58+$D$8/10000))+$B$7</f>
        <v>103.581205</v>
      </c>
    </row>
    <row r="78" spans="1:13" x14ac:dyDescent="0.35">
      <c r="A78" s="42"/>
      <c r="B78" s="5"/>
      <c r="C78" s="5"/>
      <c r="D78" s="58">
        <f>(C77-$B$4)*EXP(10*$D$20)</f>
        <v>2.4136420754730915E-2</v>
      </c>
      <c r="E78" s="58">
        <f>(D78-$B$4)*EXP(10*$E$20)</f>
        <v>2.7739412892722349E-2</v>
      </c>
      <c r="F78" s="58">
        <f>(E77-$B$4)*EXP(10*$E$20)</f>
        <v>3.5394944326199482E-2</v>
      </c>
      <c r="G78" s="58">
        <f>(F77-$B$4)*EXP(10*$G$20)</f>
        <v>4.485899610234062E-2</v>
      </c>
      <c r="H78" s="22"/>
      <c r="J78" s="2">
        <f>MIN($B$8,AVERAGE(K79:K81)/(1+D79+$D$8/10000))+$B$7</f>
        <v>103.5446170872586</v>
      </c>
      <c r="K78" s="21"/>
      <c r="L78" s="21"/>
      <c r="M78" s="21"/>
    </row>
    <row r="79" spans="1:13" x14ac:dyDescent="0.35">
      <c r="A79" s="42"/>
      <c r="B79" s="5"/>
      <c r="C79" s="5"/>
      <c r="D79" s="10">
        <f>C77*EXP(10*$D$20)</f>
        <v>2.6609458324883407E-2</v>
      </c>
      <c r="E79" s="58">
        <f>(D79-$B$4)*EXP(10*$E$20)</f>
        <v>3.0838405770467217E-2</v>
      </c>
      <c r="F79" s="58">
        <f>(E78-$B$4)*EXP(10*$E$20)</f>
        <v>3.2254365317613221E-2</v>
      </c>
      <c r="G79" s="58">
        <f>(F78-$B$4)*EXP(10*$G$20)</f>
        <v>4.1529520887920238E-2</v>
      </c>
      <c r="H79" s="22"/>
      <c r="K79" s="2">
        <f>MIN($B$8,AVERAGE(L77:L80)/(1+E77+$D$8/10000))+$B$7</f>
        <v>103.3333619917379</v>
      </c>
      <c r="L79" s="21"/>
      <c r="M79" s="2">
        <f>MIN($B$8,(100+$B$7)/(1+G$58+$D$8/10000))+$B$7</f>
        <v>103.581205</v>
      </c>
    </row>
    <row r="80" spans="1:13" x14ac:dyDescent="0.35">
      <c r="A80" s="42"/>
      <c r="B80" s="5"/>
      <c r="C80" s="5"/>
      <c r="D80" s="5"/>
      <c r="E80" s="10">
        <f>D79*EXP(10*$E$20)</f>
        <v>3.3344629626624635E-2</v>
      </c>
      <c r="F80" s="10">
        <f>E78*EXP(10*$F$20)</f>
        <v>3.4917503974275434E-2</v>
      </c>
      <c r="G80" s="10">
        <f>F78*EXP(10*$G$20)</f>
        <v>4.4016695023158366E-2</v>
      </c>
      <c r="H80" s="22"/>
      <c r="K80" s="21"/>
      <c r="L80" s="2">
        <f>MIN($B$8,AVERAGE(M73:M75)/(1+F80+$D$8/10000))+$B$7</f>
        <v>103.3008037398246</v>
      </c>
      <c r="M80" s="21"/>
    </row>
    <row r="81" spans="1:13" x14ac:dyDescent="0.35">
      <c r="A81" s="42"/>
      <c r="B81" s="5"/>
      <c r="C81" s="5"/>
      <c r="D81" s="5"/>
      <c r="E81" s="5"/>
      <c r="F81" s="58">
        <f>(E79-$B$4)*EXP(10*$E$20)</f>
        <v>3.6137750257746265E-2</v>
      </c>
      <c r="G81" s="58">
        <f>(F79-$B$4)*EXP(10*$G$20)</f>
        <v>3.7623937448006468E-2</v>
      </c>
      <c r="H81" s="20"/>
      <c r="I81" s="21"/>
      <c r="J81" s="21"/>
      <c r="K81" s="2">
        <f>MIN($B$8,AVERAGE(L82:L84)/(1+E80+$D$8/10000))+$B$7</f>
        <v>102.6836516029766</v>
      </c>
      <c r="L81" s="21"/>
      <c r="M81" s="2">
        <f>MIN($B$8,(100+$B$7)/(1+G$58+$D$8/10000))+$B$7</f>
        <v>103.581205</v>
      </c>
    </row>
    <row r="82" spans="1:13" x14ac:dyDescent="0.35">
      <c r="A82" s="42"/>
      <c r="B82" s="5"/>
      <c r="C82" s="5"/>
      <c r="D82" s="5"/>
      <c r="E82" s="5"/>
      <c r="F82" s="10">
        <f>E79*EXP(10*$F$20)</f>
        <v>3.8818419128586336E-2</v>
      </c>
      <c r="G82" s="10">
        <f>F79*EXP(10*$G$20)</f>
        <v>4.0111111583244596E-2</v>
      </c>
      <c r="I82" s="21"/>
      <c r="J82" s="21"/>
      <c r="K82" s="21"/>
      <c r="L82" s="2">
        <f>MIN($B$8,AVERAGE(M75:M77)/(1+F82+$D$8/10000))+$B$7</f>
        <v>102.93083079594942</v>
      </c>
      <c r="M82" s="21"/>
    </row>
    <row r="83" spans="1:13" x14ac:dyDescent="0.35">
      <c r="A83" s="42"/>
      <c r="B83" s="89"/>
      <c r="C83" s="5"/>
      <c r="D83" s="5"/>
      <c r="E83" s="5"/>
      <c r="F83" s="58">
        <f>(E80-$B$4)*EXP(10*$E$20)</f>
        <v>3.927832926633254E-2</v>
      </c>
      <c r="G83" s="58">
        <f>(F80-$B$4)*EXP(10*$G$20)</f>
        <v>4.0935782240707999E-2</v>
      </c>
      <c r="J83" s="21"/>
      <c r="K83" s="21"/>
      <c r="L83" s="21"/>
      <c r="M83" s="2">
        <f>MIN($B$8,(100+$B$7)/(1+G$58+$D$8/10000))+$B$7</f>
        <v>103.581205</v>
      </c>
    </row>
    <row r="84" spans="1:13" x14ac:dyDescent="0.35">
      <c r="A84" s="42"/>
      <c r="B84" s="5"/>
      <c r="C84" s="5"/>
      <c r="D84" s="5"/>
      <c r="E84" s="5"/>
      <c r="F84" s="10">
        <f>E80*EXP(10*$F$20)</f>
        <v>4.1973175207824037E-2</v>
      </c>
      <c r="G84" s="10">
        <f>F80*EXP(10*$G$20)</f>
        <v>4.3422956375946127E-2</v>
      </c>
      <c r="K84" s="21"/>
      <c r="L84" s="2">
        <f>MIN($B$8,AVERAGE(M77:M79)/(1+F84+$D$8/10000))+$B$7</f>
        <v>102.63363577773205</v>
      </c>
      <c r="M84" s="21"/>
    </row>
    <row r="85" spans="1:13" x14ac:dyDescent="0.35">
      <c r="A85" s="42"/>
      <c r="B85" s="5"/>
      <c r="C85" s="5"/>
      <c r="D85" s="5"/>
      <c r="E85" s="5"/>
      <c r="F85" s="5"/>
      <c r="G85" s="58">
        <f>(F81-$B$4)*EXP(10*$G$20)</f>
        <v>4.2453264738142552E-2</v>
      </c>
      <c r="L85" s="21"/>
      <c r="M85" s="2">
        <f>MIN($B$8,(100+$B$7)/(1+G$58+$D$8/10000))+$B$7</f>
        <v>103.581205</v>
      </c>
    </row>
    <row r="86" spans="1:13" x14ac:dyDescent="0.35">
      <c r="A86" s="42"/>
      <c r="B86" s="5"/>
      <c r="C86" s="5"/>
      <c r="D86" s="5"/>
      <c r="E86" s="5"/>
      <c r="F86" s="5"/>
      <c r="G86" s="10">
        <f>F81*EXP(10*$G$20)</f>
        <v>4.4940438873380679E-2</v>
      </c>
      <c r="M86" s="21"/>
    </row>
    <row r="87" spans="1:13" x14ac:dyDescent="0.35">
      <c r="A87" s="42"/>
      <c r="B87" s="5"/>
      <c r="C87" s="5"/>
      <c r="D87" s="5"/>
      <c r="E87" s="5"/>
      <c r="F87" s="5"/>
      <c r="G87" s="58">
        <f>(F82-$B$4)*EXP(10*$G$20)</f>
        <v>4.5786909878488255E-2</v>
      </c>
      <c r="M87" s="2">
        <f>MIN($B$8,(100+$B$7)/(1+G$58+$D$8/10000))+$B$7</f>
        <v>103.581205</v>
      </c>
    </row>
    <row r="88" spans="1:13" x14ac:dyDescent="0.35">
      <c r="A88" s="42"/>
      <c r="B88" s="5"/>
      <c r="C88" s="5"/>
      <c r="D88" s="5"/>
      <c r="E88" s="5"/>
      <c r="F88" s="5"/>
      <c r="G88" s="10">
        <f>F82*EXP(10*$G$20)</f>
        <v>4.8274084013726383E-2</v>
      </c>
      <c r="H88" s="22"/>
      <c r="M88" s="21"/>
    </row>
    <row r="89" spans="1:13" x14ac:dyDescent="0.35">
      <c r="A89" s="42"/>
      <c r="B89" s="5"/>
      <c r="C89" s="5"/>
      <c r="D89" s="5"/>
      <c r="E89" s="5"/>
      <c r="F89" s="5"/>
      <c r="G89" s="58">
        <f>(F83-$B$4)*EXP(10*$G$20)</f>
        <v>4.6358848178056335E-2</v>
      </c>
      <c r="H89" s="22"/>
      <c r="M89" s="2">
        <f>MIN($B$8,(100+$B$7)/(1+G$58+$D$8/10000))+$B$7</f>
        <v>103.581205</v>
      </c>
    </row>
    <row r="90" spans="1:13" x14ac:dyDescent="0.35">
      <c r="A90" s="42"/>
      <c r="B90" s="5"/>
      <c r="C90" s="5"/>
      <c r="D90" s="5"/>
      <c r="E90" s="5"/>
      <c r="F90" s="5"/>
      <c r="G90" s="10">
        <f>F83*EXP(10*$G$20)</f>
        <v>4.8846022313294463E-2</v>
      </c>
      <c r="H90" s="22"/>
      <c r="M90" s="21"/>
    </row>
    <row r="91" spans="1:13" x14ac:dyDescent="0.35">
      <c r="A91" s="42"/>
      <c r="B91" s="5"/>
      <c r="C91" s="5"/>
      <c r="D91" s="5"/>
      <c r="E91" s="5"/>
      <c r="F91" s="5"/>
      <c r="G91" s="58">
        <f>(F84-$B$4)*EXP(10*$G$20)</f>
        <v>4.9710123740120876E-2</v>
      </c>
      <c r="H91" s="22"/>
      <c r="M91" s="2">
        <f>MIN($B$8,(100+$B$7)/(1+G$58+$D$8/10000))+$B$7</f>
        <v>103.581205</v>
      </c>
    </row>
    <row r="92" spans="1:13" x14ac:dyDescent="0.35">
      <c r="A92" s="42"/>
      <c r="B92" s="5"/>
      <c r="C92" s="5"/>
      <c r="D92" s="5"/>
      <c r="E92" s="5"/>
      <c r="F92" s="5"/>
      <c r="G92" s="10">
        <f>F84*EXP(10*$G$20)</f>
        <v>5.2197297875359004E-2</v>
      </c>
      <c r="H92" s="22"/>
      <c r="M92" s="21"/>
    </row>
    <row r="93" spans="1:13" x14ac:dyDescent="0.35">
      <c r="A93" s="38" t="s">
        <v>7</v>
      </c>
      <c r="B93" s="39">
        <v>1</v>
      </c>
      <c r="C93" s="40">
        <v>2</v>
      </c>
      <c r="D93" s="40">
        <v>3</v>
      </c>
      <c r="E93" s="40">
        <v>4</v>
      </c>
      <c r="F93" s="40">
        <v>5</v>
      </c>
      <c r="G93" s="40">
        <v>6</v>
      </c>
    </row>
    <row r="94" spans="1:13" x14ac:dyDescent="0.35">
      <c r="A94" s="44" t="s">
        <v>9</v>
      </c>
      <c r="B94" s="6">
        <f t="shared" ref="B94:G94" si="5">B21</f>
        <v>1.5666161891000001E-2</v>
      </c>
      <c r="C94" s="6">
        <f t="shared" si="5"/>
        <v>1.6569116671999999E-2</v>
      </c>
      <c r="D94" s="6">
        <f t="shared" si="5"/>
        <v>1.6868403449000001E-2</v>
      </c>
      <c r="E94" s="6">
        <f t="shared" si="5"/>
        <v>1.7972930716899999E-2</v>
      </c>
      <c r="F94" s="6">
        <f t="shared" si="5"/>
        <v>1.9474460410419999E-2</v>
      </c>
      <c r="G94" s="6">
        <f t="shared" si="5"/>
        <v>2.1470339339999998E-2</v>
      </c>
      <c r="H94" s="4"/>
    </row>
    <row r="95" spans="1:13" x14ac:dyDescent="0.35">
      <c r="A95" s="45" t="s">
        <v>48</v>
      </c>
      <c r="B95" s="7">
        <f t="shared" ref="B95:G95" si="6">B94-0.0001</f>
        <v>1.5566161891000001E-2</v>
      </c>
      <c r="C95" s="7">
        <f t="shared" si="6"/>
        <v>1.6469116672E-2</v>
      </c>
      <c r="D95" s="7">
        <f t="shared" si="6"/>
        <v>1.6768403449000002E-2</v>
      </c>
      <c r="E95" s="7">
        <f t="shared" si="6"/>
        <v>1.78729307169E-2</v>
      </c>
      <c r="F95" s="7">
        <f t="shared" si="6"/>
        <v>1.937446041042E-2</v>
      </c>
      <c r="G95" s="7">
        <f t="shared" si="6"/>
        <v>2.1370339339999999E-2</v>
      </c>
    </row>
    <row r="96" spans="1:13" x14ac:dyDescent="0.35">
      <c r="A96" s="41" t="s">
        <v>0</v>
      </c>
      <c r="B96" s="8">
        <f>1/(1+B95)^B93</f>
        <v>0.98467242955198953</v>
      </c>
      <c r="C96" s="8">
        <f>1/(1+C95)^C93</f>
        <v>0.96785795497605109</v>
      </c>
      <c r="D96" s="8">
        <f>1/(1+D95)^D93</f>
        <v>0.95133587518603457</v>
      </c>
      <c r="E96" s="8">
        <f>1/(1+E95)^E93</f>
        <v>0.93159197852671105</v>
      </c>
      <c r="F96" s="8">
        <f>1/(1+F95)^F93</f>
        <v>0.90851323317073684</v>
      </c>
      <c r="G96" s="8">
        <f>1/(1+G95)^G93</f>
        <v>0.88084714171200384</v>
      </c>
      <c r="M96"/>
    </row>
    <row r="97" spans="1:13" x14ac:dyDescent="0.35">
      <c r="A97" s="42"/>
      <c r="B97" s="5"/>
      <c r="C97" s="5"/>
      <c r="D97" s="5"/>
      <c r="E97" s="5"/>
      <c r="F97" s="5"/>
      <c r="G97" s="10">
        <f>F105*EXP(10*$G$20)</f>
        <v>6.3481142184455677E-2</v>
      </c>
      <c r="H97" s="22"/>
      <c r="M97" s="21"/>
    </row>
    <row r="98" spans="1:13" x14ac:dyDescent="0.35">
      <c r="A98" s="42"/>
      <c r="B98" s="5"/>
      <c r="C98" s="5"/>
      <c r="D98" s="5"/>
      <c r="E98" s="5"/>
      <c r="F98" s="5"/>
      <c r="G98" s="13">
        <f>(F105+$B$4)*EXP(10*$G$20)</f>
        <v>6.5968316319693812E-2</v>
      </c>
      <c r="H98" s="22"/>
      <c r="M98" s="2">
        <f>MIN($B$8,(100+$B$7)/(1+G$95+$D$8/10000))+$B$7</f>
        <v>103.581205</v>
      </c>
    </row>
    <row r="99" spans="1:13" x14ac:dyDescent="0.35">
      <c r="A99" s="42"/>
      <c r="B99" s="5"/>
      <c r="C99" s="5"/>
      <c r="D99" s="5"/>
      <c r="E99" s="5"/>
      <c r="F99" s="5"/>
      <c r="G99" s="10">
        <f>F106*EXP(10*$G$20)</f>
        <v>6.6611919071758757E-2</v>
      </c>
      <c r="H99" s="22"/>
      <c r="M99" s="21"/>
    </row>
    <row r="100" spans="1:13" x14ac:dyDescent="0.35">
      <c r="A100" s="42"/>
      <c r="B100" s="5"/>
      <c r="C100" s="5"/>
      <c r="D100" s="5"/>
      <c r="E100" s="5"/>
      <c r="F100" s="5"/>
      <c r="G100" s="13">
        <f>(F106+$B$4)*EXP(10*$G$20)</f>
        <v>6.9099093206996878E-2</v>
      </c>
      <c r="H100" s="22"/>
      <c r="M100" s="2">
        <f>MIN($B$8,(100+$B$7)/(1+G$95+$D$8/10000))+$B$7</f>
        <v>103.581205</v>
      </c>
    </row>
    <row r="101" spans="1:13" x14ac:dyDescent="0.35">
      <c r="A101" s="42"/>
      <c r="B101" s="5"/>
      <c r="C101" s="5"/>
      <c r="D101" s="5"/>
      <c r="E101" s="5"/>
      <c r="F101" s="5"/>
      <c r="G101" s="10">
        <f>F107*EXP(10*$G$20)</f>
        <v>6.7404356046088298E-2</v>
      </c>
      <c r="H101" s="22"/>
      <c r="M101" s="21"/>
    </row>
    <row r="102" spans="1:13" x14ac:dyDescent="0.35">
      <c r="A102" s="42"/>
      <c r="B102" s="5"/>
      <c r="C102" s="5"/>
      <c r="D102" s="5"/>
      <c r="E102" s="5"/>
      <c r="F102" s="5"/>
      <c r="G102" s="13">
        <f>(F107+$B$4)*EXP(10*$G$20)</f>
        <v>6.9891530181326433E-2</v>
      </c>
      <c r="H102" s="22"/>
      <c r="M102" s="2">
        <f>MIN($B$8,(100+$B$7)/(1+G$95+$D$8/10000))+$B$7</f>
        <v>103.581205</v>
      </c>
    </row>
    <row r="103" spans="1:13" x14ac:dyDescent="0.35">
      <c r="A103" s="46"/>
      <c r="B103" s="5"/>
      <c r="C103" s="5"/>
      <c r="D103" s="5"/>
      <c r="E103" s="5"/>
      <c r="F103" s="5"/>
      <c r="G103" s="10">
        <f>F108*EXP(10*$G$20)</f>
        <v>7.0535132933391392E-2</v>
      </c>
      <c r="H103" s="22"/>
      <c r="M103" s="21"/>
    </row>
    <row r="104" spans="1:13" x14ac:dyDescent="0.35">
      <c r="A104" s="42"/>
      <c r="B104" s="5"/>
      <c r="C104" s="60"/>
      <c r="D104" s="5"/>
      <c r="E104" s="5"/>
      <c r="F104" s="5"/>
      <c r="G104" s="13">
        <f>(F108+$B$4)*EXP(10*$G$20)</f>
        <v>7.3022307068629513E-2</v>
      </c>
      <c r="H104" s="20"/>
      <c r="I104" s="21"/>
      <c r="J104" s="21"/>
      <c r="K104" s="21"/>
      <c r="L104" s="21"/>
      <c r="M104" s="2">
        <f>MIN($B$8,(100+$B$7)/(1+G$95+$D$8/10000))+$B$7</f>
        <v>103.581205</v>
      </c>
    </row>
    <row r="105" spans="1:13" x14ac:dyDescent="0.35">
      <c r="A105" s="42"/>
      <c r="B105" s="5"/>
      <c r="C105" s="5"/>
      <c r="D105" s="5"/>
      <c r="E105" s="5"/>
      <c r="F105" s="10">
        <f>E109*EXP(10*$F$20)</f>
        <v>5.1046801496573098E-2</v>
      </c>
      <c r="G105" s="10">
        <f>F109*EXP(10*$G$20)</f>
        <v>7.2255483683868527E-2</v>
      </c>
      <c r="I105" s="21"/>
      <c r="J105" s="21"/>
      <c r="K105" s="21"/>
      <c r="L105" s="2">
        <f>MIN($B$8,AVERAGE(M98:M100)/(1+F105+$D$8/10000))+$B$7</f>
        <v>101.7887193967985</v>
      </c>
      <c r="M105" s="21"/>
    </row>
    <row r="106" spans="1:13" x14ac:dyDescent="0.35">
      <c r="A106" s="42"/>
      <c r="B106" s="5"/>
      <c r="C106" s="5"/>
      <c r="D106" s="5"/>
      <c r="E106" s="5"/>
      <c r="F106" s="13">
        <f>(E109+$B$4)*EXP(10*$F$20)</f>
        <v>5.3564338843835144E-2</v>
      </c>
      <c r="G106" s="13">
        <f>(F109+$B$4)*EXP(10*$G$20)</f>
        <v>7.4742657819106662E-2</v>
      </c>
      <c r="J106" s="21"/>
      <c r="K106" s="21"/>
      <c r="L106" s="21"/>
      <c r="M106" s="2">
        <f>MIN($B$8,(100+$B$7)/(1+G$95+$D$8/10000))+$B$7</f>
        <v>103.581205</v>
      </c>
    </row>
    <row r="107" spans="1:13" x14ac:dyDescent="0.35">
      <c r="A107" s="42"/>
      <c r="B107" s="5"/>
      <c r="C107" s="5"/>
      <c r="D107" s="5"/>
      <c r="E107" s="5"/>
      <c r="F107" s="10">
        <f>E110*EXP(10*$F$20)</f>
        <v>5.4201557575810799E-2</v>
      </c>
      <c r="G107" s="10">
        <f>F110*EXP(10*$G$20)</f>
        <v>7.538626057117162E-2</v>
      </c>
      <c r="K107" s="21"/>
      <c r="L107" s="2">
        <f>MIN($B$8,AVERAGE(M100:M102)/(1+F107+$D$8/10000))+$B$7</f>
        <v>101.49833666116605</v>
      </c>
      <c r="M107" s="21"/>
    </row>
    <row r="108" spans="1:13" x14ac:dyDescent="0.35">
      <c r="A108" s="42"/>
      <c r="B108" s="5"/>
      <c r="C108" s="5"/>
      <c r="D108" s="5"/>
      <c r="E108" s="5"/>
      <c r="F108" s="13">
        <f>(E110+$B$4)*EXP(10*$F$20)</f>
        <v>5.6719094923072852E-2</v>
      </c>
      <c r="G108" s="13">
        <f>(F110+$B$4)*EXP(10*$G$20)</f>
        <v>7.7873434706409742E-2</v>
      </c>
      <c r="K108" s="2">
        <f>MIN($B$8,AVERAGE(L105:L107)/(1+E109+$D$8/10000))+$B$7</f>
        <v>100.91958371912771</v>
      </c>
      <c r="L108" s="21"/>
      <c r="M108" s="2">
        <f>MIN($B$8,(100+$B$7)/(1+G$95+$D$8/10000))+$B$7</f>
        <v>103.581205</v>
      </c>
    </row>
    <row r="109" spans="1:13" x14ac:dyDescent="0.35">
      <c r="A109" s="42"/>
      <c r="B109" s="5"/>
      <c r="C109" s="5"/>
      <c r="D109" s="5"/>
      <c r="E109" s="10">
        <f>D110*EXP(10*$E$20)</f>
        <v>4.0552964627983877E-2</v>
      </c>
      <c r="F109" s="10">
        <f>E111*EXP(10*$F$20)</f>
        <v>5.8102472730121681E-2</v>
      </c>
      <c r="G109" s="10">
        <f>F111*EXP(10*$G$20)</f>
        <v>7.1463046709538999E-2</v>
      </c>
      <c r="K109" s="21"/>
      <c r="L109" s="2">
        <f>MIN($B$8,AVERAGE(M102:M104)/(1+F109+$D$8/10000))+$B$7</f>
        <v>101.141648887621</v>
      </c>
      <c r="M109" s="21"/>
    </row>
    <row r="110" spans="1:13" x14ac:dyDescent="0.35">
      <c r="A110" s="46"/>
      <c r="B110" s="5"/>
      <c r="C110" s="5"/>
      <c r="D110" s="10">
        <f>C112*EXP(10*$D$20)</f>
        <v>3.2361805613134981E-2</v>
      </c>
      <c r="E110" s="13">
        <f>(D110+$B$4)*EXP(10*$E$20)</f>
        <v>4.3059188484141295E-2</v>
      </c>
      <c r="F110" s="13">
        <f>(E111+$B$4)*EXP(10*$F$20)</f>
        <v>6.0620010077383733E-2</v>
      </c>
      <c r="G110" s="13">
        <f>(F111+$B$4)*EXP(10*$G$20)</f>
        <v>7.3950220844777134E-2</v>
      </c>
      <c r="K110" s="2">
        <f>MIN($B$8,AVERAGE(L109:L112)/(1+E112+$D$8/10000))+$B$7</f>
        <v>100.29391543750775</v>
      </c>
      <c r="L110" s="21"/>
      <c r="M110" s="2">
        <f>MIN($B$8,(100+$B$7)/(1+G$95+$D$8/10000))+$B$7</f>
        <v>103.581205</v>
      </c>
    </row>
    <row r="111" spans="1:13" x14ac:dyDescent="0.35">
      <c r="A111" s="42"/>
      <c r="B111" s="5"/>
      <c r="C111" s="5"/>
      <c r="D111" s="13">
        <f>(C112+$B$4)*EXP(10*$D$20)</f>
        <v>3.4834843183287466E-2</v>
      </c>
      <c r="E111" s="13">
        <f>(D111+$B$4)*EXP(10*$E$20)</f>
        <v>4.6158181361886153E-2</v>
      </c>
      <c r="F111" s="13">
        <f>(E112+$B$4)*EXP(10*$F$20)</f>
        <v>5.7465253998146039E-2</v>
      </c>
      <c r="G111" s="13">
        <f>(F112+$B$4)*EXP(10*$G$20)</f>
        <v>7.081944395747404E-2</v>
      </c>
      <c r="H111" s="22"/>
      <c r="J111" s="2">
        <f>MIN($B$8,AVERAGE(K108:K110)/(1+D111+$D$8/10000))+$B$7</f>
        <v>100.45690876429757</v>
      </c>
      <c r="K111" s="21"/>
      <c r="L111" s="21"/>
      <c r="M111" s="21"/>
    </row>
    <row r="112" spans="1:13" x14ac:dyDescent="0.35">
      <c r="A112" s="42"/>
      <c r="B112" s="5"/>
      <c r="C112" s="13">
        <f>(B113+$B$4)*EXP(10*$C$20)</f>
        <v>2.6171705601010762E-2</v>
      </c>
      <c r="D112" s="5"/>
      <c r="E112" s="10">
        <f>D111*EXP(10*$E$20)</f>
        <v>4.3651957505728742E-2</v>
      </c>
      <c r="F112" s="10">
        <f>E112*EXP(10*$F$20)</f>
        <v>5.4947716650883986E-2</v>
      </c>
      <c r="G112" s="10">
        <f>F112*EXP(10*$G$20)</f>
        <v>6.8332269822235919E-2</v>
      </c>
      <c r="H112" s="22"/>
      <c r="I112" s="2">
        <f>MIN($B$8,AVERAGE(J111:J111)/(1+C112+$D$8/10000))+$B$7</f>
        <v>101.11990706165237</v>
      </c>
      <c r="J112" s="21"/>
      <c r="K112" s="21"/>
      <c r="L112" s="2">
        <f>MIN($B$8,AVERAGE(M105:M107)/(1+F112+$D$8/10000))+$B$7</f>
        <v>101.42990769729271</v>
      </c>
      <c r="M112" s="2">
        <f>MIN($B$8,(100+$B$7)/(1+G$95+$D$8/10000))+$B$7</f>
        <v>103.581205</v>
      </c>
    </row>
    <row r="113" spans="1:13" x14ac:dyDescent="0.35">
      <c r="A113" s="42"/>
      <c r="B113" s="59">
        <f>B95*EXP(10*B20)</f>
        <v>1.9121234066714378E-2</v>
      </c>
      <c r="C113" s="19"/>
      <c r="D113" s="5"/>
      <c r="E113" s="5"/>
      <c r="F113" s="5"/>
      <c r="G113" s="5"/>
      <c r="H113" s="87">
        <f>AVERAGE(I112:I114)/(1+B113+$D$8/10000)</f>
        <v>99.629753729201667</v>
      </c>
    </row>
    <row r="114" spans="1:13" x14ac:dyDescent="0.35">
      <c r="A114" s="42"/>
      <c r="B114" s="5"/>
      <c r="C114" s="58">
        <f>(B113-$B$4)*EXP(10*$C$20)</f>
        <v>2.1215232789177176E-2</v>
      </c>
      <c r="D114" s="5"/>
      <c r="E114" s="10">
        <f>D115*EXP(10*$E$20)</f>
        <v>2.9773934778934839E-2</v>
      </c>
      <c r="F114" s="10">
        <f>E114*EXP(10*$F$20)</f>
        <v>3.7478496390456424E-2</v>
      </c>
      <c r="G114" s="10">
        <f>F114*EXP(10*$G$20)</f>
        <v>4.66077734249793E-2</v>
      </c>
      <c r="H114" s="22"/>
      <c r="I114" s="2">
        <f>MIN($B$8,AVERAGE(J115:J115)/(1+C114+$D$8/10000))+$B$7</f>
        <v>103.581205</v>
      </c>
      <c r="J114" s="21"/>
      <c r="K114" s="21"/>
      <c r="L114" s="2">
        <f>MIN($B$8,AVERAGE(M107:M109)/(1+F114+$D$8/10000))+$B$7</f>
        <v>103.0576013129548</v>
      </c>
      <c r="M114" s="2">
        <f>MIN($B$8,(100+$B$7)/(1+G$95+$D$8/10000))+$B$7</f>
        <v>103.581205</v>
      </c>
    </row>
    <row r="115" spans="1:13" x14ac:dyDescent="0.35">
      <c r="A115" s="42"/>
      <c r="B115" s="5"/>
      <c r="C115" s="5"/>
      <c r="D115" s="58">
        <f>(C114-$B$4)*EXP(10*$D$20)</f>
        <v>2.3759996303430585E-2</v>
      </c>
      <c r="E115" s="58">
        <f>(D115-$B$4)*EXP(10*$E$20)</f>
        <v>2.7267710922777421E-2</v>
      </c>
      <c r="F115" s="58">
        <f>(E114-$B$4)*EXP(10*$E$20)</f>
        <v>3.4803848961163279E-2</v>
      </c>
      <c r="G115" s="58">
        <f>(F114-$B$4)*EXP(10*$G$20)</f>
        <v>4.4120599289741172E-2</v>
      </c>
      <c r="H115" s="22"/>
      <c r="J115" s="2">
        <f>MIN($B$8,AVERAGE(K116:K118)/(1+D116+$D$8/10000))+$B$7</f>
        <v>103.581205</v>
      </c>
      <c r="K115" s="21"/>
      <c r="L115" s="21"/>
      <c r="M115" s="21"/>
    </row>
    <row r="116" spans="1:13" x14ac:dyDescent="0.35">
      <c r="A116" s="42"/>
      <c r="B116" s="5"/>
      <c r="C116" s="5"/>
      <c r="D116" s="10">
        <f>C114*EXP(10*$D$20)</f>
        <v>2.6233033873583077E-2</v>
      </c>
      <c r="E116" s="58">
        <f>(D116-$B$4)*EXP(10*$E$20)</f>
        <v>3.0366703800522289E-2</v>
      </c>
      <c r="F116" s="58">
        <f>(E115-$B$4)*EXP(10*$E$20)</f>
        <v>3.1663269952577004E-2</v>
      </c>
      <c r="G116" s="58">
        <f>(F115-$B$4)*EXP(10*$G$20)</f>
        <v>4.0794442336231647E-2</v>
      </c>
      <c r="H116" s="22"/>
      <c r="K116" s="2">
        <f>MIN($B$8,AVERAGE(L114:L117)/(1+E114+$D$8/10000))+$B$7</f>
        <v>103.43282836591155</v>
      </c>
      <c r="L116" s="21"/>
      <c r="M116" s="2">
        <f>MIN($B$8,(100+$B$7)/(1+G$95+$D$8/10000))+$B$7</f>
        <v>103.581205</v>
      </c>
    </row>
    <row r="117" spans="1:13" x14ac:dyDescent="0.35">
      <c r="A117" s="46"/>
      <c r="B117" s="5"/>
      <c r="C117" s="5"/>
      <c r="D117" s="5"/>
      <c r="E117" s="10">
        <f>D116*EXP(10*$E$20)</f>
        <v>3.2872927656679707E-2</v>
      </c>
      <c r="F117" s="10">
        <f>E115*EXP(10*$F$20)</f>
        <v>3.4323740311218716E-2</v>
      </c>
      <c r="G117" s="10">
        <f>F115*EXP(10*$G$20)</f>
        <v>4.3281616471469775E-2</v>
      </c>
      <c r="H117" s="22"/>
      <c r="K117" s="21"/>
      <c r="L117" s="2">
        <f>MIN($B$8,AVERAGE(M110:M112)/(1+F117+$D$8/10000))+$B$7</f>
        <v>103.35736062292612</v>
      </c>
      <c r="M117" s="21"/>
    </row>
    <row r="118" spans="1:13" x14ac:dyDescent="0.35">
      <c r="A118" s="42"/>
      <c r="B118" s="5"/>
      <c r="C118" s="5"/>
      <c r="D118" s="5"/>
      <c r="E118" s="5"/>
      <c r="F118" s="58">
        <f>(E116-$B$4)*EXP(10*$E$20)</f>
        <v>3.5546654892710056E-2</v>
      </c>
      <c r="G118" s="58">
        <f>(F116-$B$4)*EXP(10*$G$20)</f>
        <v>3.6888858896317864E-2</v>
      </c>
      <c r="H118" s="20"/>
      <c r="I118" s="21"/>
      <c r="J118" s="21"/>
      <c r="K118" s="2">
        <f>MIN($B$8,AVERAGE(L119:L121)/(1+E117+$D$8/10000))+$B$7</f>
        <v>102.78212515150214</v>
      </c>
      <c r="L118" s="21"/>
      <c r="M118" s="2">
        <f>MIN($B$8,(100+$B$7)/(1+G$95+$D$8/10000))+$B$7</f>
        <v>103.581205</v>
      </c>
    </row>
    <row r="119" spans="1:13" x14ac:dyDescent="0.35">
      <c r="A119" s="42"/>
      <c r="B119" s="5"/>
      <c r="C119" s="5"/>
      <c r="D119" s="5"/>
      <c r="E119" s="5"/>
      <c r="F119" s="10">
        <f>E116*EXP(10*$F$20)</f>
        <v>3.8224655465529618E-2</v>
      </c>
      <c r="G119" s="10">
        <f>F116*EXP(10*$G$20)</f>
        <v>3.9376033031555992E-2</v>
      </c>
      <c r="I119" s="21"/>
      <c r="J119" s="21"/>
      <c r="K119" s="21"/>
      <c r="L119" s="2">
        <f>MIN($B$8,AVERAGE(M112:M114)/(1+F119+$D$8/10000))+$B$7</f>
        <v>102.9869669080171</v>
      </c>
      <c r="M119" s="21"/>
    </row>
    <row r="120" spans="1:13" x14ac:dyDescent="0.35">
      <c r="A120" s="42"/>
      <c r="B120" s="89"/>
      <c r="C120" s="5"/>
      <c r="D120" s="5"/>
      <c r="E120" s="5"/>
      <c r="F120" s="58">
        <f>(E117-$B$4)*EXP(10*$E$20)</f>
        <v>3.8687233901296324E-2</v>
      </c>
      <c r="G120" s="58">
        <f>(F117-$B$4)*EXP(10*$G$20)</f>
        <v>4.0197385428108544E-2</v>
      </c>
      <c r="J120" s="21"/>
      <c r="K120" s="21"/>
      <c r="L120" s="21"/>
      <c r="M120" s="2">
        <f>MIN($B$8,(100+$B$7)/(1+G$95+$D$8/10000))+$B$7</f>
        <v>103.581205</v>
      </c>
    </row>
    <row r="121" spans="1:13" x14ac:dyDescent="0.35">
      <c r="A121" s="42"/>
      <c r="B121" s="5"/>
      <c r="C121" s="5"/>
      <c r="D121" s="5"/>
      <c r="E121" s="5"/>
      <c r="F121" s="10">
        <f>E117*EXP(10*$F$20)</f>
        <v>4.1379411544767319E-2</v>
      </c>
      <c r="G121" s="10">
        <f>F117*EXP(10*$G$20)</f>
        <v>4.2684559563346672E-2</v>
      </c>
      <c r="K121" s="21"/>
      <c r="L121" s="2">
        <f>MIN($B$8,AVERAGE(M114:M116)/(1+F121+$D$8/10000))+$B$7</f>
        <v>102.68943502779997</v>
      </c>
      <c r="M121" s="21"/>
    </row>
    <row r="122" spans="1:13" x14ac:dyDescent="0.35">
      <c r="A122" s="42"/>
      <c r="B122" s="5"/>
      <c r="C122" s="5"/>
      <c r="D122" s="5"/>
      <c r="E122" s="5"/>
      <c r="F122" s="5"/>
      <c r="G122" s="58">
        <f>(F118-$B$4)*EXP(10*$G$20)</f>
        <v>4.1718186186453954E-2</v>
      </c>
      <c r="L122" s="21"/>
      <c r="M122" s="2">
        <f>MIN($B$8,(100+$B$7)/(1+G$95+$D$8/10000))+$B$7</f>
        <v>103.581205</v>
      </c>
    </row>
    <row r="123" spans="1:13" x14ac:dyDescent="0.35">
      <c r="A123" s="42"/>
      <c r="B123" s="5"/>
      <c r="C123" s="5"/>
      <c r="D123" s="5"/>
      <c r="E123" s="5"/>
      <c r="F123" s="5"/>
      <c r="G123" s="10">
        <f>F118*EXP(10*$G$20)</f>
        <v>4.4205360321692075E-2</v>
      </c>
      <c r="M123" s="21"/>
    </row>
    <row r="124" spans="1:13" x14ac:dyDescent="0.35">
      <c r="A124" s="46"/>
      <c r="B124" s="5"/>
      <c r="C124" s="5"/>
      <c r="D124" s="5"/>
      <c r="E124" s="5"/>
      <c r="F124" s="5"/>
      <c r="G124" s="58">
        <f>(F119-$B$4)*EXP(10*$G$20)</f>
        <v>4.50485130658888E-2</v>
      </c>
      <c r="M124" s="2">
        <f>MIN($B$8,(100+$B$7)/(1+G$95+$D$8/10000))+$B$7</f>
        <v>103.581205</v>
      </c>
    </row>
    <row r="125" spans="1:13" x14ac:dyDescent="0.35">
      <c r="A125" s="42"/>
      <c r="B125" s="5"/>
      <c r="C125" s="5"/>
      <c r="D125" s="5"/>
      <c r="E125" s="5"/>
      <c r="F125" s="5"/>
      <c r="G125" s="10">
        <f>F119*EXP(10*$G$20)</f>
        <v>4.7535687201126928E-2</v>
      </c>
      <c r="H125" s="22"/>
      <c r="M125" s="21"/>
    </row>
    <row r="126" spans="1:13" x14ac:dyDescent="0.35">
      <c r="A126" s="42"/>
      <c r="B126" s="5"/>
      <c r="C126" s="5"/>
      <c r="D126" s="5"/>
      <c r="E126" s="5"/>
      <c r="F126" s="5"/>
      <c r="G126" s="58">
        <f>(F120-$B$4)*EXP(10*$G$20)</f>
        <v>4.562376962636773E-2</v>
      </c>
      <c r="H126" s="22"/>
      <c r="M126" s="2">
        <f>MIN($B$8,(100+$B$7)/(1+G$95+$D$8/10000))+$B$7</f>
        <v>103.581205</v>
      </c>
    </row>
    <row r="127" spans="1:13" x14ac:dyDescent="0.35">
      <c r="A127" s="42"/>
      <c r="B127" s="5"/>
      <c r="C127" s="5"/>
      <c r="D127" s="5"/>
      <c r="E127" s="5"/>
      <c r="F127" s="5"/>
      <c r="G127" s="10">
        <f>F120*EXP(10*$G$20)</f>
        <v>4.8110943761605858E-2</v>
      </c>
      <c r="H127" s="22"/>
      <c r="M127" s="21"/>
    </row>
    <row r="128" spans="1:13" x14ac:dyDescent="0.35">
      <c r="A128" s="42"/>
      <c r="B128" s="5"/>
      <c r="C128" s="5"/>
      <c r="D128" s="5"/>
      <c r="E128" s="5"/>
      <c r="F128" s="5"/>
      <c r="G128" s="58">
        <f>(F121-$B$4)*EXP(10*$G$20)</f>
        <v>4.8971726927521421E-2</v>
      </c>
      <c r="H128" s="22"/>
      <c r="M128" s="2">
        <f>MIN($B$8,(100+$B$7)/(1+G$95+$D$8/10000))+$B$7</f>
        <v>103.581205</v>
      </c>
    </row>
    <row r="129" spans="1:13" x14ac:dyDescent="0.35">
      <c r="A129" s="42"/>
      <c r="B129" s="5"/>
      <c r="C129" s="5"/>
      <c r="D129" s="5"/>
      <c r="E129" s="5"/>
      <c r="F129" s="5"/>
      <c r="G129" s="10">
        <f>F121*EXP(10*$G$20)</f>
        <v>5.1458901062759549E-2</v>
      </c>
      <c r="H129" s="22"/>
      <c r="M129" s="21"/>
    </row>
    <row r="130" spans="1:13" x14ac:dyDescent="0.35">
      <c r="A130" s="38" t="s">
        <v>7</v>
      </c>
      <c r="B130" s="38">
        <v>1</v>
      </c>
      <c r="C130" s="40">
        <v>2</v>
      </c>
      <c r="D130" s="40">
        <v>3</v>
      </c>
      <c r="E130" s="40">
        <v>4</v>
      </c>
      <c r="F130" s="40">
        <v>5</v>
      </c>
      <c r="G130" s="40">
        <v>6</v>
      </c>
    </row>
    <row r="131" spans="1:13" x14ac:dyDescent="0.35">
      <c r="A131" s="41" t="s">
        <v>9</v>
      </c>
      <c r="B131" s="6">
        <f>B21</f>
        <v>1.5666161891000001E-2</v>
      </c>
      <c r="C131" s="6">
        <f>C21</f>
        <v>1.6569116671999999E-2</v>
      </c>
      <c r="D131" s="6">
        <f>D21</f>
        <v>1.6868403449000001E-2</v>
      </c>
      <c r="E131" s="6">
        <f>E21</f>
        <v>1.7972930716899999E-2</v>
      </c>
      <c r="F131" s="6">
        <f>F21</f>
        <v>1.9474460410419999E-2</v>
      </c>
      <c r="G131" s="6">
        <f>G21</f>
        <v>2.1470339339999998E-2</v>
      </c>
      <c r="M131"/>
    </row>
    <row r="132" spans="1:13" x14ac:dyDescent="0.35">
      <c r="A132" s="41" t="s">
        <v>0</v>
      </c>
      <c r="B132" s="8">
        <f>1/(1+B131)^B130</f>
        <v>0.98457548111888249</v>
      </c>
      <c r="C132" s="8">
        <f>1/(1+C131)^C130</f>
        <v>0.96766754778484987</v>
      </c>
      <c r="D132" s="8">
        <f>1/(1+D131)^D130</f>
        <v>0.95105523641717205</v>
      </c>
      <c r="E132" s="8">
        <f>1/(1+E131)^E130</f>
        <v>0.9312259747999766</v>
      </c>
      <c r="F132" s="8">
        <f>1/(1+F131)^F130</f>
        <v>0.90806774137361712</v>
      </c>
      <c r="G132" s="8">
        <f>1/(1+G131)^G130</f>
        <v>0.8803298687852481</v>
      </c>
      <c r="H132" s="20"/>
      <c r="I132" s="21"/>
      <c r="J132" s="21"/>
      <c r="K132" s="21"/>
      <c r="L132" s="21"/>
      <c r="M132" s="21"/>
    </row>
    <row r="133" spans="1:13" x14ac:dyDescent="0.35">
      <c r="A133" s="88" t="s">
        <v>49</v>
      </c>
      <c r="B133" s="58">
        <f>$B$4+0.001</f>
        <v>3.0000000000000001E-3</v>
      </c>
      <c r="C133" s="5"/>
      <c r="D133" s="5"/>
      <c r="E133" s="5"/>
      <c r="F133" s="5"/>
      <c r="G133" s="10">
        <f>F141*EXP(10*$G$20)</f>
        <v>6.6855900871179444E-2</v>
      </c>
      <c r="I133" s="21"/>
      <c r="J133" s="21"/>
      <c r="K133" s="21"/>
      <c r="L133" s="21"/>
      <c r="M133" s="21"/>
    </row>
    <row r="134" spans="1:13" x14ac:dyDescent="0.35">
      <c r="A134" s="47"/>
      <c r="B134" s="5"/>
      <c r="C134" s="5"/>
      <c r="D134" s="5"/>
      <c r="E134" s="5"/>
      <c r="F134" s="5"/>
      <c r="G134" s="13">
        <f>(F141+$B$4)*EXP(10*$G$20)</f>
        <v>6.9343075006417565E-2</v>
      </c>
      <c r="H134" s="22"/>
      <c r="M134" s="2">
        <f>MIN($B$8,(100+$B$7)/(1+G$131+$D$8/10000))+$B$7</f>
        <v>103.581205</v>
      </c>
    </row>
    <row r="135" spans="1:13" x14ac:dyDescent="0.35">
      <c r="A135" s="47"/>
      <c r="B135" s="5"/>
      <c r="C135" s="5"/>
      <c r="D135" s="5"/>
      <c r="E135" s="5"/>
      <c r="F135" s="5"/>
      <c r="G135" s="10">
        <f>F142*EXP(10*$G$20)</f>
        <v>6.9986677758482524E-2</v>
      </c>
      <c r="H135" s="22"/>
      <c r="M135" s="21"/>
    </row>
    <row r="136" spans="1:13" x14ac:dyDescent="0.35">
      <c r="A136" s="47"/>
      <c r="B136" s="5"/>
      <c r="C136" s="5"/>
      <c r="D136" s="5"/>
      <c r="E136" s="5"/>
      <c r="F136" s="5"/>
      <c r="G136" s="13">
        <f>(F142+$B$4)*EXP(10*$G$20)</f>
        <v>7.2473851893720645E-2</v>
      </c>
      <c r="H136" s="22"/>
      <c r="M136" s="2">
        <f>MIN($B$8,(100+$B$7)/(1+G$131+$D$8/10000))+$B$7</f>
        <v>103.581205</v>
      </c>
    </row>
    <row r="137" spans="1:13" x14ac:dyDescent="0.35">
      <c r="A137" s="47"/>
      <c r="B137" s="5"/>
      <c r="C137" s="5"/>
      <c r="D137" s="5"/>
      <c r="E137" s="5"/>
      <c r="F137" s="5"/>
      <c r="G137" s="10">
        <f>F143*EXP(10*$G$20)</f>
        <v>7.0779114732812065E-2</v>
      </c>
      <c r="H137" s="22"/>
      <c r="M137" s="21"/>
    </row>
    <row r="138" spans="1:13" x14ac:dyDescent="0.35">
      <c r="A138" s="47"/>
      <c r="B138" s="5"/>
      <c r="C138" s="5"/>
      <c r="D138" s="5"/>
      <c r="E138" s="5"/>
      <c r="F138" s="5"/>
      <c r="G138" s="13">
        <f>(F143+$B$4)*EXP(10*$G$20)</f>
        <v>7.3266288868050186E-2</v>
      </c>
      <c r="H138" s="22"/>
      <c r="M138" s="2">
        <f>MIN($B$8,(100+$B$7)/(1+G$131+$D$8/10000))+$B$7</f>
        <v>103.581205</v>
      </c>
    </row>
    <row r="139" spans="1:13" x14ac:dyDescent="0.35">
      <c r="A139" s="48"/>
      <c r="B139" s="5"/>
      <c r="C139" s="5"/>
      <c r="D139" s="5"/>
      <c r="E139" s="5"/>
      <c r="F139" s="5"/>
      <c r="G139" s="10">
        <f>F144*EXP(10*$G$20)</f>
        <v>7.3909891620115145E-2</v>
      </c>
      <c r="H139" s="22"/>
      <c r="M139" s="21"/>
    </row>
    <row r="140" spans="1:13" x14ac:dyDescent="0.35">
      <c r="A140" s="48"/>
      <c r="B140" s="5"/>
      <c r="C140" s="60"/>
      <c r="D140" s="5"/>
      <c r="E140" s="5"/>
      <c r="F140" s="5"/>
      <c r="G140" s="13">
        <f>(F144+$B$4)*EXP(10*$G$20)</f>
        <v>7.6397065755353266E-2</v>
      </c>
      <c r="H140" s="20"/>
      <c r="I140" s="21"/>
      <c r="J140" s="21"/>
      <c r="K140" s="21"/>
      <c r="L140" s="21"/>
      <c r="M140" s="2">
        <f>MIN($B$8,(100+$B$7)/(1+G$131+$D$8/10000))+$B$7</f>
        <v>103.581205</v>
      </c>
    </row>
    <row r="141" spans="1:13" x14ac:dyDescent="0.35">
      <c r="A141" s="48"/>
      <c r="B141" s="5"/>
      <c r="C141" s="5"/>
      <c r="D141" s="5"/>
      <c r="E141" s="5"/>
      <c r="F141" s="10">
        <f>E145*EXP(10*$F$20)</f>
        <v>5.37605308160529E-2</v>
      </c>
      <c r="G141" s="10">
        <f>F145*EXP(10*$G$20)</f>
        <v>7.8055806189482421E-2</v>
      </c>
      <c r="I141" s="21"/>
      <c r="J141" s="21"/>
      <c r="K141" s="21"/>
      <c r="L141" s="2">
        <f>MIN($B$8,AVERAGE(M134:M136)/(1+F141+$D$8/10000))+$B$7</f>
        <v>101.53882768149406</v>
      </c>
      <c r="M141" s="21"/>
    </row>
    <row r="142" spans="1:13" x14ac:dyDescent="0.35">
      <c r="A142" s="49"/>
      <c r="B142" s="5"/>
      <c r="C142" s="5"/>
      <c r="D142" s="5"/>
      <c r="E142" s="5"/>
      <c r="F142" s="13">
        <f>(E145+$B$4)*EXP(10*$F$20)</f>
        <v>5.6278068163314945E-2</v>
      </c>
      <c r="G142" s="13">
        <f>(F145+$B$4)*EXP(10*$G$20)</f>
        <v>8.0542980324720556E-2</v>
      </c>
      <c r="J142" s="21"/>
      <c r="K142" s="21"/>
      <c r="L142" s="21"/>
      <c r="M142" s="2">
        <f>MIN($B$8,(100+$B$7)/(1+G$131+$D$8/10000))+$B$7</f>
        <v>103.581205</v>
      </c>
    </row>
    <row r="143" spans="1:13" x14ac:dyDescent="0.35">
      <c r="A143" s="49"/>
      <c r="B143" s="5"/>
      <c r="C143" s="5"/>
      <c r="D143" s="5"/>
      <c r="E143" s="5"/>
      <c r="F143" s="10">
        <f>E146*EXP(10*$F$20)</f>
        <v>5.6915286895290601E-2</v>
      </c>
      <c r="G143" s="10">
        <f>F146*EXP(10*$G$20)</f>
        <v>8.1186583076785501E-2</v>
      </c>
      <c r="K143" s="21"/>
      <c r="L143" s="2">
        <f>MIN($B$8,AVERAGE(M136:M138)/(1+F143+$D$8/10000))+$B$7</f>
        <v>101.24992495978981</v>
      </c>
      <c r="M143" s="21"/>
    </row>
    <row r="144" spans="1:13" x14ac:dyDescent="0.35">
      <c r="A144" s="49"/>
      <c r="B144" s="5"/>
      <c r="C144" s="5"/>
      <c r="D144" s="5"/>
      <c r="E144" s="5"/>
      <c r="F144" s="13">
        <f>(E146+$B$4)*EXP(10*$F$20)</f>
        <v>5.9432824242552647E-2</v>
      </c>
      <c r="G144" s="13">
        <f>(F146+$B$4)*EXP(10*$G$20)</f>
        <v>8.3673757212023622E-2</v>
      </c>
      <c r="K144" s="2">
        <f>MIN($B$8,AVERAGE(L141:L143)/(1+E145+$D$8/10000))+$B$7</f>
        <v>100.48367334531048</v>
      </c>
      <c r="L144" s="21"/>
      <c r="M144" s="2">
        <f>MIN($B$8,(100+$B$7)/(1+G$131+$D$8/10000))+$B$7</f>
        <v>103.581205</v>
      </c>
    </row>
    <row r="145" spans="1:13" x14ac:dyDescent="0.35">
      <c r="A145" s="49"/>
      <c r="B145" s="5"/>
      <c r="C145" s="5"/>
      <c r="D145" s="5"/>
      <c r="E145" s="10">
        <f>D146*EXP(10*$E$20)</f>
        <v>4.2708824855782382E-2</v>
      </c>
      <c r="F145" s="10">
        <f>E147*EXP(10*$F$20)</f>
        <v>6.276665962675694E-2</v>
      </c>
      <c r="G145" s="10">
        <f>F147*EXP(10*$G$20)</f>
        <v>7.726336921515288E-2</v>
      </c>
      <c r="K145" s="21"/>
      <c r="L145" s="2">
        <f>MIN($B$8,AVERAGE(M138:M140)/(1+F145+$D$8/10000))+$B$7</f>
        <v>100.71858069879224</v>
      </c>
      <c r="M145" s="21"/>
    </row>
    <row r="146" spans="1:13" x14ac:dyDescent="0.35">
      <c r="A146" s="49"/>
      <c r="B146" s="5"/>
      <c r="C146" s="5"/>
      <c r="D146" s="10">
        <f>C148*EXP(10*$D$20)</f>
        <v>3.408221077367312E-2</v>
      </c>
      <c r="E146" s="13">
        <f>(D146+$B$4)*EXP(10*$E$20)</f>
        <v>4.52150487119398E-2</v>
      </c>
      <c r="F146" s="13">
        <f>(E147+$B$4)*EXP(10*$F$20)</f>
        <v>6.5284196974018979E-2</v>
      </c>
      <c r="G146" s="13">
        <f>(F147+$B$4)*EXP(10*$G$20)</f>
        <v>7.9750543350391015E-2</v>
      </c>
      <c r="K146" s="2">
        <f>MIN($B$8,AVERAGE(L145:L148)/(1+E148+$D$8/10000))+$B$7</f>
        <v>99.553894064615093</v>
      </c>
      <c r="L146" s="21"/>
      <c r="M146" s="2">
        <f>MIN($B$8,(100+$B$7)/(1+G$131+$D$8/10000))+$B$7</f>
        <v>103.581205</v>
      </c>
    </row>
    <row r="147" spans="1:13" x14ac:dyDescent="0.35">
      <c r="A147" s="49"/>
      <c r="B147" s="5"/>
      <c r="C147" s="5"/>
      <c r="D147" s="13">
        <f>(C148+$B$133)*EXP(10*$D$20)</f>
        <v>3.7791767128901851E-2</v>
      </c>
      <c r="E147" s="13">
        <f>(D147+$B$4)*EXP(10*$E$20)</f>
        <v>4.9863538028557093E-2</v>
      </c>
      <c r="F147" s="13">
        <f>(E148+$B$4)*EXP(10*$F$20)</f>
        <v>6.2129440894781285E-2</v>
      </c>
      <c r="G147" s="13">
        <f>(F148+$B$4)*EXP(10*$G$20)</f>
        <v>7.6619766463087921E-2</v>
      </c>
      <c r="H147" s="22"/>
      <c r="J147" s="2">
        <f>MIN($B$8,AVERAGE(K144:K146)/(1+D147+$D$8/10000))+$B$7</f>
        <v>99.622110876689646</v>
      </c>
      <c r="K147" s="21"/>
      <c r="L147" s="21"/>
      <c r="M147" s="21"/>
    </row>
    <row r="148" spans="1:13" x14ac:dyDescent="0.35">
      <c r="A148" s="49"/>
      <c r="B148" s="5"/>
      <c r="C148" s="13">
        <f>(B149+$B$133)*EXP(10*$C$20)</f>
        <v>2.7563035179907582E-2</v>
      </c>
      <c r="D148" s="5"/>
      <c r="E148" s="10">
        <f>D147*EXP(10*$E$20)</f>
        <v>4.7357314172399675E-2</v>
      </c>
      <c r="F148" s="10">
        <f>E148*EXP(10*$F$20)</f>
        <v>5.9611903547519232E-2</v>
      </c>
      <c r="G148" s="10">
        <f>F148*EXP(10*$G$20)</f>
        <v>7.41325923278498E-2</v>
      </c>
      <c r="H148" s="22"/>
      <c r="I148" s="2">
        <f>MIN($B$8,AVERAGE(J147:J147)/(1+C148+$D$8/10000))+$B$7</f>
        <v>100.18346215577928</v>
      </c>
      <c r="J148" s="21"/>
      <c r="K148" s="21"/>
      <c r="L148" s="2">
        <f>MIN($B$8,AVERAGE(M141:M143)/(1+F148+$D$8/10000))+$B$7</f>
        <v>101.00433045208966</v>
      </c>
      <c r="M148" s="2">
        <f>MIN($B$8,(100+$B$7)/(1+G$131+$D$8/10000))+$B$7</f>
        <v>103.581205</v>
      </c>
    </row>
    <row r="149" spans="1:13" x14ac:dyDescent="0.35">
      <c r="A149" s="49"/>
      <c r="B149" s="59">
        <f>B131*EXP(10*B20)</f>
        <v>1.9244072530046626E-2</v>
      </c>
      <c r="C149" s="19"/>
      <c r="D149" s="5"/>
      <c r="E149" s="5"/>
      <c r="F149" s="5"/>
      <c r="G149" s="5"/>
      <c r="H149" s="87">
        <f>AVERAGE(I148:I150)/(1+B149+$D$8/10000)</f>
        <v>99.162120998633952</v>
      </c>
    </row>
    <row r="150" spans="1:13" x14ac:dyDescent="0.35">
      <c r="A150" s="49"/>
      <c r="B150" s="5"/>
      <c r="C150" s="58">
        <f>(B149-$B$133)*EXP(10*$C$20)</f>
        <v>2.0128325962157211E-2</v>
      </c>
      <c r="D150" s="5"/>
      <c r="E150" s="10">
        <f>D151*EXP(10*$E$20)</f>
        <v>2.6540280082208836E-2</v>
      </c>
      <c r="F150" s="10">
        <f>E150*EXP(10*$F$20)</f>
        <v>3.3408073156877903E-2</v>
      </c>
      <c r="G150" s="10">
        <f>F150*EXP(10*$G$20)</f>
        <v>4.1545847731964888E-2</v>
      </c>
      <c r="H150" s="22"/>
      <c r="I150" s="2">
        <f>MIN($B$8,AVERAGE(J151:J151)/(1+C150+$D$8/10000))+$B$7</f>
        <v>103.581205</v>
      </c>
      <c r="J150" s="21"/>
      <c r="K150" s="21"/>
      <c r="L150" s="2">
        <f>MIN($B$8,AVERAGE(M143:M145)/(1+F150+$D$8/10000))+$B$7</f>
        <v>103.44470569146422</v>
      </c>
      <c r="M150" s="2">
        <f>MIN($B$8,(100+$B$7)/(1+G$131+$D$8/10000))+$B$7</f>
        <v>103.581205</v>
      </c>
    </row>
    <row r="151" spans="1:13" x14ac:dyDescent="0.35">
      <c r="A151" s="49"/>
      <c r="B151" s="5"/>
      <c r="C151" s="5"/>
      <c r="D151" s="58">
        <f>(C150-$B$133)*EXP(10*$D$20)</f>
        <v>2.117949680911654E-2</v>
      </c>
      <c r="E151" s="58">
        <f>(D151-$B$133)*EXP(10*$E$20)</f>
        <v>2.278094429797272E-2</v>
      </c>
      <c r="F151" s="58">
        <f>(E150-$B$133)*EXP(10*$E$20)</f>
        <v>2.9498605761329486E-2</v>
      </c>
      <c r="G151" s="58">
        <f>(F150-$B$133)*EXP(10*$G$20)</f>
        <v>3.78150865291077E-2</v>
      </c>
      <c r="H151" s="22"/>
      <c r="J151" s="2">
        <f>MIN($B$8,AVERAGE(K152:K154)/(1+D152+$D$8/10000))+$B$7</f>
        <v>103.581205</v>
      </c>
      <c r="K151" s="21"/>
      <c r="L151" s="21"/>
      <c r="M151" s="21"/>
    </row>
    <row r="152" spans="1:13" x14ac:dyDescent="0.35">
      <c r="A152" s="49"/>
      <c r="B152" s="5"/>
      <c r="C152" s="5"/>
      <c r="D152" s="10">
        <f>C150*EXP(10*$D$20)</f>
        <v>2.4889053164345271E-2</v>
      </c>
      <c r="E152" s="58">
        <f>(D152-$B$133)*EXP(10*$E$20)</f>
        <v>2.7429433614590014E-2</v>
      </c>
      <c r="F152" s="58">
        <f>(E151-$B$133)*EXP(10*$E$20)</f>
        <v>2.4787737248450091E-2</v>
      </c>
      <c r="G152" s="58">
        <f>(F151-$B$133)*EXP(10*$G$20)</f>
        <v>3.2953323434725318E-2</v>
      </c>
      <c r="H152" s="22"/>
      <c r="K152" s="2">
        <f>MIN($B$8,AVERAGE(L150:L153)/(1+E150+$D$8/10000))+$B$7</f>
        <v>103.581205</v>
      </c>
      <c r="L152" s="21"/>
      <c r="M152" s="2">
        <f>MIN($B$8,(100+$B$7)/(1+G$131+$D$8/10000))+$B$7</f>
        <v>103.581205</v>
      </c>
    </row>
    <row r="153" spans="1:13" x14ac:dyDescent="0.35">
      <c r="A153" s="49"/>
      <c r="B153" s="5"/>
      <c r="C153" s="5"/>
      <c r="D153" s="5"/>
      <c r="E153" s="10">
        <f>D152*EXP(10*$E$20)</f>
        <v>3.1188769398826133E-2</v>
      </c>
      <c r="F153" s="10">
        <f>E151*EXP(10*$F$20)</f>
        <v>2.8675939038021358E-2</v>
      </c>
      <c r="G153" s="10">
        <f>F151*EXP(10*$G$20)</f>
        <v>3.6684084637582499E-2</v>
      </c>
      <c r="H153" s="22"/>
      <c r="K153" s="21"/>
      <c r="L153" s="2">
        <f>MIN($B$8,AVERAGE(M146:M148)/(1+F153+$D$8/10000))+$B$7</f>
        <v>103.581205</v>
      </c>
      <c r="M153" s="21"/>
    </row>
    <row r="154" spans="1:13" x14ac:dyDescent="0.35">
      <c r="A154" s="49"/>
      <c r="B154" s="5"/>
      <c r="C154" s="5"/>
      <c r="D154" s="5"/>
      <c r="E154" s="5"/>
      <c r="F154" s="58">
        <f>(E152-$B$133)*EXP(10*$E$20)</f>
        <v>3.0612814658649654E-2</v>
      </c>
      <c r="G154" s="58">
        <f>(F152-$B$133)*EXP(10*$G$20)</f>
        <v>2.7094948274854657E-2</v>
      </c>
      <c r="H154" s="20"/>
      <c r="I154" s="21"/>
      <c r="J154" s="21"/>
      <c r="K154" s="2">
        <f>MIN($B$8,AVERAGE(L155:L157)/(1+E153+$D$8/10000))+$B$7</f>
        <v>103.20712336995196</v>
      </c>
      <c r="L154" s="21"/>
      <c r="M154" s="2">
        <f>MIN($B$8,(100+$B$7)/(1+G$131+$D$8/10000))+$B$7</f>
        <v>103.581205</v>
      </c>
    </row>
    <row r="155" spans="1:13" x14ac:dyDescent="0.35">
      <c r="A155" s="49"/>
      <c r="B155" s="5"/>
      <c r="C155" s="5"/>
      <c r="D155" s="5"/>
      <c r="E155" s="5"/>
      <c r="F155" s="10">
        <f>E152*EXP(10*$F$20)</f>
        <v>3.4527311769487694E-2</v>
      </c>
      <c r="G155" s="10">
        <f>F152*EXP(10*$G$20)</f>
        <v>3.0825709477711842E-2</v>
      </c>
      <c r="I155" s="21"/>
      <c r="J155" s="21"/>
      <c r="K155" s="21"/>
      <c r="L155" s="2">
        <f>MIN($B$8,AVERAGE(M148:M150)/(1+F155+$D$8/10000))+$B$7</f>
        <v>103.33796287887915</v>
      </c>
      <c r="M155" s="21"/>
    </row>
    <row r="156" spans="1:13" x14ac:dyDescent="0.35">
      <c r="A156" s="49"/>
      <c r="B156" s="89"/>
      <c r="C156" s="5"/>
      <c r="D156" s="5"/>
      <c r="E156" s="5"/>
      <c r="F156" s="58">
        <f>(E153-$B$133)*EXP(10*$E$20)</f>
        <v>3.5323683171529056E-2</v>
      </c>
      <c r="G156" s="58">
        <f>(F153-$B$133)*EXP(10*$G$20)</f>
        <v>3.1930265736658782E-2</v>
      </c>
      <c r="J156" s="21"/>
      <c r="K156" s="21"/>
      <c r="L156" s="21"/>
      <c r="M156" s="2">
        <f>MIN($B$8,(100+$B$7)/(1+G$131+$D$8/10000))+$B$7</f>
        <v>103.581205</v>
      </c>
    </row>
    <row r="157" spans="1:13" x14ac:dyDescent="0.35">
      <c r="A157" s="49"/>
      <c r="B157" s="5"/>
      <c r="C157" s="5"/>
      <c r="D157" s="5"/>
      <c r="E157" s="5"/>
      <c r="F157" s="10">
        <f>E153*EXP(10*$F$20)</f>
        <v>3.9259445888344242E-2</v>
      </c>
      <c r="G157" s="10">
        <f>F153*EXP(10*$G$20)</f>
        <v>3.5661026939515963E-2</v>
      </c>
      <c r="K157" s="21"/>
      <c r="L157" s="2">
        <f>MIN($B$8,AVERAGE(M150:M152)/(1+F157+$D$8/10000))+$B$7</f>
        <v>102.88917605891909</v>
      </c>
      <c r="M157" s="21"/>
    </row>
    <row r="158" spans="1:13" x14ac:dyDescent="0.35">
      <c r="A158" s="49"/>
      <c r="B158" s="5"/>
      <c r="C158" s="5"/>
      <c r="D158" s="5"/>
      <c r="E158" s="5"/>
      <c r="F158" s="5"/>
      <c r="G158" s="58">
        <f>(F154-$B$133)*EXP(10*$G$20)</f>
        <v>3.4338939210058775E-2</v>
      </c>
      <c r="L158" s="21"/>
      <c r="M158" s="2">
        <f>MIN($B$8,(100+$B$7)/(1+G$131+$D$8/10000))+$B$7</f>
        <v>103.581205</v>
      </c>
    </row>
    <row r="159" spans="1:13" x14ac:dyDescent="0.35">
      <c r="A159" s="49"/>
      <c r="B159" s="5"/>
      <c r="C159" s="5"/>
      <c r="D159" s="5"/>
      <c r="E159" s="5"/>
      <c r="F159" s="5"/>
      <c r="G159" s="10">
        <f>F154*EXP(10*$G$20)</f>
        <v>3.8069700412915956E-2</v>
      </c>
      <c r="M159" s="21"/>
    </row>
    <row r="160" spans="1:13" x14ac:dyDescent="0.35">
      <c r="A160" s="49"/>
      <c r="B160" s="5"/>
      <c r="C160" s="5"/>
      <c r="D160" s="5"/>
      <c r="E160" s="5"/>
      <c r="F160" s="5"/>
      <c r="G160" s="58">
        <f>(F155-$B$133)*EXP(10*$G$20)</f>
        <v>3.9206957193329138E-2</v>
      </c>
      <c r="M160" s="2">
        <f>MIN($B$8,(100+$B$7)/(1+G$131+$D$8/10000))+$B$7</f>
        <v>103.581205</v>
      </c>
    </row>
    <row r="161" spans="1:13" x14ac:dyDescent="0.35">
      <c r="A161" s="49"/>
      <c r="B161" s="5"/>
      <c r="C161" s="5"/>
      <c r="D161" s="5"/>
      <c r="E161" s="5"/>
      <c r="F161" s="5"/>
      <c r="G161" s="10">
        <f>F155*EXP(10*$G$20)</f>
        <v>4.2937718396186327E-2</v>
      </c>
      <c r="H161" s="22"/>
      <c r="M161" s="21"/>
    </row>
    <row r="162" spans="1:13" x14ac:dyDescent="0.35">
      <c r="A162" s="49"/>
      <c r="B162" s="5"/>
      <c r="C162" s="5"/>
      <c r="D162" s="5"/>
      <c r="E162" s="5"/>
      <c r="F162" s="5"/>
      <c r="G162" s="58">
        <f>(F156-$B$133)*EXP(10*$G$20)</f>
        <v>4.0197314369929432E-2</v>
      </c>
      <c r="H162" s="22"/>
      <c r="M162" s="2">
        <f>MIN($B$8,(100+$B$7)/(1+G$131+$D$8/10000))+$B$7</f>
        <v>103.581205</v>
      </c>
    </row>
    <row r="163" spans="1:13" x14ac:dyDescent="0.35">
      <c r="A163" s="49"/>
      <c r="B163" s="5"/>
      <c r="C163" s="5"/>
      <c r="D163" s="5"/>
      <c r="E163" s="5"/>
      <c r="F163" s="5"/>
      <c r="G163" s="10">
        <f>F156*EXP(10*$G$20)</f>
        <v>4.3928075572786621E-2</v>
      </c>
      <c r="H163" s="22"/>
      <c r="M163" s="21"/>
    </row>
    <row r="164" spans="1:13" x14ac:dyDescent="0.35">
      <c r="A164" s="49"/>
      <c r="B164" s="5"/>
      <c r="C164" s="5"/>
      <c r="D164" s="5"/>
      <c r="E164" s="5"/>
      <c r="F164" s="5"/>
      <c r="G164" s="58">
        <f>(F157-$B$133)*EXP(10*$G$20)</f>
        <v>4.5091777985778063E-2</v>
      </c>
      <c r="H164" s="22"/>
      <c r="M164" s="2">
        <f>MIN($B$8,(100+$B$7)/(1+G$131+$D$8/10000))+$B$7</f>
        <v>103.581205</v>
      </c>
    </row>
    <row r="165" spans="1:13" x14ac:dyDescent="0.35">
      <c r="A165" s="49"/>
      <c r="B165" s="5"/>
      <c r="C165" s="5"/>
      <c r="D165" s="5"/>
      <c r="E165" s="5"/>
      <c r="F165" s="5"/>
      <c r="G165" s="10">
        <f>F157*EXP(10*$G$20)</f>
        <v>4.8822539188635251E-2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3AE7E-91E1-43D6-96B5-12E8CAA1D8DA}">
  <dimension ref="A1:AE468"/>
  <sheetViews>
    <sheetView zoomScale="35" workbookViewId="0">
      <selection activeCell="X160" sqref="X160"/>
    </sheetView>
  </sheetViews>
  <sheetFormatPr defaultRowHeight="14.5" x14ac:dyDescent="0.35"/>
  <cols>
    <col min="1" max="1" width="14" style="1" customWidth="1"/>
    <col min="2" max="2" width="8.81640625" style="1" bestFit="1" customWidth="1"/>
    <col min="3" max="3" width="13.26953125" style="1" customWidth="1"/>
    <col min="4" max="4" width="10.90625" style="1" customWidth="1"/>
    <col min="5" max="5" width="10.1796875" style="1" customWidth="1"/>
    <col min="6" max="6" width="10.36328125" style="1" customWidth="1"/>
    <col min="7" max="7" width="9.6328125" style="1" customWidth="1"/>
    <col min="8" max="8" width="12.26953125" style="1" customWidth="1"/>
    <col min="9" max="9" width="8.7265625" style="1"/>
    <col min="10" max="10" width="13.54296875" style="1" customWidth="1"/>
    <col min="11" max="11" width="8.7265625" style="1"/>
    <col min="12" max="12" width="15.26953125" style="1" customWidth="1"/>
    <col min="13" max="17" width="8.81640625" style="1" bestFit="1" customWidth="1"/>
    <col min="18" max="16384" width="8.7265625" style="1"/>
  </cols>
  <sheetData>
    <row r="1" spans="1:31" x14ac:dyDescent="0.35">
      <c r="A1" s="29" t="s">
        <v>27</v>
      </c>
    </row>
    <row r="2" spans="1:31" x14ac:dyDescent="0.35">
      <c r="A2" t="s">
        <v>28</v>
      </c>
    </row>
    <row r="3" spans="1:31" x14ac:dyDescent="0.35">
      <c r="A3"/>
    </row>
    <row r="4" spans="1:31" x14ac:dyDescent="0.35">
      <c r="A4" s="35" t="s">
        <v>24</v>
      </c>
      <c r="B4" s="31">
        <v>2E-3</v>
      </c>
    </row>
    <row r="5" spans="1:31" x14ac:dyDescent="0.35">
      <c r="A5" s="31" t="s">
        <v>25</v>
      </c>
      <c r="B5" s="31">
        <v>103.578</v>
      </c>
      <c r="C5" s="31" t="s">
        <v>12</v>
      </c>
      <c r="D5" s="18"/>
      <c r="E5" s="31" t="s">
        <v>4</v>
      </c>
      <c r="F5" s="18"/>
      <c r="G5" s="15" t="s">
        <v>0</v>
      </c>
      <c r="H5" s="32" t="s">
        <v>30</v>
      </c>
      <c r="I5" s="32">
        <v>1</v>
      </c>
      <c r="J5" s="32">
        <v>2</v>
      </c>
      <c r="K5" s="32">
        <v>3</v>
      </c>
      <c r="L5" s="32">
        <v>4</v>
      </c>
      <c r="M5" s="32">
        <v>5</v>
      </c>
      <c r="N5" s="32">
        <v>6</v>
      </c>
      <c r="O5" s="57">
        <v>7</v>
      </c>
      <c r="P5" s="57">
        <v>8</v>
      </c>
      <c r="Q5" s="57">
        <v>9</v>
      </c>
      <c r="R5" s="57">
        <v>10</v>
      </c>
    </row>
    <row r="6" spans="1:31" x14ac:dyDescent="0.35">
      <c r="A6" s="31" t="s">
        <v>10</v>
      </c>
      <c r="B6" s="31">
        <v>0.97299999999999998</v>
      </c>
      <c r="C6" s="31" t="s">
        <v>13</v>
      </c>
      <c r="D6" s="18"/>
      <c r="E6" s="31" t="s">
        <v>5</v>
      </c>
      <c r="F6" s="18"/>
      <c r="G6" s="16">
        <f>SUM(H6:M6)</f>
        <v>113.93890483307901</v>
      </c>
      <c r="H6" s="33">
        <f>SUM(I6:N6)</f>
        <v>93.205229579073659</v>
      </c>
      <c r="I6" s="34">
        <f>$B$7/(1+B$14+$D$8/10000)^I$5</f>
        <v>4.6201195343369186</v>
      </c>
      <c r="J6" s="34">
        <f>$B$7/(1+C$14+$D$8/10000)^J$5</f>
        <v>4.3661897207965135</v>
      </c>
      <c r="K6" s="34">
        <f>$B$7/(1+D$14+$D$8/10000)^K$5</f>
        <v>4.1343882030446197</v>
      </c>
      <c r="L6" s="34">
        <f>$B$7/(1+E$14+$D$8/10000)^L$5</f>
        <v>3.9134828413058425</v>
      </c>
      <c r="M6" s="34">
        <f>$B$7/(1+F$14+$D$8/10000)^M$5</f>
        <v>3.6994949545214575</v>
      </c>
      <c r="N6" s="34">
        <f>(100+$B$12)/(1+$G$14+D8/10000)^N5</f>
        <v>72.471554325068311</v>
      </c>
      <c r="O6" s="18"/>
      <c r="P6" s="18"/>
      <c r="Q6" s="18"/>
      <c r="R6" s="18"/>
    </row>
    <row r="7" spans="1:31" x14ac:dyDescent="0.35">
      <c r="A7" s="31" t="s">
        <v>11</v>
      </c>
      <c r="B7" s="31">
        <v>4.875</v>
      </c>
      <c r="C7" s="31" t="s">
        <v>19</v>
      </c>
      <c r="D7" s="18"/>
      <c r="E7" s="31" t="s">
        <v>17</v>
      </c>
      <c r="F7" s="18"/>
      <c r="G7" s="17" t="s">
        <v>2</v>
      </c>
      <c r="H7" s="34" t="s">
        <v>2</v>
      </c>
      <c r="I7" s="12">
        <f>B14</f>
        <v>4.8967504599999996E-2</v>
      </c>
      <c r="J7" s="12">
        <f>B15/C15-1</f>
        <v>5.1958230491590429E-2</v>
      </c>
      <c r="K7" s="12">
        <f>C15/D15-1</f>
        <v>4.986670421224404E-2</v>
      </c>
      <c r="L7" s="12">
        <f>D15/E15-1</f>
        <v>5.0247254453069878E-2</v>
      </c>
      <c r="M7" s="12">
        <f>E15/F15-1</f>
        <v>5.1642463694274943E-2</v>
      </c>
      <c r="N7" s="12">
        <f>F15/G15-1</f>
        <v>4.1466504267138937E-2</v>
      </c>
      <c r="O7" s="18"/>
      <c r="P7" s="18"/>
      <c r="Q7" s="18"/>
      <c r="R7" s="18"/>
    </row>
    <row r="8" spans="1:31" x14ac:dyDescent="0.35">
      <c r="A8" s="31" t="s">
        <v>3</v>
      </c>
      <c r="B8" s="25">
        <f>B5*B6</f>
        <v>100.78139400000001</v>
      </c>
      <c r="C8" s="31" t="s">
        <v>23</v>
      </c>
      <c r="D8" s="11">
        <v>62</v>
      </c>
      <c r="E8" s="31" t="s">
        <v>18</v>
      </c>
      <c r="F8" s="18"/>
      <c r="G8" s="17" t="s">
        <v>1</v>
      </c>
      <c r="H8" s="34" t="s">
        <v>1</v>
      </c>
      <c r="I8" s="26">
        <f t="shared" ref="I8:N8" si="0">1/(1+I7+$D$8/10000)</f>
        <v>0.94771682755629094</v>
      </c>
      <c r="J8" s="26">
        <f t="shared" si="0"/>
        <v>0.94503824776321799</v>
      </c>
      <c r="K8" s="26">
        <f t="shared" si="0"/>
        <v>0.94690988363839568</v>
      </c>
      <c r="L8" s="26">
        <f t="shared" si="0"/>
        <v>0.94656879061861632</v>
      </c>
      <c r="M8" s="26">
        <f t="shared" si="0"/>
        <v>0.94532034241443363</v>
      </c>
      <c r="N8" s="26">
        <f t="shared" si="0"/>
        <v>0.95450221604585661</v>
      </c>
      <c r="O8" s="18"/>
      <c r="P8" s="18"/>
      <c r="Q8" s="18"/>
      <c r="R8" s="18"/>
    </row>
    <row r="9" spans="1:31" x14ac:dyDescent="0.35">
      <c r="A9" s="31" t="s">
        <v>16</v>
      </c>
      <c r="B9" s="31">
        <v>-456.1</v>
      </c>
      <c r="C9" s="31" t="s">
        <v>26</v>
      </c>
      <c r="D9" s="27"/>
      <c r="E9" s="31" t="s">
        <v>33</v>
      </c>
      <c r="F9" s="18"/>
      <c r="G9" s="17">
        <f>(I9-B8)^2</f>
        <v>0.62859228952295265</v>
      </c>
      <c r="H9" s="34" t="s">
        <v>0</v>
      </c>
      <c r="I9" s="25">
        <f>MIN($B$8,J9*I8)+$B$7</f>
        <v>101.57423212315186</v>
      </c>
      <c r="J9" s="25">
        <f>MIN($B$8,K9*J8)+$B$7</f>
        <v>102.0338874561223</v>
      </c>
      <c r="K9" s="25">
        <f>MIN($B$8,L9*K8)+$B$7</f>
        <v>102.80947642710196</v>
      </c>
      <c r="L9" s="25">
        <f>MIN($B$8,M9*L8)+$B$7</f>
        <v>103.42533974912126</v>
      </c>
      <c r="M9" s="25">
        <f>MIN($B$8,N9*M8)+$B$7</f>
        <v>104.11323585337639</v>
      </c>
      <c r="N9" s="25">
        <f>MIN($B$8,(100+$B$7)*N8)+$B$7</f>
        <v>104.97841990780921</v>
      </c>
      <c r="O9" s="18"/>
      <c r="P9" s="18"/>
      <c r="Q9" s="18"/>
      <c r="R9" s="18"/>
    </row>
    <row r="10" spans="1:31" x14ac:dyDescent="0.35">
      <c r="G10" s="17"/>
      <c r="H10" s="14"/>
      <c r="I10" s="14"/>
      <c r="J10" s="14"/>
      <c r="K10" s="14"/>
    </row>
    <row r="11" spans="1:31" x14ac:dyDescent="0.35">
      <c r="A11" s="36" t="s">
        <v>7</v>
      </c>
      <c r="B11" s="37">
        <v>1</v>
      </c>
      <c r="C11" s="37">
        <v>2</v>
      </c>
      <c r="D11" s="37">
        <v>3</v>
      </c>
      <c r="E11" s="37">
        <v>4</v>
      </c>
      <c r="F11" s="37">
        <v>5</v>
      </c>
      <c r="G11" s="37">
        <v>6</v>
      </c>
      <c r="H11" s="38">
        <v>7</v>
      </c>
      <c r="I11" s="38">
        <v>8</v>
      </c>
      <c r="J11" s="38">
        <v>9</v>
      </c>
      <c r="K11" s="38">
        <v>10</v>
      </c>
    </row>
    <row r="12" spans="1:31" x14ac:dyDescent="0.35">
      <c r="A12" s="41" t="s">
        <v>6</v>
      </c>
      <c r="B12" s="6">
        <v>5.1299999999999998E-2</v>
      </c>
      <c r="C12" s="6">
        <v>5.2600000000000001E-2</v>
      </c>
      <c r="D12" s="6">
        <v>5.2200000000000003E-2</v>
      </c>
      <c r="E12" s="6">
        <v>5.2499999999999998E-2</v>
      </c>
      <c r="F12" s="6">
        <v>5.2999999999999999E-2</v>
      </c>
      <c r="G12" s="6">
        <v>5.1499999999999997E-2</v>
      </c>
      <c r="H12" s="6">
        <v>5.1499999999999997E-2</v>
      </c>
      <c r="I12" s="6">
        <v>5.1499999999999997E-2</v>
      </c>
      <c r="J12" s="6">
        <v>5.1499999999999997E-2</v>
      </c>
      <c r="K12" s="6">
        <v>5.1499999999999997E-2</v>
      </c>
    </row>
    <row r="13" spans="1:31" x14ac:dyDescent="0.35">
      <c r="A13" s="41" t="s">
        <v>8</v>
      </c>
      <c r="B13" s="6">
        <v>2.5569999999999999E-2</v>
      </c>
      <c r="C13" s="6">
        <v>2.3439999999999999E-2</v>
      </c>
      <c r="D13" s="6">
        <v>2.1229999999999999E-2</v>
      </c>
      <c r="E13" s="6">
        <v>2.4563000000000001E-2</v>
      </c>
      <c r="F13" s="6">
        <v>2.70134E-2</v>
      </c>
      <c r="G13" s="6">
        <v>2.7199999999999998E-2</v>
      </c>
      <c r="H13" s="6">
        <v>2.7199999999999998E-2</v>
      </c>
      <c r="I13" s="6">
        <v>2.7199999999999998E-2</v>
      </c>
      <c r="J13" s="6">
        <v>2.7199999999999998E-2</v>
      </c>
      <c r="K13" s="6">
        <v>2.7199999999999998E-2</v>
      </c>
      <c r="X13" s="64"/>
      <c r="Y13" s="64"/>
      <c r="Z13" s="64"/>
      <c r="AA13" s="64"/>
      <c r="AB13" s="65"/>
      <c r="AC13" s="65"/>
      <c r="AD13" s="65"/>
      <c r="AE13" s="65"/>
    </row>
    <row r="14" spans="1:31" x14ac:dyDescent="0.35">
      <c r="A14" s="41" t="s">
        <v>9</v>
      </c>
      <c r="B14" s="7">
        <f t="shared" ref="B14:K14" si="1">B12+($B$9*(10*B13))/50000</f>
        <v>4.8967504599999996E-2</v>
      </c>
      <c r="C14" s="7">
        <f t="shared" si="1"/>
        <v>5.0461803200000002E-2</v>
      </c>
      <c r="D14" s="7">
        <f t="shared" si="1"/>
        <v>5.0263399400000006E-2</v>
      </c>
      <c r="E14" s="7">
        <f t="shared" si="1"/>
        <v>5.0259363139999999E-2</v>
      </c>
      <c r="F14" s="7">
        <f t="shared" si="1"/>
        <v>5.0535837651999996E-2</v>
      </c>
      <c r="G14" s="7">
        <f t="shared" si="1"/>
        <v>4.9018816E-2</v>
      </c>
      <c r="H14" s="7">
        <f t="shared" si="1"/>
        <v>4.9018816E-2</v>
      </c>
      <c r="I14" s="7">
        <f t="shared" si="1"/>
        <v>4.9018816E-2</v>
      </c>
      <c r="J14" s="7">
        <f t="shared" si="1"/>
        <v>4.9018816E-2</v>
      </c>
      <c r="K14" s="7">
        <f t="shared" si="1"/>
        <v>4.9018816E-2</v>
      </c>
      <c r="X14" s="64"/>
      <c r="Y14" s="64"/>
      <c r="Z14" s="64"/>
      <c r="AA14" s="64"/>
      <c r="AB14" s="65"/>
      <c r="AC14" s="65"/>
      <c r="AD14" s="65"/>
      <c r="AE14" s="65"/>
    </row>
    <row r="15" spans="1:31" x14ac:dyDescent="0.35">
      <c r="A15" s="41" t="s">
        <v>0</v>
      </c>
      <c r="B15" s="8">
        <f t="shared" ref="B15:K15" si="2">1/(1+B14)^B11</f>
        <v>0.95331837794282037</v>
      </c>
      <c r="C15" s="8">
        <f t="shared" si="2"/>
        <v>0.90623215856900063</v>
      </c>
      <c r="D15" s="8">
        <f t="shared" si="2"/>
        <v>0.86318782654316284</v>
      </c>
      <c r="E15" s="8">
        <f t="shared" si="2"/>
        <v>0.82189010529018647</v>
      </c>
      <c r="F15" s="8">
        <f t="shared" si="2"/>
        <v>0.7815299720810055</v>
      </c>
      <c r="G15" s="8">
        <f t="shared" si="2"/>
        <v>0.75041296947994873</v>
      </c>
      <c r="H15" s="8">
        <f t="shared" si="2"/>
        <v>0.71534748284243233</v>
      </c>
      <c r="I15" s="8">
        <f t="shared" si="2"/>
        <v>0.68192054511482891</v>
      </c>
      <c r="J15" s="8">
        <f t="shared" si="2"/>
        <v>0.65005558977011613</v>
      </c>
      <c r="K15" s="8">
        <f t="shared" si="2"/>
        <v>0.61967962810127142</v>
      </c>
      <c r="X15" s="64"/>
      <c r="Y15" s="64"/>
      <c r="Z15" s="64"/>
      <c r="AA15" s="64"/>
      <c r="AB15" s="65"/>
      <c r="AC15" s="65"/>
      <c r="AD15" s="65"/>
      <c r="AE15" s="65"/>
    </row>
    <row r="16" spans="1:31" x14ac:dyDescent="0.35">
      <c r="A16" s="42"/>
      <c r="B16" s="5"/>
      <c r="C16" s="5"/>
      <c r="D16" s="5"/>
      <c r="E16" s="5"/>
      <c r="F16" s="5"/>
      <c r="G16" s="5"/>
      <c r="H16" s="22"/>
      <c r="M16" s="21"/>
      <c r="X16" s="64"/>
      <c r="Y16" s="64"/>
      <c r="Z16" s="64"/>
      <c r="AA16" s="64"/>
      <c r="AB16" s="65"/>
      <c r="AC16" s="65"/>
      <c r="AD16" s="65"/>
      <c r="AE16" s="65"/>
    </row>
    <row r="17" spans="1:31" x14ac:dyDescent="0.35">
      <c r="A17" s="42"/>
      <c r="B17" s="5"/>
      <c r="C17" s="5"/>
      <c r="D17" s="5"/>
      <c r="E17" s="5"/>
      <c r="F17" s="5"/>
      <c r="G17" s="50"/>
      <c r="H17" s="22"/>
      <c r="M17" s="21"/>
      <c r="X17" s="63"/>
      <c r="Y17" s="63"/>
      <c r="Z17" s="63"/>
      <c r="AA17" s="63"/>
      <c r="AB17" s="66"/>
      <c r="AC17" s="66"/>
      <c r="AD17" s="66"/>
      <c r="AE17" s="66"/>
    </row>
    <row r="18" spans="1:31" x14ac:dyDescent="0.35">
      <c r="A18" s="42"/>
      <c r="B18" s="5"/>
      <c r="C18" s="5"/>
      <c r="D18" s="5"/>
      <c r="E18" s="5"/>
      <c r="F18" s="5"/>
      <c r="G18" s="5"/>
      <c r="H18" s="22"/>
      <c r="M18" s="21"/>
      <c r="X18" s="63"/>
      <c r="Y18" s="63"/>
      <c r="Z18" s="63"/>
      <c r="AA18" s="63"/>
      <c r="AB18" s="66"/>
      <c r="AC18" s="66"/>
      <c r="AD18" s="66"/>
      <c r="AE18" s="66"/>
    </row>
    <row r="19" spans="1:31" x14ac:dyDescent="0.35">
      <c r="A19" s="42"/>
      <c r="B19" s="5"/>
      <c r="C19" s="5"/>
      <c r="D19" s="5"/>
      <c r="E19" s="5"/>
      <c r="F19" s="5"/>
      <c r="G19" s="50"/>
      <c r="H19" s="22"/>
      <c r="M19" s="21"/>
      <c r="X19" s="63"/>
      <c r="Y19" s="63"/>
      <c r="Z19" s="63"/>
      <c r="AA19" s="63"/>
      <c r="AB19" s="66"/>
      <c r="AC19" s="66"/>
      <c r="AD19" s="66"/>
      <c r="AE19" s="66"/>
    </row>
    <row r="20" spans="1:31" x14ac:dyDescent="0.35">
      <c r="A20" s="42"/>
      <c r="B20" s="5"/>
      <c r="C20" s="5"/>
      <c r="D20" s="5"/>
      <c r="E20" s="5"/>
      <c r="F20" s="5"/>
      <c r="G20" s="5"/>
      <c r="H20" s="22"/>
      <c r="M20" s="21"/>
      <c r="X20" s="63"/>
      <c r="Y20" s="63"/>
      <c r="Z20" s="63"/>
      <c r="AA20" s="63"/>
      <c r="AB20" s="66"/>
      <c r="AC20" s="66"/>
      <c r="AD20" s="66"/>
      <c r="AE20" s="66"/>
    </row>
    <row r="21" spans="1:31" x14ac:dyDescent="0.35">
      <c r="A21" s="42"/>
      <c r="B21" s="5"/>
      <c r="C21" s="5"/>
      <c r="D21" s="5"/>
      <c r="E21" s="5"/>
      <c r="F21" s="5"/>
      <c r="G21" s="50"/>
      <c r="H21" s="22"/>
      <c r="M21" s="21"/>
    </row>
    <row r="22" spans="1:31" x14ac:dyDescent="0.35">
      <c r="A22" s="42"/>
      <c r="B22" s="5"/>
      <c r="C22" s="5"/>
      <c r="D22" s="5"/>
      <c r="E22" s="5"/>
      <c r="F22" s="5"/>
      <c r="G22" s="5"/>
      <c r="H22" s="22"/>
      <c r="M22" s="21"/>
    </row>
    <row r="23" spans="1:31" x14ac:dyDescent="0.35">
      <c r="A23" s="42"/>
      <c r="B23" s="5"/>
      <c r="C23" s="5"/>
      <c r="D23" s="5"/>
      <c r="E23" s="5"/>
      <c r="F23" s="5"/>
      <c r="G23" s="50"/>
      <c r="H23" s="20"/>
      <c r="I23" s="21"/>
      <c r="J23" s="21"/>
      <c r="K23" s="21"/>
      <c r="L23" s="21"/>
      <c r="M23" s="21"/>
    </row>
    <row r="24" spans="1:31" x14ac:dyDescent="0.35">
      <c r="A24" s="42"/>
      <c r="B24" s="5"/>
      <c r="C24" s="5"/>
      <c r="D24" s="5"/>
      <c r="E24" s="5"/>
      <c r="F24" s="5"/>
      <c r="G24" s="5"/>
      <c r="I24" s="21"/>
      <c r="J24" s="21"/>
      <c r="K24" s="21"/>
      <c r="L24" s="21"/>
      <c r="M24" s="21"/>
    </row>
    <row r="25" spans="1:31" x14ac:dyDescent="0.35">
      <c r="A25" s="42"/>
      <c r="B25" s="5"/>
      <c r="C25" s="5"/>
      <c r="D25" s="5"/>
      <c r="E25" s="5"/>
      <c r="F25" s="50"/>
      <c r="G25" s="50"/>
      <c r="J25" s="21"/>
      <c r="K25" s="21"/>
      <c r="L25" s="21"/>
      <c r="M25" s="21"/>
    </row>
    <row r="26" spans="1:31" x14ac:dyDescent="0.35">
      <c r="A26" s="42"/>
      <c r="B26" s="5"/>
      <c r="C26" s="5"/>
      <c r="D26" s="5"/>
      <c r="E26" s="5"/>
      <c r="F26" s="5"/>
      <c r="G26" s="5"/>
      <c r="K26" s="21"/>
      <c r="L26" s="21"/>
      <c r="M26" s="21"/>
    </row>
    <row r="27" spans="1:31" x14ac:dyDescent="0.35">
      <c r="A27" s="42"/>
      <c r="B27" s="5"/>
      <c r="C27" s="5"/>
      <c r="D27" s="5"/>
      <c r="E27" s="5"/>
      <c r="F27" s="50"/>
      <c r="G27" s="50"/>
      <c r="K27" s="21"/>
      <c r="L27" s="21"/>
      <c r="M27" s="21"/>
    </row>
    <row r="28" spans="1:31" x14ac:dyDescent="0.35">
      <c r="A28" s="42"/>
      <c r="B28" s="5"/>
      <c r="C28" s="5"/>
      <c r="D28" s="5"/>
      <c r="E28" s="5"/>
      <c r="F28" s="5"/>
      <c r="G28" s="5"/>
      <c r="K28" s="21"/>
      <c r="L28" s="21"/>
      <c r="M28" s="21"/>
    </row>
    <row r="29" spans="1:31" x14ac:dyDescent="0.35">
      <c r="A29" s="42"/>
      <c r="B29" s="5"/>
      <c r="C29" s="5"/>
      <c r="D29" s="5"/>
      <c r="E29" s="50"/>
      <c r="F29" s="50"/>
      <c r="G29" s="50"/>
      <c r="K29" s="21"/>
      <c r="L29" s="21"/>
      <c r="M29" s="21"/>
    </row>
    <row r="30" spans="1:31" x14ac:dyDescent="0.35">
      <c r="A30" s="42"/>
      <c r="B30" s="5"/>
      <c r="C30" s="5"/>
      <c r="D30" s="50"/>
      <c r="E30" s="50"/>
      <c r="F30" s="50"/>
      <c r="G30" s="50"/>
      <c r="H30" s="22"/>
      <c r="J30" s="21"/>
      <c r="K30" s="21"/>
      <c r="L30" s="21"/>
      <c r="M30" s="21"/>
    </row>
    <row r="31" spans="1:31" x14ac:dyDescent="0.35">
      <c r="A31" s="42"/>
      <c r="B31" s="5"/>
      <c r="C31" s="5"/>
      <c r="D31" s="5"/>
      <c r="E31" s="5"/>
      <c r="F31" s="5"/>
      <c r="G31" s="5"/>
      <c r="H31" s="28"/>
      <c r="I31" s="21"/>
      <c r="J31" s="21"/>
      <c r="K31" s="21"/>
      <c r="L31" s="21"/>
      <c r="M31" s="21"/>
    </row>
    <row r="32" spans="1:31" x14ac:dyDescent="0.35">
      <c r="A32" s="42"/>
      <c r="B32" s="5"/>
      <c r="C32" s="5"/>
      <c r="D32" s="5"/>
      <c r="E32" s="5"/>
      <c r="F32" s="5"/>
      <c r="G32" s="5"/>
      <c r="H32" s="20"/>
    </row>
    <row r="33" spans="1:13" x14ac:dyDescent="0.35">
      <c r="A33" s="42"/>
      <c r="B33" s="5"/>
      <c r="C33" s="5"/>
      <c r="D33" s="5"/>
      <c r="E33" s="5"/>
      <c r="F33" s="5"/>
      <c r="G33" s="5"/>
      <c r="H33" s="22"/>
      <c r="I33" s="21"/>
      <c r="J33" s="21"/>
      <c r="K33" s="21"/>
      <c r="L33" s="21"/>
      <c r="M33" s="21"/>
    </row>
    <row r="34" spans="1:13" x14ac:dyDescent="0.35">
      <c r="A34" s="42"/>
      <c r="B34" s="5"/>
      <c r="C34" s="5"/>
      <c r="D34" s="56"/>
      <c r="E34" s="5"/>
      <c r="F34" s="5"/>
      <c r="G34" s="5"/>
      <c r="H34" s="22"/>
      <c r="J34" s="21"/>
      <c r="K34" s="21"/>
      <c r="L34" s="21"/>
      <c r="M34" s="21"/>
    </row>
    <row r="35" spans="1:13" x14ac:dyDescent="0.35">
      <c r="A35" s="42"/>
      <c r="B35" s="5"/>
      <c r="C35" s="5"/>
      <c r="D35" s="5"/>
      <c r="E35" s="5"/>
      <c r="F35" s="5"/>
      <c r="G35" s="5"/>
      <c r="H35" s="22"/>
      <c r="K35" s="21"/>
      <c r="L35" s="21"/>
      <c r="M35" s="21"/>
    </row>
    <row r="36" spans="1:13" x14ac:dyDescent="0.35">
      <c r="A36" s="42"/>
      <c r="B36" s="5"/>
      <c r="C36" s="5"/>
      <c r="D36" s="5"/>
      <c r="E36" s="5"/>
      <c r="F36" s="5"/>
      <c r="G36" s="5"/>
      <c r="H36" s="22"/>
      <c r="K36" s="21"/>
      <c r="L36" s="21"/>
      <c r="M36" s="21"/>
    </row>
    <row r="37" spans="1:13" x14ac:dyDescent="0.35">
      <c r="A37" s="42"/>
      <c r="B37" s="5"/>
      <c r="C37" s="5"/>
      <c r="D37" s="5"/>
      <c r="E37" s="5"/>
      <c r="F37" s="5"/>
      <c r="G37" s="5"/>
      <c r="H37" s="20"/>
      <c r="I37" s="21"/>
      <c r="J37" s="21"/>
      <c r="K37" s="21"/>
      <c r="L37" s="21"/>
      <c r="M37" s="21"/>
    </row>
    <row r="38" spans="1:13" x14ac:dyDescent="0.35">
      <c r="A38" s="42"/>
      <c r="B38" s="5"/>
      <c r="C38" s="5"/>
      <c r="D38" s="5"/>
      <c r="E38" s="5"/>
      <c r="F38" s="5"/>
      <c r="G38" s="5"/>
      <c r="I38" s="21"/>
      <c r="J38" s="21"/>
      <c r="K38" s="21"/>
      <c r="L38" s="21"/>
      <c r="M38" s="21"/>
    </row>
    <row r="39" spans="1:13" x14ac:dyDescent="0.35">
      <c r="A39" s="42"/>
      <c r="B39" s="5"/>
      <c r="C39" s="5"/>
      <c r="D39" s="5"/>
      <c r="E39" s="5"/>
      <c r="F39" s="5"/>
      <c r="G39" s="5"/>
      <c r="J39" s="21"/>
      <c r="K39" s="21"/>
      <c r="L39" s="21"/>
      <c r="M39" s="21"/>
    </row>
    <row r="40" spans="1:13" x14ac:dyDescent="0.35">
      <c r="A40" s="42"/>
      <c r="B40" s="5"/>
      <c r="C40" s="5"/>
      <c r="D40" s="5"/>
      <c r="E40" s="5"/>
      <c r="F40" s="5"/>
      <c r="G40" s="5"/>
      <c r="K40" s="21"/>
      <c r="L40" s="21"/>
      <c r="M40" s="21"/>
    </row>
    <row r="41" spans="1:13" x14ac:dyDescent="0.35">
      <c r="A41" s="42"/>
      <c r="B41" s="5"/>
      <c r="C41" s="5"/>
      <c r="D41" s="5"/>
      <c r="E41" s="5"/>
      <c r="F41" s="5"/>
      <c r="G41" s="5"/>
      <c r="L41" s="21"/>
      <c r="M41" s="21"/>
    </row>
    <row r="42" spans="1:13" x14ac:dyDescent="0.35">
      <c r="A42" s="42"/>
      <c r="B42" s="5"/>
      <c r="C42" s="5"/>
      <c r="D42" s="5"/>
      <c r="E42" s="5"/>
      <c r="F42" s="5"/>
      <c r="G42" s="5"/>
      <c r="M42" s="21"/>
    </row>
    <row r="43" spans="1:13" x14ac:dyDescent="0.35">
      <c r="A43" s="42"/>
      <c r="B43" s="5"/>
      <c r="C43" s="5"/>
      <c r="D43" s="5"/>
      <c r="E43" s="5"/>
      <c r="F43" s="5"/>
      <c r="G43" s="5"/>
      <c r="M43" s="21"/>
    </row>
    <row r="44" spans="1:13" x14ac:dyDescent="0.35">
      <c r="A44" s="42"/>
      <c r="B44" s="5"/>
      <c r="C44" s="5"/>
      <c r="D44" s="5"/>
      <c r="E44" s="5"/>
      <c r="F44" s="5"/>
      <c r="G44" s="5"/>
      <c r="H44" s="22"/>
      <c r="M44" s="21"/>
    </row>
    <row r="45" spans="1:13" x14ac:dyDescent="0.35">
      <c r="A45" s="42"/>
      <c r="B45" s="5"/>
      <c r="C45" s="5"/>
      <c r="D45" s="5"/>
      <c r="E45" s="5"/>
      <c r="F45" s="5"/>
      <c r="G45" s="5"/>
      <c r="H45" s="22"/>
      <c r="M45" s="21"/>
    </row>
    <row r="46" spans="1:13" x14ac:dyDescent="0.35">
      <c r="A46" s="42"/>
      <c r="B46" s="5"/>
      <c r="C46" s="5"/>
      <c r="D46" s="5"/>
      <c r="E46" s="5"/>
      <c r="F46" s="5"/>
      <c r="G46" s="5"/>
      <c r="H46" s="22"/>
      <c r="M46" s="21"/>
    </row>
    <row r="47" spans="1:13" x14ac:dyDescent="0.35">
      <c r="A47" s="42"/>
      <c r="B47" s="5"/>
      <c r="C47" s="5"/>
      <c r="D47" s="5"/>
      <c r="E47" s="5"/>
      <c r="F47" s="5"/>
      <c r="G47" s="5"/>
      <c r="H47" s="22"/>
      <c r="M47" s="21"/>
    </row>
    <row r="48" spans="1:13" x14ac:dyDescent="0.35">
      <c r="A48" s="42"/>
      <c r="B48" s="5"/>
      <c r="C48" s="5"/>
      <c r="D48" s="5"/>
      <c r="E48" s="5"/>
      <c r="F48" s="5"/>
      <c r="G48" s="5"/>
      <c r="H48" s="22"/>
      <c r="M48" s="21"/>
    </row>
    <row r="49" spans="1:13" x14ac:dyDescent="0.35">
      <c r="A49" s="42"/>
      <c r="B49" s="5"/>
      <c r="C49" s="5"/>
      <c r="D49" s="5"/>
      <c r="E49" s="5"/>
      <c r="F49" s="5"/>
      <c r="G49" s="5"/>
      <c r="H49" s="22"/>
      <c r="M49" s="21"/>
    </row>
    <row r="50" spans="1:13" x14ac:dyDescent="0.35">
      <c r="A50" s="42"/>
      <c r="B50" s="5"/>
      <c r="C50" s="5"/>
      <c r="D50" s="5"/>
      <c r="E50" s="5"/>
      <c r="F50" s="5"/>
      <c r="G50" s="5"/>
      <c r="H50" s="22"/>
      <c r="M50" s="21"/>
    </row>
    <row r="51" spans="1:13" x14ac:dyDescent="0.35">
      <c r="A51" s="42"/>
      <c r="B51" s="5"/>
      <c r="C51" s="5"/>
      <c r="D51" s="5"/>
      <c r="E51" s="5"/>
      <c r="F51" s="5"/>
      <c r="G51" s="5"/>
      <c r="H51" s="22"/>
      <c r="M51" s="21"/>
    </row>
    <row r="52" spans="1:13" x14ac:dyDescent="0.35">
      <c r="A52" s="42"/>
      <c r="B52" s="5"/>
      <c r="C52" s="5"/>
      <c r="D52" s="5"/>
      <c r="E52" s="5"/>
      <c r="F52" s="5"/>
      <c r="G52" s="5"/>
      <c r="H52" s="22"/>
      <c r="M52" s="21"/>
    </row>
    <row r="53" spans="1:13" x14ac:dyDescent="0.35">
      <c r="A53" s="42"/>
      <c r="B53" s="5"/>
      <c r="C53" s="5"/>
      <c r="D53" s="5"/>
      <c r="E53" s="5"/>
      <c r="F53" s="5"/>
      <c r="G53" s="5"/>
      <c r="H53" s="22"/>
      <c r="M53" s="21"/>
    </row>
    <row r="54" spans="1:13" x14ac:dyDescent="0.35">
      <c r="A54" s="42"/>
      <c r="B54" s="5"/>
      <c r="C54" s="5"/>
      <c r="D54" s="5"/>
      <c r="E54" s="5"/>
      <c r="F54" s="5"/>
      <c r="G54" s="5"/>
      <c r="H54" s="22"/>
      <c r="M54" s="21"/>
    </row>
    <row r="55" spans="1:13" x14ac:dyDescent="0.35">
      <c r="A55" s="42"/>
      <c r="B55" s="5"/>
      <c r="C55" s="5"/>
      <c r="D55" s="5"/>
      <c r="E55" s="5"/>
      <c r="F55" s="5"/>
      <c r="G55" s="5"/>
      <c r="H55" s="22"/>
      <c r="M55" s="21"/>
    </row>
    <row r="56" spans="1:13" x14ac:dyDescent="0.35">
      <c r="A56" s="42"/>
      <c r="B56" s="5"/>
      <c r="C56" s="5"/>
      <c r="D56" s="5"/>
      <c r="E56" s="5"/>
      <c r="F56" s="5"/>
      <c r="G56" s="5"/>
      <c r="H56" s="22"/>
      <c r="M56" s="21"/>
    </row>
    <row r="57" spans="1:13" x14ac:dyDescent="0.35">
      <c r="A57" s="42"/>
      <c r="B57" s="5"/>
      <c r="C57" s="5"/>
      <c r="D57" s="5"/>
      <c r="E57" s="5"/>
      <c r="F57" s="5"/>
      <c r="G57" s="5"/>
      <c r="H57" s="22"/>
      <c r="M57" s="21"/>
    </row>
    <row r="58" spans="1:13" x14ac:dyDescent="0.35">
      <c r="A58" s="42"/>
      <c r="B58" s="5"/>
      <c r="C58" s="5"/>
      <c r="D58" s="5"/>
      <c r="E58" s="5"/>
      <c r="F58" s="5"/>
      <c r="G58" s="5"/>
      <c r="H58" s="22"/>
      <c r="M58" s="21"/>
    </row>
    <row r="59" spans="1:13" x14ac:dyDescent="0.35">
      <c r="A59" s="42"/>
      <c r="B59" s="5"/>
      <c r="C59" s="5"/>
      <c r="D59" s="5"/>
      <c r="E59" s="5"/>
      <c r="F59" s="5"/>
      <c r="G59" s="5"/>
      <c r="H59" s="22"/>
      <c r="M59" s="21"/>
    </row>
    <row r="60" spans="1:13" x14ac:dyDescent="0.35">
      <c r="A60" s="42"/>
      <c r="B60" s="5"/>
      <c r="C60" s="5"/>
      <c r="D60" s="5"/>
      <c r="E60" s="5"/>
      <c r="F60" s="5"/>
      <c r="G60" s="5"/>
      <c r="H60" s="22"/>
      <c r="M60" s="21"/>
    </row>
    <row r="61" spans="1:13" x14ac:dyDescent="0.35">
      <c r="A61" s="42"/>
      <c r="B61" s="5"/>
      <c r="C61" s="5"/>
      <c r="D61" s="5"/>
      <c r="E61" s="5"/>
      <c r="F61" s="5"/>
      <c r="G61" s="5"/>
      <c r="H61" s="22"/>
      <c r="M61" s="21"/>
    </row>
    <row r="62" spans="1:13" x14ac:dyDescent="0.35">
      <c r="A62" s="42"/>
      <c r="B62" s="5"/>
      <c r="C62" s="5"/>
      <c r="D62" s="5"/>
      <c r="E62" s="5"/>
      <c r="F62" s="5"/>
      <c r="G62" s="5"/>
      <c r="H62" s="22"/>
      <c r="M62" s="21"/>
    </row>
    <row r="63" spans="1:13" x14ac:dyDescent="0.35">
      <c r="A63" s="42"/>
      <c r="B63" s="5"/>
      <c r="C63" s="5"/>
      <c r="D63" s="5"/>
      <c r="E63" s="5"/>
      <c r="F63" s="5"/>
      <c r="G63" s="5"/>
      <c r="H63" s="22"/>
      <c r="M63" s="21"/>
    </row>
    <row r="64" spans="1:13" x14ac:dyDescent="0.35">
      <c r="A64" s="42"/>
      <c r="B64" s="5"/>
      <c r="C64" s="5"/>
      <c r="D64" s="5"/>
      <c r="E64" s="5"/>
      <c r="F64" s="5"/>
      <c r="G64" s="5"/>
      <c r="H64" s="22"/>
      <c r="M64" s="21"/>
    </row>
    <row r="65" spans="1:13" x14ac:dyDescent="0.35">
      <c r="A65" s="42"/>
      <c r="B65" s="5"/>
      <c r="C65" s="5"/>
      <c r="D65" s="5"/>
      <c r="E65" s="5"/>
      <c r="F65" s="5"/>
      <c r="G65" s="5"/>
      <c r="H65" s="22"/>
      <c r="M65" s="21"/>
    </row>
    <row r="66" spans="1:13" x14ac:dyDescent="0.35">
      <c r="A66" s="42"/>
      <c r="B66" s="5"/>
      <c r="C66" s="5"/>
      <c r="D66" s="5"/>
      <c r="E66" s="5"/>
      <c r="F66" s="5"/>
      <c r="G66" s="5"/>
      <c r="H66" s="22"/>
      <c r="M66" s="21"/>
    </row>
    <row r="67" spans="1:13" x14ac:dyDescent="0.35">
      <c r="A67" s="42"/>
      <c r="B67" s="5"/>
      <c r="C67" s="5"/>
      <c r="D67" s="5"/>
      <c r="E67" s="5"/>
      <c r="F67" s="5"/>
      <c r="G67" s="5"/>
      <c r="H67" s="22"/>
      <c r="M67" s="21"/>
    </row>
    <row r="68" spans="1:13" x14ac:dyDescent="0.35">
      <c r="A68" s="42"/>
      <c r="B68" s="5"/>
      <c r="C68" s="5"/>
      <c r="D68" s="5"/>
      <c r="E68" s="5"/>
      <c r="F68" s="5"/>
      <c r="G68" s="5"/>
      <c r="H68" s="22"/>
      <c r="M68" s="21"/>
    </row>
    <row r="69" spans="1:13" x14ac:dyDescent="0.35">
      <c r="A69" s="42"/>
      <c r="B69" s="5"/>
      <c r="C69" s="5"/>
      <c r="D69" s="5"/>
      <c r="E69" s="5"/>
      <c r="F69" s="5"/>
      <c r="G69" s="5"/>
      <c r="H69" s="22"/>
      <c r="M69" s="21"/>
    </row>
    <row r="70" spans="1:13" x14ac:dyDescent="0.35">
      <c r="A70" s="42"/>
      <c r="B70" s="5"/>
      <c r="C70" s="5"/>
      <c r="D70" s="5"/>
      <c r="E70" s="5"/>
      <c r="F70" s="5"/>
      <c r="G70" s="5"/>
      <c r="H70" s="22"/>
      <c r="M70" s="21"/>
    </row>
    <row r="71" spans="1:13" x14ac:dyDescent="0.35">
      <c r="A71" s="42"/>
      <c r="B71" s="5"/>
      <c r="C71" s="5"/>
      <c r="D71" s="5"/>
      <c r="E71" s="5"/>
      <c r="F71" s="5"/>
      <c r="G71" s="5"/>
      <c r="H71" s="22"/>
      <c r="M71" s="21"/>
    </row>
    <row r="72" spans="1:13" x14ac:dyDescent="0.35">
      <c r="A72" s="42"/>
      <c r="B72" s="5"/>
      <c r="C72" s="5"/>
      <c r="D72" s="5"/>
      <c r="E72" s="5"/>
      <c r="F72" s="5"/>
      <c r="G72" s="5"/>
      <c r="H72" s="22"/>
      <c r="M72" s="21"/>
    </row>
    <row r="73" spans="1:13" x14ac:dyDescent="0.35">
      <c r="A73" s="42"/>
      <c r="B73" s="5"/>
      <c r="C73" s="5"/>
      <c r="D73" s="5"/>
      <c r="E73" s="5"/>
      <c r="F73" s="5"/>
      <c r="G73" s="5"/>
      <c r="H73" s="22"/>
      <c r="M73" s="21"/>
    </row>
    <row r="74" spans="1:13" x14ac:dyDescent="0.35">
      <c r="A74" s="42"/>
      <c r="B74" s="5"/>
      <c r="C74" s="5"/>
      <c r="D74" s="5"/>
      <c r="E74" s="5"/>
      <c r="F74" s="5"/>
      <c r="G74" s="5"/>
      <c r="H74" s="22"/>
      <c r="M74" s="21"/>
    </row>
    <row r="75" spans="1:13" x14ac:dyDescent="0.35">
      <c r="A75" s="42"/>
      <c r="B75" s="5"/>
      <c r="C75" s="5"/>
      <c r="D75" s="5"/>
      <c r="E75" s="5"/>
      <c r="F75" s="5"/>
      <c r="G75" s="5"/>
      <c r="H75" s="22"/>
      <c r="M75" s="21"/>
    </row>
    <row r="76" spans="1:13" x14ac:dyDescent="0.35">
      <c r="A76" s="42"/>
      <c r="B76" s="5"/>
      <c r="C76" s="5"/>
      <c r="D76" s="5"/>
      <c r="E76" s="5"/>
      <c r="F76" s="5"/>
      <c r="G76" s="5"/>
      <c r="H76" s="22"/>
      <c r="M76" s="21"/>
    </row>
    <row r="77" spans="1:13" x14ac:dyDescent="0.35">
      <c r="A77" s="42"/>
      <c r="B77" s="5"/>
      <c r="C77" s="5"/>
      <c r="D77" s="5"/>
      <c r="E77" s="5"/>
      <c r="F77" s="5"/>
      <c r="G77" s="5"/>
      <c r="H77" s="22"/>
      <c r="M77" s="21"/>
    </row>
    <row r="78" spans="1:13" x14ac:dyDescent="0.35">
      <c r="A78" s="42"/>
      <c r="B78" s="5"/>
      <c r="C78" s="5"/>
      <c r="D78" s="5"/>
      <c r="E78" s="5"/>
      <c r="F78" s="5"/>
      <c r="G78" s="5"/>
      <c r="H78" s="22"/>
      <c r="M78" s="21"/>
    </row>
    <row r="79" spans="1:13" x14ac:dyDescent="0.35">
      <c r="A79" s="42"/>
      <c r="B79" s="5"/>
      <c r="C79" s="5"/>
      <c r="D79" s="5"/>
      <c r="E79" s="5"/>
      <c r="F79" s="5"/>
      <c r="G79" s="5"/>
      <c r="H79" s="22"/>
      <c r="M79" s="21"/>
    </row>
    <row r="80" spans="1:13" x14ac:dyDescent="0.35">
      <c r="A80" s="42"/>
      <c r="B80" s="5"/>
      <c r="C80" s="5"/>
      <c r="D80" s="5"/>
      <c r="E80" s="5"/>
      <c r="F80" s="5"/>
      <c r="G80" s="5"/>
      <c r="H80" s="22"/>
      <c r="M80" s="21"/>
    </row>
    <row r="81" spans="1:13" x14ac:dyDescent="0.35">
      <c r="A81" s="42"/>
      <c r="B81" s="5"/>
      <c r="C81" s="5"/>
      <c r="D81" s="5"/>
      <c r="E81" s="5"/>
      <c r="F81" s="5"/>
      <c r="G81" s="5"/>
      <c r="H81" s="22"/>
      <c r="M81" s="21"/>
    </row>
    <row r="82" spans="1:13" x14ac:dyDescent="0.35">
      <c r="A82" s="42"/>
      <c r="B82" s="5"/>
      <c r="C82" s="5"/>
      <c r="D82" s="5"/>
      <c r="E82" s="5"/>
      <c r="F82" s="5"/>
      <c r="G82" s="5"/>
      <c r="H82" s="22"/>
      <c r="M82" s="21"/>
    </row>
    <row r="83" spans="1:13" x14ac:dyDescent="0.35">
      <c r="A83" s="42"/>
      <c r="B83" s="5"/>
      <c r="C83" s="5"/>
      <c r="D83" s="5"/>
      <c r="E83" s="5"/>
      <c r="F83" s="5"/>
      <c r="G83" s="5"/>
      <c r="H83" s="22"/>
      <c r="M83" s="21"/>
    </row>
    <row r="84" spans="1:13" x14ac:dyDescent="0.35">
      <c r="A84" s="42"/>
      <c r="B84" s="5"/>
      <c r="C84" s="5"/>
      <c r="D84" s="5"/>
      <c r="E84" s="5"/>
      <c r="F84" s="5"/>
      <c r="G84" s="5"/>
      <c r="H84" s="22"/>
      <c r="M84" s="21"/>
    </row>
    <row r="85" spans="1:13" x14ac:dyDescent="0.35">
      <c r="A85" s="42"/>
      <c r="B85" s="5"/>
      <c r="C85" s="5"/>
      <c r="D85" s="5"/>
      <c r="E85" s="5"/>
      <c r="F85" s="5"/>
      <c r="G85" s="5"/>
      <c r="H85" s="22"/>
      <c r="M85" s="21"/>
    </row>
    <row r="86" spans="1:13" x14ac:dyDescent="0.35">
      <c r="A86" s="42"/>
      <c r="B86" s="5"/>
      <c r="C86" s="5"/>
      <c r="D86" s="5"/>
      <c r="E86" s="5"/>
      <c r="F86" s="5"/>
      <c r="G86" s="5"/>
      <c r="H86" s="22"/>
      <c r="M86" s="21"/>
    </row>
    <row r="87" spans="1:13" x14ac:dyDescent="0.35">
      <c r="A87" s="42"/>
      <c r="B87" s="5"/>
      <c r="C87" s="5"/>
      <c r="D87" s="5"/>
      <c r="E87" s="5"/>
      <c r="F87" s="5"/>
      <c r="G87" s="5"/>
      <c r="H87" s="22"/>
      <c r="M87" s="21"/>
    </row>
    <row r="88" spans="1:13" x14ac:dyDescent="0.35">
      <c r="A88" s="42"/>
      <c r="B88" s="5"/>
      <c r="C88" s="5"/>
      <c r="D88" s="5"/>
      <c r="E88" s="5"/>
      <c r="F88" s="5"/>
      <c r="G88" s="5"/>
      <c r="H88" s="22"/>
      <c r="M88" s="21"/>
    </row>
    <row r="89" spans="1:13" x14ac:dyDescent="0.35">
      <c r="A89" s="42"/>
      <c r="B89" s="5"/>
      <c r="C89" s="5"/>
      <c r="D89" s="5"/>
      <c r="E89" s="5"/>
      <c r="F89" s="5"/>
      <c r="G89" s="5"/>
      <c r="H89" s="22"/>
      <c r="M89" s="21"/>
    </row>
    <row r="90" spans="1:13" x14ac:dyDescent="0.35">
      <c r="A90" s="42"/>
      <c r="B90" s="5"/>
      <c r="C90" s="5"/>
      <c r="D90" s="5"/>
      <c r="E90" s="5"/>
      <c r="F90" s="5"/>
      <c r="G90" s="5"/>
      <c r="H90" s="22"/>
      <c r="M90" s="21"/>
    </row>
    <row r="91" spans="1:13" x14ac:dyDescent="0.35">
      <c r="A91" s="42"/>
      <c r="B91" s="5"/>
      <c r="C91" s="5"/>
      <c r="D91" s="5"/>
      <c r="E91" s="5"/>
      <c r="F91" s="5"/>
      <c r="G91" s="5"/>
      <c r="H91" s="22"/>
      <c r="M91" s="21"/>
    </row>
    <row r="92" spans="1:13" x14ac:dyDescent="0.35">
      <c r="A92" s="42"/>
      <c r="B92" s="5"/>
      <c r="C92" s="5"/>
      <c r="D92" s="5"/>
      <c r="E92" s="5"/>
      <c r="F92" s="5"/>
      <c r="G92" s="5"/>
      <c r="H92" s="22"/>
      <c r="M92" s="21"/>
    </row>
    <row r="93" spans="1:13" x14ac:dyDescent="0.35">
      <c r="A93" s="42"/>
      <c r="B93" s="5"/>
      <c r="C93" s="5"/>
      <c r="D93" s="5"/>
      <c r="E93" s="5"/>
      <c r="F93" s="5"/>
      <c r="G93" s="5"/>
      <c r="H93" s="22"/>
      <c r="M93" s="21"/>
    </row>
    <row r="94" spans="1:13" x14ac:dyDescent="0.35">
      <c r="A94" s="42"/>
      <c r="B94" s="5"/>
      <c r="C94" s="5"/>
      <c r="D94" s="5"/>
      <c r="E94" s="5"/>
      <c r="F94" s="5"/>
      <c r="G94" s="5"/>
      <c r="H94" s="22"/>
      <c r="M94" s="21"/>
    </row>
    <row r="95" spans="1:13" x14ac:dyDescent="0.35">
      <c r="A95" s="42"/>
      <c r="B95" s="5"/>
      <c r="C95" s="5"/>
      <c r="D95" s="5"/>
      <c r="E95" s="5"/>
      <c r="F95" s="5"/>
      <c r="G95" s="5"/>
      <c r="H95" s="22"/>
      <c r="M95" s="21"/>
    </row>
    <row r="96" spans="1:13" x14ac:dyDescent="0.35">
      <c r="A96" s="42"/>
      <c r="B96" s="5"/>
      <c r="C96" s="5"/>
      <c r="D96" s="5"/>
      <c r="E96" s="5"/>
      <c r="F96" s="5"/>
      <c r="G96" s="5"/>
      <c r="H96" s="22"/>
      <c r="M96" s="21"/>
    </row>
    <row r="97" spans="1:13" x14ac:dyDescent="0.35">
      <c r="A97" s="42"/>
      <c r="B97" s="5"/>
      <c r="C97" s="5"/>
      <c r="D97" s="5"/>
      <c r="E97" s="5"/>
      <c r="F97" s="5"/>
      <c r="G97" s="5"/>
      <c r="H97" s="22"/>
      <c r="M97" s="21"/>
    </row>
    <row r="98" spans="1:13" x14ac:dyDescent="0.35">
      <c r="A98" s="42"/>
      <c r="B98" s="5"/>
      <c r="C98" s="5"/>
      <c r="D98" s="5"/>
      <c r="E98" s="5"/>
      <c r="F98" s="5"/>
      <c r="G98" s="5"/>
      <c r="H98" s="22"/>
      <c r="M98" s="21"/>
    </row>
    <row r="99" spans="1:13" x14ac:dyDescent="0.35">
      <c r="A99" s="42"/>
      <c r="B99" s="5"/>
      <c r="C99" s="5"/>
      <c r="D99" s="5"/>
      <c r="E99" s="5"/>
      <c r="F99" s="5"/>
      <c r="G99" s="5"/>
      <c r="H99" s="22"/>
      <c r="M99" s="21"/>
    </row>
    <row r="100" spans="1:13" x14ac:dyDescent="0.35">
      <c r="A100" s="42"/>
      <c r="B100" s="5"/>
      <c r="C100" s="5"/>
      <c r="D100" s="5"/>
      <c r="E100" s="5"/>
      <c r="F100" s="5"/>
      <c r="G100" s="5"/>
      <c r="H100" s="22"/>
      <c r="M100" s="21"/>
    </row>
    <row r="101" spans="1:13" x14ac:dyDescent="0.35">
      <c r="A101" s="42"/>
      <c r="B101" s="5"/>
      <c r="C101" s="5"/>
      <c r="D101" s="5"/>
      <c r="E101" s="5"/>
      <c r="F101" s="5"/>
      <c r="G101" s="5"/>
      <c r="H101" s="22"/>
      <c r="M101" s="21"/>
    </row>
    <row r="102" spans="1:13" x14ac:dyDescent="0.35">
      <c r="A102" s="42"/>
      <c r="B102" s="5"/>
      <c r="C102" s="5"/>
      <c r="D102" s="5"/>
      <c r="E102" s="5"/>
      <c r="F102" s="5"/>
      <c r="G102" s="5"/>
      <c r="H102" s="22"/>
      <c r="M102" s="21"/>
    </row>
    <row r="103" spans="1:13" x14ac:dyDescent="0.35">
      <c r="A103" s="42"/>
      <c r="B103" s="5"/>
      <c r="C103" s="5"/>
      <c r="D103" s="5"/>
      <c r="E103" s="5"/>
      <c r="F103" s="5"/>
      <c r="G103" s="5"/>
      <c r="H103" s="22"/>
      <c r="M103" s="21"/>
    </row>
    <row r="104" spans="1:13" x14ac:dyDescent="0.35">
      <c r="A104" s="42"/>
      <c r="B104" s="5"/>
      <c r="C104" s="5"/>
      <c r="D104" s="5"/>
      <c r="E104" s="5"/>
      <c r="F104" s="5"/>
      <c r="G104" s="5"/>
      <c r="H104" s="22"/>
      <c r="M104" s="21"/>
    </row>
    <row r="105" spans="1:13" x14ac:dyDescent="0.35">
      <c r="A105" s="42"/>
      <c r="B105" s="5"/>
      <c r="C105" s="5"/>
      <c r="D105" s="5"/>
      <c r="E105" s="5"/>
      <c r="F105" s="5"/>
      <c r="G105" s="5"/>
      <c r="H105" s="22"/>
      <c r="M105" s="21"/>
    </row>
    <row r="106" spans="1:13" x14ac:dyDescent="0.35">
      <c r="A106" s="42"/>
      <c r="B106" s="5"/>
      <c r="C106" s="5"/>
      <c r="D106" s="5"/>
      <c r="E106" s="5"/>
      <c r="F106" s="5"/>
      <c r="G106" s="5"/>
      <c r="H106" s="22"/>
      <c r="M106" s="21"/>
    </row>
    <row r="107" spans="1:13" x14ac:dyDescent="0.35">
      <c r="A107" s="42"/>
      <c r="B107" s="5"/>
      <c r="C107" s="5"/>
      <c r="D107" s="5"/>
      <c r="E107" s="5"/>
      <c r="F107" s="5"/>
      <c r="G107" s="5"/>
      <c r="H107" s="22"/>
      <c r="M107" s="21"/>
    </row>
    <row r="108" spans="1:13" x14ac:dyDescent="0.35">
      <c r="A108" s="42"/>
      <c r="B108" s="5"/>
      <c r="C108" s="5"/>
      <c r="D108" s="5"/>
      <c r="E108" s="5"/>
      <c r="F108" s="5"/>
      <c r="G108" s="5"/>
      <c r="H108" s="22"/>
      <c r="M108" s="21"/>
    </row>
    <row r="109" spans="1:13" x14ac:dyDescent="0.35">
      <c r="A109" s="42"/>
      <c r="B109" s="5"/>
      <c r="C109" s="5"/>
      <c r="D109" s="5"/>
      <c r="E109" s="5"/>
      <c r="F109" s="5"/>
      <c r="G109" s="5"/>
      <c r="H109" s="22"/>
      <c r="M109" s="21"/>
    </row>
    <row r="110" spans="1:13" x14ac:dyDescent="0.35">
      <c r="A110" s="42"/>
      <c r="B110" s="5"/>
      <c r="C110" s="5"/>
      <c r="D110" s="5"/>
      <c r="E110" s="5"/>
      <c r="F110" s="5"/>
      <c r="G110" s="5"/>
      <c r="H110" s="22"/>
      <c r="M110" s="21"/>
    </row>
    <row r="111" spans="1:13" x14ac:dyDescent="0.35">
      <c r="A111" s="42"/>
      <c r="B111" s="5"/>
      <c r="C111" s="5"/>
      <c r="D111" s="5"/>
      <c r="E111" s="5"/>
      <c r="F111" s="5"/>
      <c r="G111" s="5"/>
      <c r="H111" s="22"/>
      <c r="M111" s="21"/>
    </row>
    <row r="112" spans="1:13" x14ac:dyDescent="0.35">
      <c r="A112" s="42"/>
      <c r="B112" s="5"/>
      <c r="C112" s="5"/>
      <c r="D112" s="5"/>
      <c r="E112" s="5"/>
      <c r="F112" s="5"/>
      <c r="G112" s="5"/>
      <c r="H112" s="22"/>
      <c r="M112" s="21"/>
    </row>
    <row r="113" spans="1:13" x14ac:dyDescent="0.35">
      <c r="A113" s="42"/>
      <c r="B113" s="5"/>
      <c r="C113" s="5"/>
      <c r="D113" s="5"/>
      <c r="E113" s="5"/>
      <c r="F113" s="5"/>
      <c r="G113" s="5"/>
      <c r="H113" s="22"/>
      <c r="M113" s="21"/>
    </row>
    <row r="114" spans="1:13" x14ac:dyDescent="0.35">
      <c r="A114" s="42"/>
      <c r="B114" s="5"/>
      <c r="C114" s="5"/>
      <c r="D114" s="5"/>
      <c r="E114" s="5"/>
      <c r="F114" s="5"/>
      <c r="G114" s="5"/>
      <c r="H114" s="22"/>
      <c r="M114" s="21"/>
    </row>
    <row r="115" spans="1:13" x14ac:dyDescent="0.35">
      <c r="A115" s="42"/>
      <c r="B115" s="5"/>
      <c r="C115" s="5"/>
      <c r="D115" s="5"/>
      <c r="E115" s="5"/>
      <c r="F115" s="5"/>
      <c r="G115" s="5"/>
      <c r="H115" s="22"/>
      <c r="M115" s="21"/>
    </row>
    <row r="116" spans="1:13" x14ac:dyDescent="0.35">
      <c r="A116" s="42"/>
      <c r="B116" s="5"/>
      <c r="C116" s="5"/>
      <c r="D116" s="5"/>
      <c r="E116" s="5"/>
      <c r="F116" s="5"/>
      <c r="G116" s="5"/>
      <c r="H116" s="22"/>
      <c r="M116" s="21"/>
    </row>
    <row r="117" spans="1:13" x14ac:dyDescent="0.35">
      <c r="A117" s="42"/>
      <c r="B117" s="5"/>
      <c r="C117" s="5"/>
      <c r="D117" s="5"/>
      <c r="E117" s="5"/>
      <c r="F117" s="5"/>
      <c r="G117" s="5"/>
      <c r="H117" s="22"/>
      <c r="M117" s="21"/>
    </row>
    <row r="118" spans="1:13" x14ac:dyDescent="0.35">
      <c r="A118" s="42"/>
      <c r="B118" s="5"/>
      <c r="C118" s="5"/>
      <c r="D118" s="5"/>
      <c r="E118" s="5"/>
      <c r="F118" s="5"/>
      <c r="G118" s="5"/>
      <c r="H118" s="22"/>
      <c r="M118" s="21"/>
    </row>
    <row r="119" spans="1:13" x14ac:dyDescent="0.35">
      <c r="A119" s="42"/>
      <c r="B119" s="5"/>
      <c r="C119" s="5"/>
      <c r="D119" s="5"/>
      <c r="E119" s="5"/>
      <c r="F119" s="5"/>
      <c r="G119" s="5"/>
      <c r="H119" s="22"/>
      <c r="M119" s="21"/>
    </row>
    <row r="120" spans="1:13" x14ac:dyDescent="0.35">
      <c r="A120" s="42"/>
      <c r="B120" s="5"/>
      <c r="C120" s="5"/>
      <c r="D120" s="5"/>
      <c r="E120" s="5"/>
      <c r="F120" s="5"/>
      <c r="G120" s="5"/>
      <c r="H120" s="22"/>
      <c r="M120" s="21"/>
    </row>
    <row r="121" spans="1:13" x14ac:dyDescent="0.35">
      <c r="A121" s="42"/>
      <c r="B121" s="5"/>
      <c r="C121" s="5"/>
      <c r="D121" s="5"/>
      <c r="E121" s="5"/>
      <c r="F121" s="5"/>
      <c r="G121" s="5"/>
      <c r="H121" s="22"/>
      <c r="M121" s="21"/>
    </row>
    <row r="122" spans="1:13" x14ac:dyDescent="0.35">
      <c r="A122" s="42"/>
      <c r="B122" s="5"/>
      <c r="C122" s="5"/>
      <c r="D122" s="5"/>
      <c r="E122" s="5"/>
      <c r="F122" s="5"/>
      <c r="G122" s="5"/>
      <c r="H122" s="22"/>
      <c r="M122" s="21"/>
    </row>
    <row r="123" spans="1:13" x14ac:dyDescent="0.35">
      <c r="A123" s="42"/>
      <c r="B123" s="5"/>
      <c r="C123" s="5"/>
      <c r="D123" s="5"/>
      <c r="E123" s="5"/>
      <c r="F123" s="5"/>
      <c r="G123" s="5"/>
      <c r="H123" s="22"/>
      <c r="M123" s="21"/>
    </row>
    <row r="124" spans="1:13" x14ac:dyDescent="0.35">
      <c r="A124" s="42"/>
      <c r="B124" s="5"/>
      <c r="C124" s="5"/>
      <c r="D124" s="5"/>
      <c r="E124" s="5"/>
      <c r="F124" s="5"/>
      <c r="G124" s="5"/>
      <c r="H124" s="22"/>
      <c r="M124" s="21"/>
    </row>
    <row r="125" spans="1:13" x14ac:dyDescent="0.35">
      <c r="A125" s="42"/>
      <c r="B125" s="5"/>
      <c r="C125" s="5"/>
      <c r="D125" s="5"/>
      <c r="E125" s="5"/>
      <c r="F125" s="5"/>
      <c r="G125" s="5"/>
      <c r="H125" s="22"/>
      <c r="M125" s="21"/>
    </row>
    <row r="126" spans="1:13" x14ac:dyDescent="0.35">
      <c r="A126" s="42"/>
      <c r="B126" s="5"/>
      <c r="C126" s="5"/>
      <c r="D126" s="5"/>
      <c r="E126" s="5"/>
      <c r="F126" s="5"/>
      <c r="G126" s="5"/>
      <c r="H126" s="22"/>
      <c r="M126" s="21"/>
    </row>
    <row r="127" spans="1:13" x14ac:dyDescent="0.35">
      <c r="A127" s="42"/>
      <c r="B127" s="5"/>
      <c r="C127" s="5"/>
      <c r="D127" s="5"/>
      <c r="E127" s="5"/>
      <c r="F127" s="5"/>
      <c r="G127" s="5"/>
      <c r="H127" s="22"/>
      <c r="M127" s="21"/>
    </row>
    <row r="128" spans="1:13" x14ac:dyDescent="0.35">
      <c r="A128" s="42"/>
      <c r="B128" s="5"/>
      <c r="C128" s="5"/>
      <c r="D128" s="5"/>
      <c r="E128" s="5"/>
      <c r="F128" s="5"/>
      <c r="G128" s="5"/>
      <c r="H128" s="10">
        <f>G144*EXP(2*$B$4)</f>
        <v>7.0951399453563657E-2</v>
      </c>
      <c r="M128" s="21"/>
    </row>
    <row r="129" spans="1:17" x14ac:dyDescent="0.35">
      <c r="A129" s="42"/>
      <c r="B129" s="5"/>
      <c r="C129" s="5"/>
      <c r="D129" s="5"/>
      <c r="E129" s="5"/>
      <c r="F129" s="5"/>
      <c r="G129" s="5"/>
      <c r="H129" s="13">
        <f>(G145+$B$4)*EXP(10*$B$4)</f>
        <v>7.6217776482910643E-2</v>
      </c>
      <c r="M129" s="21"/>
    </row>
    <row r="130" spans="1:17" x14ac:dyDescent="0.35">
      <c r="A130" s="42"/>
      <c r="B130" s="5"/>
      <c r="C130" s="5"/>
      <c r="D130" s="5"/>
      <c r="E130" s="5"/>
      <c r="F130" s="5"/>
      <c r="G130" s="5"/>
      <c r="H130" s="22"/>
      <c r="M130" s="21"/>
    </row>
    <row r="131" spans="1:17" x14ac:dyDescent="0.35">
      <c r="A131" s="42"/>
      <c r="B131" s="5"/>
      <c r="C131" s="5"/>
      <c r="D131" s="5"/>
      <c r="E131" s="5"/>
      <c r="F131" s="5"/>
      <c r="G131" s="5"/>
      <c r="H131" s="22"/>
      <c r="M131" s="21"/>
    </row>
    <row r="132" spans="1:17" x14ac:dyDescent="0.35">
      <c r="A132" s="42"/>
      <c r="B132" s="5"/>
      <c r="C132" s="5"/>
      <c r="D132" s="5"/>
      <c r="E132" s="5"/>
      <c r="F132" s="5"/>
      <c r="G132" s="5"/>
      <c r="H132" s="22"/>
      <c r="M132" s="21"/>
    </row>
    <row r="133" spans="1:17" x14ac:dyDescent="0.35">
      <c r="A133" s="42"/>
      <c r="B133" s="5"/>
      <c r="C133" s="5"/>
      <c r="D133" s="5"/>
      <c r="E133" s="5"/>
      <c r="F133" s="5"/>
      <c r="G133" s="5"/>
      <c r="H133" s="22"/>
      <c r="M133" s="21"/>
    </row>
    <row r="134" spans="1:17" x14ac:dyDescent="0.35">
      <c r="A134" s="42"/>
      <c r="B134" s="5"/>
      <c r="C134" s="5"/>
      <c r="D134" s="5"/>
      <c r="E134" s="5"/>
      <c r="F134" s="5"/>
      <c r="G134" s="5"/>
      <c r="H134" s="22"/>
      <c r="M134" s="21"/>
    </row>
    <row r="135" spans="1:17" x14ac:dyDescent="0.35">
      <c r="A135" s="42"/>
      <c r="B135" s="5"/>
      <c r="C135" s="5"/>
      <c r="D135" s="5"/>
      <c r="E135" s="5"/>
      <c r="F135" s="5"/>
      <c r="G135" s="5"/>
      <c r="H135" s="22"/>
      <c r="M135" s="21"/>
    </row>
    <row r="136" spans="1:17" x14ac:dyDescent="0.35">
      <c r="A136" s="42"/>
      <c r="B136" s="5"/>
      <c r="C136" s="5"/>
      <c r="D136" s="5"/>
      <c r="E136" s="5"/>
      <c r="F136" s="5"/>
      <c r="G136" s="5"/>
      <c r="H136" s="22"/>
      <c r="M136" s="21"/>
    </row>
    <row r="137" spans="1:17" x14ac:dyDescent="0.35">
      <c r="A137" s="42"/>
      <c r="B137" s="5"/>
      <c r="C137" s="5"/>
      <c r="D137" s="5"/>
      <c r="E137" s="5"/>
      <c r="F137" s="5"/>
      <c r="G137" s="5"/>
      <c r="H137" s="22"/>
      <c r="M137" s="21"/>
    </row>
    <row r="138" spans="1:17" x14ac:dyDescent="0.35">
      <c r="A138" s="42"/>
      <c r="B138" s="5"/>
      <c r="C138" s="5"/>
      <c r="D138" s="5"/>
      <c r="E138" s="5"/>
      <c r="F138" s="5"/>
      <c r="G138" s="5"/>
      <c r="H138" s="22"/>
      <c r="M138" s="21"/>
    </row>
    <row r="139" spans="1:17" x14ac:dyDescent="0.35">
      <c r="A139" s="42"/>
      <c r="B139" s="5"/>
      <c r="C139" s="5"/>
      <c r="D139" s="5"/>
      <c r="E139" s="5"/>
      <c r="F139" s="5"/>
      <c r="G139" s="5"/>
      <c r="H139" s="22"/>
      <c r="M139" s="21"/>
    </row>
    <row r="140" spans="1:17" x14ac:dyDescent="0.35">
      <c r="A140" s="42"/>
      <c r="B140" s="5"/>
      <c r="C140" s="5"/>
      <c r="D140" s="5"/>
      <c r="E140" s="5"/>
      <c r="F140" s="5"/>
      <c r="G140" s="5"/>
      <c r="H140" s="22"/>
      <c r="M140" s="21"/>
    </row>
    <row r="141" spans="1:17" x14ac:dyDescent="0.35">
      <c r="A141" s="42"/>
      <c r="B141" s="5"/>
      <c r="C141" s="5"/>
      <c r="D141" s="5"/>
      <c r="E141" s="5"/>
      <c r="F141" s="5"/>
      <c r="G141" s="5"/>
      <c r="H141" s="22"/>
      <c r="M141" s="21"/>
    </row>
    <row r="142" spans="1:17" x14ac:dyDescent="0.35">
      <c r="A142" s="42"/>
      <c r="B142" s="5"/>
      <c r="C142" s="5"/>
      <c r="D142" s="5"/>
      <c r="E142" s="5"/>
      <c r="F142" s="5"/>
      <c r="G142" s="5"/>
      <c r="H142" s="22"/>
      <c r="M142" s="21"/>
    </row>
    <row r="143" spans="1:17" x14ac:dyDescent="0.35">
      <c r="A143" s="42"/>
      <c r="B143" s="5"/>
      <c r="C143" s="5"/>
      <c r="D143" s="5"/>
      <c r="E143" s="5"/>
      <c r="F143" s="5"/>
      <c r="G143" s="5"/>
      <c r="H143" s="22"/>
      <c r="M143" s="21"/>
    </row>
    <row r="144" spans="1:17" x14ac:dyDescent="0.35">
      <c r="A144" s="42"/>
      <c r="B144" s="5"/>
      <c r="C144" s="5"/>
      <c r="D144" s="5"/>
      <c r="E144" s="5"/>
      <c r="F144" s="5"/>
      <c r="G144" s="10">
        <f>F152*EXP(10*$B$4)</f>
        <v>7.0668160710886316E-2</v>
      </c>
      <c r="H144" s="22"/>
      <c r="L144" s="22"/>
      <c r="Q144" s="21"/>
    </row>
    <row r="145" spans="1:17" x14ac:dyDescent="0.35">
      <c r="A145" s="42"/>
      <c r="B145" s="5"/>
      <c r="C145" s="5"/>
      <c r="D145" s="5"/>
      <c r="E145" s="5"/>
      <c r="F145" s="5"/>
      <c r="G145" s="13">
        <f>(F152+$B$4)*EXP(10*$B$4)</f>
        <v>7.2708563390939826E-2</v>
      </c>
      <c r="H145" s="22"/>
      <c r="L145" s="22"/>
      <c r="Q145" s="2">
        <f>MIN($B$8,(100+$B$7)/(1+K$14+$D$9/10000))+$B$7</f>
        <v>104.84937453018955</v>
      </c>
    </row>
    <row r="146" spans="1:17" x14ac:dyDescent="0.35">
      <c r="A146" s="42"/>
      <c r="B146" s="5"/>
      <c r="C146" s="5"/>
      <c r="D146" s="5"/>
      <c r="E146" s="5"/>
      <c r="F146" s="5"/>
      <c r="G146" s="10">
        <f>F153*EXP(10*$B$4)</f>
        <v>7.274978225927109E-2</v>
      </c>
      <c r="H146" s="22"/>
      <c r="L146" s="22"/>
      <c r="Q146" s="21"/>
    </row>
    <row r="147" spans="1:17" x14ac:dyDescent="0.35">
      <c r="A147" s="42"/>
      <c r="B147" s="5"/>
      <c r="C147" s="5"/>
      <c r="D147" s="5"/>
      <c r="E147" s="5"/>
      <c r="F147" s="5"/>
      <c r="G147" s="13">
        <f>(F153+$B$4)*EXP(10*$B$4)</f>
        <v>7.47901849393246E-2</v>
      </c>
      <c r="H147" s="22"/>
      <c r="L147" s="22"/>
      <c r="Q147" s="2">
        <f>MIN($B$8,(100+$B$7)/(1+K$14+$D$9/10000))+$B$7</f>
        <v>104.84937453018955</v>
      </c>
    </row>
    <row r="148" spans="1:17" x14ac:dyDescent="0.35">
      <c r="A148" s="42"/>
      <c r="B148" s="5"/>
      <c r="C148" s="5"/>
      <c r="D148" s="5"/>
      <c r="E148" s="5"/>
      <c r="F148" s="5"/>
      <c r="G148" s="10">
        <f>F154*EXP(10*$B$4)</f>
        <v>7.2791833803977038E-2</v>
      </c>
      <c r="H148" s="22"/>
      <c r="L148" s="22"/>
      <c r="Q148" s="21"/>
    </row>
    <row r="149" spans="1:17" x14ac:dyDescent="0.35">
      <c r="A149" s="42"/>
      <c r="B149" s="5"/>
      <c r="C149" s="5"/>
      <c r="D149" s="5"/>
      <c r="E149" s="5"/>
      <c r="F149" s="5"/>
      <c r="G149" s="13">
        <f>(F154+$B$4)*EXP(10*$B$4)</f>
        <v>7.4832236484030562E-2</v>
      </c>
      <c r="H149" s="22"/>
      <c r="L149" s="22"/>
      <c r="Q149" s="2">
        <f>MIN($B$8,(100+$B$7)/(1+K$14+$D$9/10000))+$B$7</f>
        <v>104.84937453018955</v>
      </c>
    </row>
    <row r="150" spans="1:17" x14ac:dyDescent="0.35">
      <c r="A150" s="42"/>
      <c r="B150" s="5"/>
      <c r="C150" s="5"/>
      <c r="D150" s="5"/>
      <c r="E150" s="5"/>
      <c r="F150" s="5"/>
      <c r="G150" s="10">
        <f>F155*EXP(10*$B$4)</f>
        <v>7.4873455352361812E-2</v>
      </c>
      <c r="H150" s="22"/>
      <c r="L150" s="22"/>
      <c r="Q150" s="21"/>
    </row>
    <row r="151" spans="1:17" x14ac:dyDescent="0.35">
      <c r="A151" s="42"/>
      <c r="B151" s="5"/>
      <c r="C151" s="5"/>
      <c r="D151" s="5"/>
      <c r="E151" s="5"/>
      <c r="F151" s="5"/>
      <c r="G151" s="13">
        <f>(F155+$B$4)*EXP(10*$B$4)</f>
        <v>7.6913858032415336E-2</v>
      </c>
      <c r="H151" s="20"/>
      <c r="I151" s="21"/>
      <c r="J151" s="21"/>
      <c r="K151" s="21"/>
      <c r="L151" s="20"/>
      <c r="M151" s="21"/>
      <c r="N151" s="21"/>
      <c r="O151" s="21"/>
      <c r="P151" s="21"/>
      <c r="Q151" s="2">
        <f>MIN($B$8,(100+$B$7)/(1+K$14+$D$9/10000))+$B$7</f>
        <v>104.84937453018955</v>
      </c>
    </row>
    <row r="152" spans="1:17" x14ac:dyDescent="0.35">
      <c r="A152" s="42"/>
      <c r="B152" s="5"/>
      <c r="C152" s="5"/>
      <c r="D152" s="5"/>
      <c r="E152" s="5"/>
      <c r="F152" s="10">
        <f>E156*EXP(10*$B$4)</f>
        <v>6.9268837373839334E-2</v>
      </c>
      <c r="G152" s="10">
        <f>F156*EXP(10*$B$4)</f>
        <v>7.4958407939326968E-2</v>
      </c>
      <c r="I152" s="21"/>
      <c r="J152" s="21"/>
      <c r="K152" s="21"/>
      <c r="M152" s="21"/>
      <c r="N152" s="21"/>
      <c r="O152" s="21"/>
      <c r="P152" s="2">
        <f>MIN($B$8,AVERAGE(Q145:Q147)/(1+J152+$D$9/10000))+$B$7</f>
        <v>105.65639400000001</v>
      </c>
      <c r="Q152" s="21"/>
    </row>
    <row r="153" spans="1:17" x14ac:dyDescent="0.35">
      <c r="A153" s="42"/>
      <c r="B153" s="5"/>
      <c r="C153" s="5"/>
      <c r="D153" s="5"/>
      <c r="E153" s="5"/>
      <c r="F153" s="13">
        <f>(E156+$B$4)*EXP(10*$B$4)</f>
        <v>7.1309240053892844E-2</v>
      </c>
      <c r="G153" s="13">
        <f>(F156+$B$4)*EXP(10*$B$4)</f>
        <v>7.6998810619380478E-2</v>
      </c>
      <c r="J153" s="21"/>
      <c r="K153" s="21"/>
      <c r="N153" s="21"/>
      <c r="O153" s="21"/>
      <c r="P153" s="21"/>
      <c r="Q153" s="2">
        <f>MIN($B$8,(100+$B$7)/(1+K$14+$D$9/10000))+$B$7</f>
        <v>104.84937453018955</v>
      </c>
    </row>
    <row r="154" spans="1:17" x14ac:dyDescent="0.35">
      <c r="A154" s="42"/>
      <c r="B154" s="5"/>
      <c r="C154" s="5"/>
      <c r="D154" s="5"/>
      <c r="E154" s="5"/>
      <c r="F154" s="10">
        <f>E157*EXP(10*$B$4)</f>
        <v>7.1350458922224122E-2</v>
      </c>
      <c r="G154" s="10">
        <f>F157*EXP(10*$B$4)</f>
        <v>7.7040029487711742E-2</v>
      </c>
      <c r="K154" s="21"/>
      <c r="O154" s="21"/>
      <c r="P154" s="2">
        <f>MIN($B$8,AVERAGE(Q147:Q149)/(1+J154+$D$9/10000))+$B$7</f>
        <v>105.65639400000001</v>
      </c>
      <c r="Q154" s="21"/>
    </row>
    <row r="155" spans="1:17" x14ac:dyDescent="0.35">
      <c r="A155" s="42"/>
      <c r="B155" s="5"/>
      <c r="C155" s="5"/>
      <c r="D155" s="5"/>
      <c r="E155" s="5"/>
      <c r="F155" s="13">
        <f>(E157+$B$4)*EXP(10*$B$4)</f>
        <v>7.3390861602277632E-2</v>
      </c>
      <c r="G155" s="13">
        <f>(F157+$B$4)*EXP(10*$B$4)</f>
        <v>7.9080432167765252E-2</v>
      </c>
      <c r="K155" s="21"/>
      <c r="O155" s="2">
        <f>MIN($B$8,AVERAGE(P152:P154)/(1+I156+$D$9/10000))+$B$7</f>
        <v>105.65639400000001</v>
      </c>
      <c r="P155" s="21"/>
      <c r="Q155" s="2">
        <f>MIN($B$8,(100+$B$7)/(1+K$14+$D$9/10000))+$B$7</f>
        <v>104.84937453018955</v>
      </c>
    </row>
    <row r="156" spans="1:17" x14ac:dyDescent="0.35">
      <c r="A156" s="42"/>
      <c r="B156" s="5"/>
      <c r="C156" s="5"/>
      <c r="D156" s="5"/>
      <c r="E156" s="10">
        <f>D157*EXP(10*$B$4)</f>
        <v>6.7897222495338708E-2</v>
      </c>
      <c r="F156" s="10">
        <f>E158*EXP(10*$B$4)</f>
        <v>7.3474132015314844E-2</v>
      </c>
      <c r="G156" s="10">
        <f>F158*EXP(10*$B$4)</f>
        <v>7.4916356394621006E-2</v>
      </c>
      <c r="H156" s="10">
        <f>G158*EXP(10*$B$4)</f>
        <v>7.6387715639008424E-2</v>
      </c>
      <c r="K156" s="21"/>
      <c r="O156" s="21"/>
      <c r="P156" s="2">
        <f>MIN($B$8,AVERAGE(Q149:Q151)/(1+J156+$D$9/10000))+$B$7</f>
        <v>105.65639400000001</v>
      </c>
      <c r="Q156" s="21"/>
    </row>
    <row r="157" spans="1:17" x14ac:dyDescent="0.35">
      <c r="A157" s="42"/>
      <c r="B157" s="5"/>
      <c r="C157" s="5"/>
      <c r="D157" s="10">
        <f>C159*EXP(10*$B$4)</f>
        <v>6.6552767411144589E-2</v>
      </c>
      <c r="E157" s="13">
        <f>(D157+$B$4)*EXP(10*$B$4)</f>
        <v>6.9937625175392232E-2</v>
      </c>
      <c r="F157" s="13">
        <f t="shared" ref="F157:H158" si="3">(E158+$B$4)*EXP(10*$B$4)</f>
        <v>7.5514534695368354E-2</v>
      </c>
      <c r="G157" s="13">
        <f t="shared" si="3"/>
        <v>7.6956759074674516E-2</v>
      </c>
      <c r="H157" s="13">
        <f t="shared" si="3"/>
        <v>7.8428118319061935E-2</v>
      </c>
      <c r="K157" s="21"/>
      <c r="O157" s="2">
        <f>MIN($B$8,AVERAGE(P156:P159)/(1+I159+$D$9/10000))+$B$7</f>
        <v>105.65639400000001</v>
      </c>
      <c r="P157" s="21"/>
      <c r="Q157" s="2">
        <f>MIN($B$8,(100+$B$7)/(1+K$14+$D$9/10000))+$B$7</f>
        <v>104.84937453018955</v>
      </c>
    </row>
    <row r="158" spans="1:17" x14ac:dyDescent="0.35">
      <c r="A158" s="42"/>
      <c r="B158" s="5"/>
      <c r="C158" s="5"/>
      <c r="D158" s="13">
        <f>(C159+$B$4)*EXP(10*$B$4)</f>
        <v>6.85931700911981E-2</v>
      </c>
      <c r="E158" s="13">
        <f>(D158+$B$4)*EXP(10*$B$4)</f>
        <v>7.2019246723777006E-2</v>
      </c>
      <c r="F158" s="13">
        <f t="shared" si="3"/>
        <v>7.3432913146983567E-2</v>
      </c>
      <c r="G158" s="13">
        <f t="shared" si="3"/>
        <v>7.4875137526289742E-2</v>
      </c>
      <c r="H158" s="13">
        <f t="shared" si="3"/>
        <v>7.6346496770677161E-2</v>
      </c>
      <c r="J158" s="21"/>
      <c r="K158" s="21"/>
      <c r="L158" s="22"/>
      <c r="N158" s="2">
        <f>MIN($B$8,AVERAGE(O155:O157)/(1+H158+$D$9/10000))+$B$7</f>
        <v>103.03706427669623</v>
      </c>
      <c r="O158" s="21"/>
      <c r="P158" s="21"/>
      <c r="Q158" s="21"/>
    </row>
    <row r="159" spans="1:17" x14ac:dyDescent="0.35">
      <c r="A159" s="42"/>
      <c r="B159" s="5"/>
      <c r="C159" s="10">
        <f>(B160+$B$4)*EXP(10*$B$3)</f>
        <v>6.5234934321296983E-2</v>
      </c>
      <c r="D159" s="5"/>
      <c r="E159" s="10">
        <f>D158*EXP(10*$B$4)</f>
        <v>6.9978844043723482E-2</v>
      </c>
      <c r="F159" s="10">
        <f>E159*EXP(10*$B$4)</f>
        <v>7.1392510466930056E-2</v>
      </c>
      <c r="G159" s="10">
        <f>F159*EXP(10*$B$4)</f>
        <v>7.2834734846236232E-2</v>
      </c>
      <c r="H159" s="10">
        <f>G159*EXP(10*$B$4)</f>
        <v>7.4306094090623651E-2</v>
      </c>
      <c r="I159" s="21"/>
      <c r="J159" s="21"/>
      <c r="K159" s="21"/>
      <c r="L159" s="28">
        <f>(L160-F136)^2</f>
        <v>10690.420707157222</v>
      </c>
      <c r="M159" s="2">
        <f>MIN($B$8,AVERAGE(N158:N158)/(1+G159+$D$9/10000))+$B$7</f>
        <v>100.91687945262976</v>
      </c>
      <c r="N159" s="21"/>
      <c r="O159" s="21"/>
      <c r="P159" s="2">
        <f>MIN($B$8,AVERAGE(Q152:Q154)/(1+J159+$D$9/10000))+$B$7</f>
        <v>105.65639400000001</v>
      </c>
      <c r="Q159" s="2">
        <f>MIN($B$8,(100+$B$7)/(1+K$14+$D$9/10000))+$B$7</f>
        <v>104.84937453018955</v>
      </c>
    </row>
    <row r="160" spans="1:17" x14ac:dyDescent="0.35">
      <c r="A160" s="42"/>
      <c r="B160" s="10">
        <f>B14*EXP(10*B13)</f>
        <v>6.3234934321296982E-2</v>
      </c>
      <c r="C160" s="19"/>
      <c r="D160" s="5"/>
      <c r="E160" s="5"/>
      <c r="F160" s="5"/>
      <c r="G160" s="5"/>
      <c r="H160" s="20"/>
      <c r="L160" s="3">
        <f>AVERAGE(M160:M161)/(1+F160+$D$8/10000)</f>
        <v>103.39449070021682</v>
      </c>
    </row>
    <row r="161" spans="1:17" x14ac:dyDescent="0.35">
      <c r="A161" s="42"/>
      <c r="B161" s="5"/>
      <c r="C161" s="23">
        <f>(B160-$B$4)*EXP(10*$B$4)</f>
        <v>6.2471962051037555E-2</v>
      </c>
      <c r="D161" s="5"/>
      <c r="E161" s="10">
        <f>D162*EXP(10*$B$4)</f>
        <v>6.2939869639273116E-2</v>
      </c>
      <c r="F161" s="10">
        <f>E161*EXP(10*$B$4)</f>
        <v>6.4211339347095761E-2</v>
      </c>
      <c r="G161" s="10">
        <f>F161*EXP(10*$B$4)</f>
        <v>6.5508494446819845E-2</v>
      </c>
      <c r="H161" s="22"/>
      <c r="I161" s="21"/>
      <c r="J161" s="21"/>
      <c r="K161" s="21"/>
      <c r="L161" s="22"/>
      <c r="M161" s="2">
        <f>MIN($B$8,AVERAGE(N162:N162)/(1+G161+$D$9/10000))+$B$7</f>
        <v>104.03553654255816</v>
      </c>
      <c r="N161" s="21"/>
      <c r="O161" s="21"/>
      <c r="P161" s="2">
        <f>MIN($B$8,AVERAGE(Q154:Q156)/(1+J161+$D$9/10000))+$B$7</f>
        <v>105.65639400000001</v>
      </c>
      <c r="Q161" s="2">
        <f>MIN($B$8,(100+$B$7)/(1+K$14+$D$9/10000))+$B$7</f>
        <v>104.84937453018955</v>
      </c>
    </row>
    <row r="162" spans="1:17" x14ac:dyDescent="0.35">
      <c r="A162" s="42"/>
      <c r="B162" s="5"/>
      <c r="C162" s="5"/>
      <c r="D162" s="24">
        <f>(C161-$B$4)*EXP(10*$B$4)</f>
        <v>6.1693576718515636E-2</v>
      </c>
      <c r="E162" s="23">
        <f>(D162-$B$4)*EXP(10*$B$4)</f>
        <v>6.0899466959219599E-2</v>
      </c>
      <c r="F162" s="23">
        <f>(E161-$B$4)*EXP(10*$B$4)</f>
        <v>6.2170936667042244E-2</v>
      </c>
      <c r="G162" s="23">
        <f>(F161-$B$4)*EXP(10*$B$4)</f>
        <v>6.3468091766766335E-2</v>
      </c>
      <c r="H162" s="22"/>
      <c r="J162" s="21"/>
      <c r="K162" s="21"/>
      <c r="L162" s="22"/>
      <c r="N162" s="2">
        <f>MIN($B$8,AVERAGE(O163:O165)/(1+H163+$D$9/10000))+$B$7</f>
        <v>105.65639400000001</v>
      </c>
      <c r="O162" s="21"/>
      <c r="P162" s="21"/>
      <c r="Q162" s="21"/>
    </row>
    <row r="163" spans="1:17" x14ac:dyDescent="0.35">
      <c r="A163" s="42"/>
      <c r="B163" s="5"/>
      <c r="C163" s="5"/>
      <c r="D163" s="10">
        <f>C161*EXP(10*$B$4)</f>
        <v>6.3733979398569146E-2</v>
      </c>
      <c r="E163" s="23">
        <f>(D163-$B$4)*EXP(10*$B$4)</f>
        <v>6.298108850760438E-2</v>
      </c>
      <c r="F163" s="23">
        <f>(E162-$B$4)*EXP(10*$B$4)</f>
        <v>6.0089315118657456E-2</v>
      </c>
      <c r="G163" s="23">
        <f>(F162-$B$4)*EXP(10*$B$4)</f>
        <v>6.1386470218381547E-2</v>
      </c>
      <c r="H163" s="22"/>
      <c r="K163" s="21"/>
      <c r="L163" s="22"/>
      <c r="O163" s="2">
        <f>MIN($B$8,AVERAGE(P161:P164)/(1+I161+$D$9/10000))+$B$7</f>
        <v>105.65639400000001</v>
      </c>
      <c r="P163" s="21"/>
      <c r="Q163" s="2">
        <f>MIN($B$8,(100+$B$7)/(1+K$14+$D$9/10000))+$B$7</f>
        <v>104.84937453018955</v>
      </c>
    </row>
    <row r="164" spans="1:17" x14ac:dyDescent="0.35">
      <c r="A164" s="42"/>
      <c r="B164" s="5"/>
      <c r="C164" s="5"/>
      <c r="D164" s="5"/>
      <c r="E164" s="10">
        <f>D163*EXP(10*$B$4)</f>
        <v>6.502149118765789E-2</v>
      </c>
      <c r="F164" s="10">
        <f>E162*EXP(10*$B$4)</f>
        <v>6.2129717798710973E-2</v>
      </c>
      <c r="G164" s="10">
        <f>F162*EXP(10*$B$4)</f>
        <v>6.3426872898435058E-2</v>
      </c>
      <c r="H164" s="22"/>
      <c r="K164" s="21"/>
      <c r="L164" s="22"/>
      <c r="O164" s="21"/>
      <c r="P164" s="2">
        <f>MIN($B$8,AVERAGE(Q157:Q159)/(1+J164+$D$9/10000))+$B$7</f>
        <v>105.65639400000001</v>
      </c>
      <c r="Q164" s="21"/>
    </row>
    <row r="165" spans="1:17" x14ac:dyDescent="0.35">
      <c r="A165" s="42"/>
      <c r="B165" s="5"/>
      <c r="C165" s="5"/>
      <c r="D165" s="5"/>
      <c r="E165" s="5"/>
      <c r="F165" s="23">
        <f>(E163-$B$4)*EXP(10*$B$4)</f>
        <v>6.2212988211748185E-2</v>
      </c>
      <c r="G165" s="23">
        <f>(F163-$B$4)*EXP(10*$B$4)</f>
        <v>5.9262797125290818E-2</v>
      </c>
      <c r="H165" s="20"/>
      <c r="I165" s="21"/>
      <c r="J165" s="21"/>
      <c r="K165" s="21"/>
      <c r="L165" s="20"/>
      <c r="M165" s="21"/>
      <c r="N165" s="21"/>
      <c r="O165" s="2">
        <f>MIN($B$8,AVERAGE(P166:P168)/(1+I164+$D$9/10000))+$B$7</f>
        <v>105.65639400000001</v>
      </c>
      <c r="P165" s="21"/>
      <c r="Q165" s="2">
        <f>MIN($B$8,(100+$B$7)/(1+K$14+$D$9/10000))+$B$7</f>
        <v>104.84937453018955</v>
      </c>
    </row>
    <row r="166" spans="1:17" x14ac:dyDescent="0.35">
      <c r="A166" s="42"/>
      <c r="B166" s="5"/>
      <c r="C166" s="5"/>
      <c r="D166" s="5"/>
      <c r="E166" s="5"/>
      <c r="F166" s="10">
        <f>E163*EXP(10*$B$4)</f>
        <v>6.4253390891801695E-2</v>
      </c>
      <c r="G166" s="10">
        <f>F163*EXP(10*$B$4)</f>
        <v>6.1303199805344329E-2</v>
      </c>
      <c r="I166" s="21"/>
      <c r="J166" s="21"/>
      <c r="K166" s="21"/>
      <c r="M166" s="21"/>
      <c r="N166" s="21"/>
      <c r="O166" s="21"/>
      <c r="P166" s="2">
        <f>MIN($B$8,AVERAGE(Q159:Q161)/(1+J166+$D$9/10000))+$B$7</f>
        <v>105.65639400000001</v>
      </c>
      <c r="Q166" s="21"/>
    </row>
    <row r="167" spans="1:17" x14ac:dyDescent="0.35">
      <c r="A167" s="42"/>
      <c r="B167" s="5"/>
      <c r="C167" s="5"/>
      <c r="D167" s="5"/>
      <c r="E167" s="5"/>
      <c r="F167" s="23">
        <f>(E164-$B$4)*EXP(10*$B$4)</f>
        <v>6.4294609760132959E-2</v>
      </c>
      <c r="G167" s="23">
        <f>(F164-$B$4)*EXP(10*$B$4)</f>
        <v>6.1344418673675599E-2</v>
      </c>
      <c r="J167" s="21"/>
      <c r="K167" s="21"/>
      <c r="N167" s="21"/>
      <c r="O167" s="21"/>
      <c r="P167" s="21"/>
      <c r="Q167" s="2">
        <f>MIN($B$8,(100+$B$7)/(1+K$14+$D$9/10000))+$B$7</f>
        <v>104.84937453018955</v>
      </c>
    </row>
    <row r="168" spans="1:17" x14ac:dyDescent="0.35">
      <c r="A168" s="42"/>
      <c r="B168" s="5"/>
      <c r="C168" s="5"/>
      <c r="D168" s="5"/>
      <c r="E168" s="5"/>
      <c r="F168" s="10">
        <f>E164*EXP(10*$B$4)</f>
        <v>6.6335012440186469E-2</v>
      </c>
      <c r="G168" s="10">
        <f>F164*EXP(10*$B$4)</f>
        <v>6.3384821353729109E-2</v>
      </c>
      <c r="K168" s="21"/>
      <c r="O168" s="21"/>
      <c r="P168" s="2">
        <f>MIN($B$8,AVERAGE(Q161:Q163)/(1+J168+$D$9/10000))+$B$7</f>
        <v>105.65639400000001</v>
      </c>
      <c r="Q168" s="21"/>
    </row>
    <row r="169" spans="1:17" x14ac:dyDescent="0.35">
      <c r="A169" s="42"/>
      <c r="B169" s="5"/>
      <c r="C169" s="5"/>
      <c r="D169" s="5"/>
      <c r="E169" s="5"/>
      <c r="F169" s="5"/>
      <c r="G169" s="23">
        <f>(F165-$B$4)*EXP(10*$B$4)</f>
        <v>6.1429371260640749E-2</v>
      </c>
      <c r="P169" s="21"/>
      <c r="Q169" s="2">
        <f>MIN($B$8,(100+$B$7)/(1+K$14+$D$9/10000))+$B$7</f>
        <v>104.84937453018955</v>
      </c>
    </row>
    <row r="170" spans="1:17" x14ac:dyDescent="0.35">
      <c r="A170" s="42"/>
      <c r="B170" s="5"/>
      <c r="C170" s="5"/>
      <c r="D170" s="5"/>
      <c r="E170" s="5"/>
      <c r="F170" s="5"/>
      <c r="G170" s="10">
        <f>F165*EXP(10*$B$4)</f>
        <v>6.3469773940694266E-2</v>
      </c>
      <c r="Q170" s="21"/>
    </row>
    <row r="171" spans="1:17" x14ac:dyDescent="0.35">
      <c r="A171" s="42"/>
      <c r="B171" s="5"/>
      <c r="C171" s="5"/>
      <c r="D171" s="5"/>
      <c r="E171" s="5"/>
      <c r="F171" s="5"/>
      <c r="G171" s="23">
        <f>(F166-0.001)*EXP(10*$B$4)</f>
        <v>6.4531194149052271E-2</v>
      </c>
      <c r="Q171" s="2">
        <f>MIN($B$8,(100+$B$7)/(1+K$14+$D$9/10000))+$B$7</f>
        <v>104.84937453018955</v>
      </c>
    </row>
    <row r="172" spans="1:17" x14ac:dyDescent="0.35">
      <c r="A172" s="42"/>
      <c r="B172" s="5"/>
      <c r="C172" s="5"/>
      <c r="D172" s="5"/>
      <c r="E172" s="5"/>
      <c r="F172" s="5"/>
      <c r="G172" s="10">
        <f>F166*EXP(10*$B$4)</f>
        <v>6.555139548907904E-2</v>
      </c>
      <c r="H172" s="22"/>
      <c r="L172" s="22"/>
      <c r="Q172" s="21"/>
    </row>
    <row r="173" spans="1:17" x14ac:dyDescent="0.35">
      <c r="A173" s="42"/>
      <c r="B173" s="5"/>
      <c r="C173" s="5"/>
      <c r="D173" s="5"/>
      <c r="E173" s="5"/>
      <c r="F173" s="5"/>
      <c r="G173" s="23">
        <f>(F167-$B$4)*EXP(10*$B$4)</f>
        <v>6.3553044353731464E-2</v>
      </c>
      <c r="H173" s="22"/>
      <c r="L173" s="22"/>
      <c r="Q173" s="2">
        <f>MIN($B$8,(100+$B$7)/(1+K$14+$D$9/10000))+$B$7</f>
        <v>104.84937453018955</v>
      </c>
    </row>
    <row r="174" spans="1:17" x14ac:dyDescent="0.35">
      <c r="A174" s="42"/>
      <c r="B174" s="5"/>
      <c r="C174" s="5"/>
      <c r="D174" s="5"/>
      <c r="E174" s="5"/>
      <c r="F174" s="5"/>
      <c r="G174" s="10">
        <f>F167*EXP(10*$B$4)</f>
        <v>6.5593447033784974E-2</v>
      </c>
      <c r="H174" s="22"/>
      <c r="L174" s="22"/>
      <c r="Q174" s="21"/>
    </row>
    <row r="175" spans="1:17" x14ac:dyDescent="0.35">
      <c r="A175" s="42"/>
      <c r="B175" s="5"/>
      <c r="C175" s="5"/>
      <c r="D175" s="5"/>
      <c r="E175" s="5"/>
      <c r="F175" s="5"/>
      <c r="G175" s="23">
        <f>(F168-$B$4)*EXP(10*$B$4)</f>
        <v>6.5634665902116238E-2</v>
      </c>
      <c r="H175" s="22"/>
      <c r="L175" s="22"/>
      <c r="Q175" s="2">
        <f>MIN($B$8,(100+$B$7)/(1+K$14+$D$9/10000))+$B$7</f>
        <v>104.84937453018955</v>
      </c>
    </row>
    <row r="176" spans="1:17" x14ac:dyDescent="0.35">
      <c r="A176" s="42"/>
      <c r="B176" s="5"/>
      <c r="C176" s="5"/>
      <c r="D176" s="5"/>
      <c r="E176" s="5"/>
      <c r="F176" s="5"/>
      <c r="G176" s="10">
        <f>F168*EXP(10*$B$4)</f>
        <v>6.7675068582169748E-2</v>
      </c>
      <c r="H176" s="22"/>
      <c r="L176" s="22"/>
      <c r="Q176" s="21"/>
    </row>
    <row r="177" spans="1:13" x14ac:dyDescent="0.35">
      <c r="A177" s="42"/>
      <c r="B177" s="5"/>
      <c r="C177" s="5"/>
      <c r="D177" s="5"/>
      <c r="E177" s="5"/>
      <c r="F177" s="5"/>
      <c r="G177" s="5"/>
      <c r="H177" s="22"/>
      <c r="M177" s="21"/>
    </row>
    <row r="178" spans="1:13" x14ac:dyDescent="0.35">
      <c r="A178" s="42"/>
      <c r="B178" s="5"/>
      <c r="C178" s="5"/>
      <c r="D178" s="5"/>
      <c r="E178" s="5"/>
      <c r="F178" s="5"/>
      <c r="G178" s="5"/>
      <c r="H178" s="22"/>
      <c r="M178" s="21"/>
    </row>
    <row r="179" spans="1:13" x14ac:dyDescent="0.35">
      <c r="A179" s="42"/>
      <c r="B179" s="5"/>
      <c r="C179" s="5"/>
      <c r="D179" s="5"/>
      <c r="E179" s="5"/>
      <c r="F179" s="5"/>
      <c r="G179" s="5"/>
      <c r="H179" s="22"/>
      <c r="M179" s="21"/>
    </row>
    <row r="180" spans="1:13" x14ac:dyDescent="0.35">
      <c r="A180" s="42"/>
      <c r="B180" s="5"/>
      <c r="C180" s="5"/>
      <c r="D180" s="5"/>
      <c r="E180" s="5"/>
      <c r="F180" s="5"/>
      <c r="G180" s="5"/>
      <c r="H180" s="22"/>
      <c r="M180" s="21"/>
    </row>
    <row r="181" spans="1:13" x14ac:dyDescent="0.35">
      <c r="A181" s="42"/>
      <c r="B181" s="5"/>
      <c r="C181" s="5"/>
      <c r="D181" s="5"/>
      <c r="E181" s="5"/>
      <c r="F181" s="5"/>
      <c r="G181" s="5"/>
      <c r="H181" s="22"/>
      <c r="M181" s="21"/>
    </row>
    <row r="182" spans="1:13" x14ac:dyDescent="0.35">
      <c r="A182" s="42"/>
      <c r="B182" s="5"/>
      <c r="C182" s="5"/>
      <c r="D182" s="5"/>
      <c r="E182" s="5"/>
      <c r="F182" s="5"/>
      <c r="G182" s="5"/>
      <c r="H182" s="22"/>
      <c r="M182" s="21"/>
    </row>
    <row r="183" spans="1:13" x14ac:dyDescent="0.35">
      <c r="A183" s="42"/>
      <c r="B183" s="5"/>
      <c r="C183" s="5"/>
      <c r="D183" s="5"/>
      <c r="E183" s="5"/>
      <c r="F183" s="5"/>
      <c r="G183" s="5"/>
      <c r="H183" s="22"/>
      <c r="M183" s="21"/>
    </row>
    <row r="184" spans="1:13" x14ac:dyDescent="0.35">
      <c r="A184" s="42"/>
      <c r="B184" s="5"/>
      <c r="C184" s="5"/>
      <c r="D184" s="5"/>
      <c r="E184" s="5"/>
      <c r="F184" s="5"/>
      <c r="G184" s="5"/>
      <c r="H184" s="22"/>
      <c r="M184" s="21"/>
    </row>
    <row r="185" spans="1:13" x14ac:dyDescent="0.35">
      <c r="A185" s="42"/>
      <c r="B185" s="5"/>
      <c r="C185" s="5"/>
      <c r="D185" s="5"/>
      <c r="E185" s="5"/>
      <c r="F185" s="5"/>
      <c r="G185" s="5"/>
      <c r="H185" s="22"/>
      <c r="M185" s="21"/>
    </row>
    <row r="186" spans="1:13" x14ac:dyDescent="0.35">
      <c r="A186" s="42"/>
      <c r="B186" s="5"/>
      <c r="C186" s="5"/>
      <c r="D186" s="5"/>
      <c r="E186" s="5"/>
      <c r="F186" s="5"/>
      <c r="G186" s="5"/>
      <c r="H186" s="22"/>
      <c r="M186" s="21"/>
    </row>
    <row r="187" spans="1:13" x14ac:dyDescent="0.35">
      <c r="A187" s="42"/>
      <c r="B187" s="5"/>
      <c r="C187" s="5"/>
      <c r="D187" s="5"/>
      <c r="E187" s="5"/>
      <c r="F187" s="5"/>
      <c r="G187" s="5"/>
      <c r="H187" s="22"/>
      <c r="M187" s="21"/>
    </row>
    <row r="188" spans="1:13" x14ac:dyDescent="0.35">
      <c r="A188" s="42"/>
      <c r="B188" s="5"/>
      <c r="C188" s="5"/>
      <c r="D188" s="5"/>
      <c r="E188" s="5"/>
      <c r="F188" s="5"/>
      <c r="G188" s="5"/>
      <c r="H188" s="22"/>
      <c r="M188" s="21"/>
    </row>
    <row r="189" spans="1:13" x14ac:dyDescent="0.35">
      <c r="A189" s="42"/>
      <c r="B189" s="5"/>
      <c r="C189" s="5"/>
      <c r="D189" s="5"/>
      <c r="E189" s="5"/>
      <c r="F189" s="5"/>
      <c r="G189" s="5"/>
      <c r="H189" s="22"/>
      <c r="M189" s="21"/>
    </row>
    <row r="190" spans="1:13" x14ac:dyDescent="0.35">
      <c r="A190" s="42"/>
      <c r="B190" s="5"/>
      <c r="C190" s="5"/>
      <c r="D190" s="5"/>
      <c r="E190" s="5"/>
      <c r="F190" s="5"/>
      <c r="G190" s="5"/>
      <c r="H190" s="22"/>
      <c r="M190" s="21"/>
    </row>
    <row r="191" spans="1:13" x14ac:dyDescent="0.35">
      <c r="A191" s="42"/>
      <c r="B191" s="5"/>
      <c r="C191" s="5"/>
      <c r="D191" s="5"/>
      <c r="E191" s="5"/>
      <c r="F191" s="5"/>
      <c r="G191" s="5"/>
      <c r="H191" s="22"/>
      <c r="M191" s="21"/>
    </row>
    <row r="192" spans="1:13" x14ac:dyDescent="0.35">
      <c r="A192" s="42"/>
      <c r="B192" s="5"/>
      <c r="C192" s="5"/>
      <c r="D192" s="5"/>
      <c r="E192" s="5"/>
      <c r="F192" s="5"/>
      <c r="G192" s="5"/>
      <c r="H192" s="22"/>
      <c r="M192" s="21"/>
    </row>
    <row r="193" spans="1:13" x14ac:dyDescent="0.35">
      <c r="A193" s="42"/>
      <c r="B193" s="5"/>
      <c r="C193" s="5"/>
      <c r="D193" s="5"/>
      <c r="E193" s="5"/>
      <c r="F193" s="5"/>
      <c r="G193" s="5"/>
      <c r="H193" s="22"/>
      <c r="M193" s="21"/>
    </row>
    <row r="194" spans="1:13" x14ac:dyDescent="0.35">
      <c r="A194" s="42"/>
      <c r="B194" s="5"/>
      <c r="C194" s="5"/>
      <c r="D194" s="5"/>
      <c r="E194" s="5"/>
      <c r="F194" s="5"/>
      <c r="G194" s="5"/>
      <c r="H194" s="22"/>
      <c r="M194" s="21"/>
    </row>
    <row r="195" spans="1:13" x14ac:dyDescent="0.35">
      <c r="A195" s="42"/>
      <c r="B195" s="5"/>
      <c r="C195" s="5"/>
      <c r="D195" s="5"/>
      <c r="E195" s="5"/>
      <c r="F195" s="5"/>
      <c r="G195" s="5"/>
      <c r="H195" s="22"/>
      <c r="M195" s="21"/>
    </row>
    <row r="196" spans="1:13" x14ac:dyDescent="0.35">
      <c r="A196" s="42"/>
      <c r="B196" s="5"/>
      <c r="C196" s="5"/>
      <c r="D196" s="5"/>
      <c r="E196" s="5"/>
      <c r="F196" s="5"/>
      <c r="G196" s="5"/>
      <c r="H196" s="22"/>
      <c r="M196" s="21"/>
    </row>
    <row r="197" spans="1:13" x14ac:dyDescent="0.35">
      <c r="A197" s="42"/>
      <c r="B197" s="5"/>
      <c r="C197" s="5"/>
      <c r="D197" s="5"/>
      <c r="E197" s="5"/>
      <c r="F197" s="5"/>
      <c r="G197" s="5"/>
      <c r="H197" s="22"/>
      <c r="M197" s="21"/>
    </row>
    <row r="198" spans="1:13" x14ac:dyDescent="0.35">
      <c r="A198" s="42"/>
      <c r="B198" s="5"/>
      <c r="C198" s="5"/>
      <c r="D198" s="5"/>
      <c r="E198" s="5"/>
      <c r="F198" s="5"/>
      <c r="G198" s="5"/>
      <c r="H198" s="22"/>
      <c r="M198" s="21"/>
    </row>
    <row r="199" spans="1:13" x14ac:dyDescent="0.35">
      <c r="A199" s="42"/>
      <c r="B199" s="5"/>
      <c r="C199" s="5"/>
      <c r="D199" s="5"/>
      <c r="E199" s="5"/>
      <c r="F199" s="5"/>
      <c r="G199" s="5"/>
      <c r="H199" s="22"/>
      <c r="M199" s="21"/>
    </row>
    <row r="200" spans="1:13" x14ac:dyDescent="0.35">
      <c r="A200" s="42"/>
      <c r="B200" s="5"/>
      <c r="C200" s="5"/>
      <c r="D200" s="5"/>
      <c r="E200" s="5"/>
      <c r="F200" s="5"/>
      <c r="G200" s="5"/>
      <c r="H200" s="22"/>
      <c r="M200" s="21"/>
    </row>
    <row r="201" spans="1:13" x14ac:dyDescent="0.35">
      <c r="A201" s="42"/>
      <c r="B201" s="5"/>
      <c r="C201" s="5"/>
      <c r="D201" s="5"/>
      <c r="E201" s="5"/>
      <c r="F201" s="5"/>
      <c r="G201" s="5"/>
      <c r="H201" s="22"/>
      <c r="M201" s="21"/>
    </row>
    <row r="202" spans="1:13" x14ac:dyDescent="0.35">
      <c r="A202" s="42"/>
      <c r="B202" s="5"/>
      <c r="C202" s="5"/>
      <c r="D202" s="5"/>
      <c r="E202" s="5"/>
      <c r="F202" s="5"/>
      <c r="G202" s="5"/>
      <c r="H202" s="22"/>
      <c r="M202" s="21"/>
    </row>
    <row r="203" spans="1:13" x14ac:dyDescent="0.35">
      <c r="A203" s="42"/>
      <c r="B203" s="5"/>
      <c r="C203" s="5"/>
      <c r="D203" s="5"/>
      <c r="E203" s="5"/>
      <c r="F203" s="5"/>
      <c r="G203" s="5"/>
      <c r="H203" s="22"/>
      <c r="M203" s="21"/>
    </row>
    <row r="204" spans="1:13" x14ac:dyDescent="0.35">
      <c r="A204" s="42"/>
      <c r="B204" s="5"/>
      <c r="C204" s="5"/>
      <c r="D204" s="5"/>
      <c r="E204" s="5"/>
      <c r="F204" s="5"/>
      <c r="G204" s="5"/>
      <c r="H204" s="22"/>
      <c r="M204" s="21"/>
    </row>
    <row r="205" spans="1:13" x14ac:dyDescent="0.35">
      <c r="A205" s="42"/>
      <c r="B205" s="5"/>
      <c r="C205" s="5"/>
      <c r="D205" s="5"/>
      <c r="E205" s="5"/>
      <c r="F205" s="5"/>
      <c r="G205" s="5"/>
      <c r="H205" s="22"/>
      <c r="M205" s="21"/>
    </row>
    <row r="206" spans="1:13" x14ac:dyDescent="0.35">
      <c r="A206" s="42"/>
      <c r="B206" s="5"/>
      <c r="C206" s="5"/>
      <c r="D206" s="5"/>
      <c r="E206" s="5"/>
      <c r="F206" s="5"/>
      <c r="G206" s="5"/>
      <c r="H206" s="22"/>
      <c r="M206" s="21"/>
    </row>
    <row r="207" spans="1:13" x14ac:dyDescent="0.35">
      <c r="A207" s="42"/>
      <c r="B207" s="5"/>
      <c r="C207" s="5"/>
      <c r="D207" s="5"/>
      <c r="E207" s="5"/>
      <c r="F207" s="5"/>
      <c r="G207" s="5"/>
      <c r="H207" s="22"/>
      <c r="M207" s="21"/>
    </row>
    <row r="208" spans="1:13" x14ac:dyDescent="0.35">
      <c r="A208" s="42"/>
      <c r="B208" s="5"/>
      <c r="C208" s="5"/>
      <c r="D208" s="5"/>
      <c r="E208" s="5"/>
      <c r="F208" s="5"/>
      <c r="G208" s="5"/>
      <c r="H208" s="22"/>
      <c r="M208" s="21"/>
    </row>
    <row r="209" spans="1:13" x14ac:dyDescent="0.35">
      <c r="A209" s="42"/>
      <c r="B209" s="5"/>
      <c r="C209" s="5"/>
      <c r="D209" s="5"/>
      <c r="E209" s="5"/>
      <c r="F209" s="5"/>
      <c r="G209" s="5"/>
      <c r="H209" s="22"/>
      <c r="M209" s="21"/>
    </row>
    <row r="210" spans="1:13" x14ac:dyDescent="0.35">
      <c r="A210" s="42"/>
      <c r="B210" s="5"/>
      <c r="C210" s="5"/>
      <c r="D210" s="5"/>
      <c r="E210" s="5"/>
      <c r="F210" s="5"/>
      <c r="G210" s="5"/>
      <c r="H210" s="22"/>
      <c r="M210" s="21"/>
    </row>
    <row r="211" spans="1:13" x14ac:dyDescent="0.35">
      <c r="A211" s="42"/>
      <c r="B211" s="5"/>
      <c r="C211" s="5"/>
      <c r="D211" s="5"/>
      <c r="E211" s="5"/>
      <c r="F211" s="5"/>
      <c r="G211" s="5"/>
      <c r="H211" s="22"/>
      <c r="M211" s="21"/>
    </row>
    <row r="212" spans="1:13" x14ac:dyDescent="0.35">
      <c r="A212" s="42"/>
      <c r="B212" s="5"/>
      <c r="C212" s="5"/>
      <c r="D212" s="5"/>
      <c r="E212" s="5"/>
      <c r="F212" s="5"/>
      <c r="G212" s="5"/>
      <c r="H212" s="22"/>
      <c r="M212" s="21"/>
    </row>
    <row r="213" spans="1:13" x14ac:dyDescent="0.35">
      <c r="A213" s="42"/>
      <c r="B213" s="5"/>
      <c r="C213" s="5"/>
      <c r="D213" s="5"/>
      <c r="E213" s="5"/>
      <c r="F213" s="5"/>
      <c r="G213" s="5"/>
      <c r="H213" s="22"/>
      <c r="M213" s="21"/>
    </row>
    <row r="214" spans="1:13" x14ac:dyDescent="0.35">
      <c r="A214" s="42"/>
      <c r="B214" s="5"/>
      <c r="C214" s="5"/>
      <c r="D214" s="5"/>
      <c r="E214" s="5"/>
      <c r="F214" s="5"/>
      <c r="G214" s="5"/>
      <c r="H214" s="22"/>
      <c r="M214" s="21"/>
    </row>
    <row r="215" spans="1:13" x14ac:dyDescent="0.35">
      <c r="A215" s="42"/>
      <c r="B215" s="5"/>
      <c r="C215" s="5"/>
      <c r="D215" s="5"/>
      <c r="E215" s="5"/>
      <c r="F215" s="5"/>
      <c r="G215" s="5"/>
      <c r="H215" s="22"/>
      <c r="M215" s="21"/>
    </row>
    <row r="216" spans="1:13" x14ac:dyDescent="0.35">
      <c r="A216" s="42"/>
      <c r="B216" s="5"/>
      <c r="C216" s="5"/>
      <c r="D216" s="5"/>
      <c r="E216" s="5"/>
      <c r="F216" s="5"/>
      <c r="G216" s="5"/>
      <c r="H216" s="22"/>
      <c r="M216" s="21"/>
    </row>
    <row r="217" spans="1:13" x14ac:dyDescent="0.35">
      <c r="A217" s="42"/>
      <c r="B217" s="5"/>
      <c r="C217" s="5"/>
      <c r="D217" s="5"/>
      <c r="E217" s="5"/>
      <c r="F217" s="5"/>
      <c r="G217" s="5"/>
      <c r="H217" s="22"/>
      <c r="M217" s="21"/>
    </row>
    <row r="218" spans="1:13" x14ac:dyDescent="0.35">
      <c r="A218" s="42"/>
      <c r="B218" s="5"/>
      <c r="C218" s="5"/>
      <c r="D218" s="5"/>
      <c r="E218" s="5"/>
      <c r="F218" s="5"/>
      <c r="G218" s="5"/>
      <c r="H218" s="22"/>
      <c r="M218" s="21"/>
    </row>
    <row r="219" spans="1:13" x14ac:dyDescent="0.35">
      <c r="A219" s="42"/>
      <c r="B219" s="5"/>
      <c r="C219" s="5"/>
      <c r="D219" s="5"/>
      <c r="E219" s="5"/>
      <c r="F219" s="5"/>
      <c r="G219" s="5"/>
      <c r="H219" s="22"/>
      <c r="M219" s="21"/>
    </row>
    <row r="220" spans="1:13" x14ac:dyDescent="0.35">
      <c r="A220" s="42"/>
      <c r="B220" s="5"/>
      <c r="C220" s="5"/>
      <c r="D220" s="5"/>
      <c r="E220" s="5"/>
      <c r="F220" s="5"/>
      <c r="G220" s="5"/>
      <c r="H220" s="22"/>
      <c r="M220" s="21"/>
    </row>
    <row r="221" spans="1:13" x14ac:dyDescent="0.35">
      <c r="A221" s="42"/>
      <c r="B221" s="5"/>
      <c r="C221" s="5"/>
      <c r="D221" s="5"/>
      <c r="E221" s="5"/>
      <c r="F221" s="5"/>
      <c r="G221" s="5"/>
      <c r="H221" s="22"/>
      <c r="M221" s="21"/>
    </row>
    <row r="222" spans="1:13" x14ac:dyDescent="0.35">
      <c r="A222" s="42"/>
      <c r="B222" s="5"/>
      <c r="C222" s="5"/>
      <c r="D222" s="5"/>
      <c r="E222" s="5"/>
      <c r="F222" s="5"/>
      <c r="G222" s="5"/>
      <c r="H222" s="22"/>
      <c r="M222" s="21"/>
    </row>
    <row r="223" spans="1:13" x14ac:dyDescent="0.35">
      <c r="A223" s="42"/>
      <c r="B223" s="5"/>
      <c r="C223" s="5"/>
      <c r="D223" s="5"/>
      <c r="E223" s="5"/>
      <c r="F223" s="5"/>
      <c r="G223" s="5"/>
      <c r="H223" s="22"/>
      <c r="M223" s="21"/>
    </row>
    <row r="224" spans="1:13" x14ac:dyDescent="0.35">
      <c r="A224" s="42"/>
      <c r="B224" s="5"/>
      <c r="C224" s="5"/>
      <c r="D224" s="5"/>
      <c r="E224" s="5"/>
      <c r="F224" s="5"/>
      <c r="G224" s="5"/>
      <c r="H224" s="22"/>
      <c r="M224" s="21"/>
    </row>
    <row r="225" spans="1:13" x14ac:dyDescent="0.35">
      <c r="A225" s="42"/>
      <c r="B225" s="5"/>
      <c r="C225" s="5"/>
      <c r="D225" s="5"/>
      <c r="E225" s="5"/>
      <c r="F225" s="5"/>
      <c r="G225" s="5"/>
      <c r="H225" s="22"/>
      <c r="M225" s="21"/>
    </row>
    <row r="226" spans="1:13" x14ac:dyDescent="0.35">
      <c r="A226" s="42"/>
      <c r="B226" s="5"/>
      <c r="C226" s="5"/>
      <c r="D226" s="5"/>
      <c r="E226" s="5"/>
      <c r="F226" s="5"/>
      <c r="G226" s="5"/>
      <c r="H226" s="22"/>
      <c r="M226" s="21"/>
    </row>
    <row r="227" spans="1:13" x14ac:dyDescent="0.35">
      <c r="A227" s="42"/>
      <c r="B227" s="5"/>
      <c r="C227" s="5"/>
      <c r="D227" s="5"/>
      <c r="E227" s="5"/>
      <c r="F227" s="5"/>
      <c r="G227" s="5"/>
      <c r="H227" s="22"/>
      <c r="M227" s="21"/>
    </row>
    <row r="228" spans="1:13" x14ac:dyDescent="0.35">
      <c r="A228" s="42"/>
      <c r="B228" s="5"/>
      <c r="C228" s="5"/>
      <c r="D228" s="5"/>
      <c r="E228" s="5"/>
      <c r="F228" s="5"/>
      <c r="G228" s="5"/>
      <c r="H228" s="22"/>
      <c r="M228" s="21"/>
    </row>
    <row r="229" spans="1:13" x14ac:dyDescent="0.35">
      <c r="A229" s="42"/>
      <c r="B229" s="5"/>
      <c r="C229" s="5"/>
      <c r="D229" s="5"/>
      <c r="E229" s="5"/>
      <c r="F229" s="5"/>
      <c r="G229" s="5"/>
      <c r="H229" s="22"/>
      <c r="M229" s="21"/>
    </row>
    <row r="230" spans="1:13" x14ac:dyDescent="0.35">
      <c r="A230" s="42"/>
      <c r="B230" s="5"/>
      <c r="C230" s="5"/>
      <c r="D230" s="5"/>
      <c r="E230" s="5"/>
      <c r="F230" s="5"/>
      <c r="G230" s="5"/>
      <c r="H230" s="22"/>
      <c r="M230" s="21"/>
    </row>
    <row r="231" spans="1:13" x14ac:dyDescent="0.35">
      <c r="A231" s="42"/>
      <c r="B231" s="5"/>
      <c r="C231" s="5"/>
      <c r="D231" s="5"/>
      <c r="E231" s="5"/>
      <c r="F231" s="5"/>
      <c r="G231" s="5"/>
      <c r="H231" s="22"/>
      <c r="M231" s="21"/>
    </row>
    <row r="232" spans="1:13" x14ac:dyDescent="0.35">
      <c r="A232" s="42"/>
      <c r="B232" s="5"/>
      <c r="C232" s="5"/>
      <c r="D232" s="5"/>
      <c r="E232" s="5"/>
      <c r="F232" s="5"/>
      <c r="G232" s="5"/>
      <c r="H232" s="22"/>
      <c r="M232" s="21"/>
    </row>
    <row r="233" spans="1:13" x14ac:dyDescent="0.35">
      <c r="A233" s="42"/>
      <c r="B233" s="5"/>
      <c r="C233" s="5"/>
      <c r="D233" s="5"/>
      <c r="E233" s="5"/>
      <c r="F233" s="5"/>
      <c r="G233" s="5"/>
      <c r="H233" s="22"/>
      <c r="M233" s="21"/>
    </row>
    <row r="234" spans="1:13" x14ac:dyDescent="0.35">
      <c r="A234" s="42"/>
      <c r="B234" s="5"/>
      <c r="C234" s="5"/>
      <c r="D234" s="5"/>
      <c r="E234" s="5"/>
      <c r="F234" s="5"/>
      <c r="G234" s="5"/>
      <c r="H234" s="22"/>
      <c r="M234" s="21"/>
    </row>
    <row r="235" spans="1:13" x14ac:dyDescent="0.35">
      <c r="A235" s="42"/>
      <c r="B235" s="5"/>
      <c r="C235" s="5"/>
      <c r="D235" s="5"/>
      <c r="E235" s="5"/>
      <c r="F235" s="5"/>
      <c r="G235" s="5"/>
      <c r="H235" s="22"/>
      <c r="M235" s="21"/>
    </row>
    <row r="236" spans="1:13" x14ac:dyDescent="0.35">
      <c r="A236" s="42"/>
      <c r="B236" s="5"/>
      <c r="C236" s="5"/>
      <c r="D236" s="5"/>
      <c r="E236" s="5"/>
      <c r="F236" s="5"/>
      <c r="G236" s="5"/>
      <c r="H236" s="22"/>
      <c r="M236" s="21"/>
    </row>
    <row r="237" spans="1:13" x14ac:dyDescent="0.35">
      <c r="A237" s="42"/>
      <c r="B237" s="5"/>
      <c r="C237" s="5"/>
      <c r="D237" s="5"/>
      <c r="E237" s="5"/>
      <c r="F237" s="5"/>
      <c r="G237" s="5"/>
      <c r="H237" s="22"/>
      <c r="M237" s="21"/>
    </row>
    <row r="238" spans="1:13" x14ac:dyDescent="0.35">
      <c r="A238" s="42"/>
      <c r="B238" s="5"/>
      <c r="C238" s="5"/>
      <c r="D238" s="5"/>
      <c r="E238" s="5"/>
      <c r="F238" s="5"/>
      <c r="G238" s="5"/>
      <c r="H238" s="22"/>
      <c r="M238" s="21"/>
    </row>
    <row r="239" spans="1:13" x14ac:dyDescent="0.35">
      <c r="A239" s="42"/>
      <c r="B239" s="5"/>
      <c r="C239" s="5"/>
      <c r="D239" s="5"/>
      <c r="E239" s="5"/>
      <c r="F239" s="5"/>
      <c r="G239" s="5"/>
      <c r="H239" s="22"/>
      <c r="M239" s="21"/>
    </row>
    <row r="240" spans="1:13" x14ac:dyDescent="0.35">
      <c r="A240" s="42"/>
      <c r="B240" s="5"/>
      <c r="C240" s="5"/>
      <c r="D240" s="5"/>
      <c r="E240" s="5"/>
      <c r="F240" s="5"/>
      <c r="G240" s="5"/>
      <c r="H240" s="22"/>
      <c r="M240" s="21"/>
    </row>
    <row r="241" spans="1:13" x14ac:dyDescent="0.35">
      <c r="A241" s="42"/>
      <c r="B241" s="5"/>
      <c r="C241" s="5"/>
      <c r="D241" s="5"/>
      <c r="E241" s="5"/>
      <c r="F241" s="5"/>
      <c r="G241" s="5"/>
      <c r="H241" s="22"/>
      <c r="M241" s="21"/>
    </row>
    <row r="242" spans="1:13" x14ac:dyDescent="0.35">
      <c r="A242" s="42"/>
      <c r="B242" s="5"/>
      <c r="C242" s="5"/>
      <c r="D242" s="5"/>
      <c r="E242" s="5"/>
      <c r="F242" s="5"/>
      <c r="G242" s="5"/>
      <c r="H242" s="22"/>
      <c r="M242" s="21"/>
    </row>
    <row r="243" spans="1:13" x14ac:dyDescent="0.35">
      <c r="A243" s="42"/>
      <c r="B243" s="5"/>
      <c r="C243" s="5"/>
      <c r="D243" s="5"/>
      <c r="E243" s="5"/>
      <c r="F243" s="5"/>
      <c r="G243" s="5"/>
      <c r="H243" s="22"/>
      <c r="M243" s="21"/>
    </row>
    <row r="244" spans="1:13" x14ac:dyDescent="0.35">
      <c r="A244" s="42"/>
      <c r="B244" s="5"/>
      <c r="C244" s="5"/>
      <c r="D244" s="5"/>
      <c r="E244" s="5"/>
      <c r="F244" s="5"/>
      <c r="G244" s="5"/>
      <c r="H244" s="22"/>
      <c r="M244" s="21"/>
    </row>
    <row r="245" spans="1:13" x14ac:dyDescent="0.35">
      <c r="A245" s="42"/>
      <c r="B245" s="5"/>
      <c r="C245" s="5"/>
      <c r="D245" s="5"/>
      <c r="E245" s="5"/>
      <c r="F245" s="5"/>
      <c r="G245" s="5"/>
      <c r="H245" s="22"/>
      <c r="M245" s="21"/>
    </row>
    <row r="246" spans="1:13" x14ac:dyDescent="0.35">
      <c r="A246" s="42"/>
      <c r="B246" s="5"/>
      <c r="C246" s="5"/>
      <c r="D246" s="5"/>
      <c r="E246" s="5"/>
      <c r="F246" s="5"/>
      <c r="G246" s="5"/>
      <c r="H246" s="22"/>
      <c r="M246" s="21"/>
    </row>
    <row r="247" spans="1:13" x14ac:dyDescent="0.35">
      <c r="A247" s="42"/>
      <c r="B247" s="5"/>
      <c r="C247" s="5"/>
      <c r="D247" s="5"/>
      <c r="E247" s="5"/>
      <c r="F247" s="5"/>
      <c r="G247" s="5"/>
      <c r="H247" s="22"/>
      <c r="M247" s="21"/>
    </row>
    <row r="248" spans="1:13" x14ac:dyDescent="0.35">
      <c r="A248" s="42"/>
      <c r="B248" s="5"/>
      <c r="C248" s="5"/>
      <c r="D248" s="5"/>
      <c r="E248" s="5"/>
      <c r="F248" s="5"/>
      <c r="G248" s="5"/>
      <c r="H248" s="22"/>
      <c r="M248" s="21"/>
    </row>
    <row r="249" spans="1:13" x14ac:dyDescent="0.35">
      <c r="A249" s="42"/>
      <c r="B249" s="5"/>
      <c r="C249" s="5"/>
      <c r="D249" s="5"/>
      <c r="E249" s="5"/>
      <c r="F249" s="5"/>
      <c r="G249" s="5"/>
      <c r="H249" s="22"/>
      <c r="M249" s="21"/>
    </row>
    <row r="250" spans="1:13" x14ac:dyDescent="0.35">
      <c r="A250" s="42"/>
      <c r="B250" s="5"/>
      <c r="C250" s="5"/>
      <c r="D250" s="5"/>
      <c r="E250" s="5"/>
      <c r="F250" s="5"/>
      <c r="G250" s="5"/>
      <c r="H250" s="22"/>
      <c r="M250" s="21"/>
    </row>
    <row r="251" spans="1:13" x14ac:dyDescent="0.35">
      <c r="A251" s="42"/>
      <c r="B251" s="5"/>
      <c r="C251" s="5"/>
      <c r="D251" s="5"/>
      <c r="E251" s="5"/>
      <c r="F251" s="5"/>
      <c r="G251" s="5"/>
      <c r="H251" s="22"/>
      <c r="M251" s="21"/>
    </row>
    <row r="252" spans="1:13" x14ac:dyDescent="0.35">
      <c r="A252" s="42"/>
      <c r="B252" s="5"/>
      <c r="C252" s="5"/>
      <c r="D252" s="5"/>
      <c r="E252" s="5"/>
      <c r="F252" s="5"/>
      <c r="G252" s="5"/>
      <c r="H252" s="22"/>
      <c r="M252" s="21"/>
    </row>
    <row r="253" spans="1:13" x14ac:dyDescent="0.35">
      <c r="A253" s="42"/>
      <c r="B253" s="5"/>
      <c r="C253" s="5"/>
      <c r="D253" s="5"/>
      <c r="E253" s="5"/>
      <c r="F253" s="5"/>
      <c r="G253" s="5"/>
      <c r="H253" s="22"/>
      <c r="M253" s="21"/>
    </row>
    <row r="254" spans="1:13" x14ac:dyDescent="0.35">
      <c r="A254" s="42"/>
      <c r="B254" s="5"/>
      <c r="C254" s="5"/>
      <c r="D254" s="5"/>
      <c r="E254" s="5"/>
      <c r="F254" s="5"/>
      <c r="G254" s="5"/>
      <c r="H254" s="22"/>
      <c r="M254" s="21"/>
    </row>
    <row r="255" spans="1:13" x14ac:dyDescent="0.35">
      <c r="A255" s="42"/>
      <c r="B255" s="5"/>
      <c r="C255" s="5"/>
      <c r="D255" s="5"/>
      <c r="E255" s="5"/>
      <c r="F255" s="5"/>
      <c r="G255" s="5"/>
      <c r="H255" s="22"/>
      <c r="M255" s="21"/>
    </row>
    <row r="256" spans="1:13" x14ac:dyDescent="0.35">
      <c r="A256" s="42"/>
      <c r="B256" s="5"/>
      <c r="C256" s="5"/>
      <c r="D256" s="5"/>
      <c r="E256" s="5"/>
      <c r="F256" s="5"/>
      <c r="G256" s="5"/>
      <c r="H256" s="22"/>
      <c r="M256" s="21"/>
    </row>
    <row r="257" spans="1:13" x14ac:dyDescent="0.35">
      <c r="A257" s="42"/>
      <c r="B257" s="5"/>
      <c r="C257" s="5"/>
      <c r="D257" s="5"/>
      <c r="E257" s="5"/>
      <c r="F257" s="5"/>
      <c r="G257" s="5"/>
      <c r="H257" s="22"/>
      <c r="M257" s="21"/>
    </row>
    <row r="258" spans="1:13" x14ac:dyDescent="0.35">
      <c r="A258" s="42"/>
      <c r="B258" s="5"/>
      <c r="C258" s="5"/>
      <c r="D258" s="5"/>
      <c r="E258" s="5"/>
      <c r="F258" s="5"/>
      <c r="G258" s="5"/>
      <c r="H258" s="22"/>
      <c r="M258" s="21"/>
    </row>
    <row r="259" spans="1:13" x14ac:dyDescent="0.35">
      <c r="A259" s="42"/>
      <c r="B259" s="5"/>
      <c r="C259" s="5"/>
      <c r="D259" s="5"/>
      <c r="E259" s="5"/>
      <c r="F259" s="5"/>
      <c r="G259" s="5"/>
      <c r="H259" s="22"/>
      <c r="M259" s="21"/>
    </row>
    <row r="260" spans="1:13" x14ac:dyDescent="0.35">
      <c r="A260" s="42"/>
      <c r="B260" s="5"/>
      <c r="C260" s="5"/>
      <c r="D260" s="5"/>
      <c r="E260" s="5"/>
      <c r="F260" s="5"/>
      <c r="G260" s="5"/>
      <c r="H260" s="22"/>
      <c r="M260" s="21"/>
    </row>
    <row r="261" spans="1:13" x14ac:dyDescent="0.35">
      <c r="A261" s="42"/>
      <c r="B261" s="5"/>
      <c r="C261" s="5"/>
      <c r="D261" s="5"/>
      <c r="E261" s="5"/>
      <c r="F261" s="5"/>
      <c r="G261" s="5"/>
      <c r="H261" s="22"/>
      <c r="M261" s="21"/>
    </row>
    <row r="262" spans="1:13" x14ac:dyDescent="0.35">
      <c r="A262" s="42"/>
      <c r="B262" s="5"/>
      <c r="C262" s="5"/>
      <c r="D262" s="5"/>
      <c r="E262" s="5"/>
      <c r="F262" s="5"/>
      <c r="G262" s="5"/>
      <c r="H262" s="22"/>
      <c r="M262" s="21"/>
    </row>
    <row r="263" spans="1:13" x14ac:dyDescent="0.35">
      <c r="A263" s="42"/>
      <c r="B263" s="5"/>
      <c r="C263" s="5"/>
      <c r="D263" s="5"/>
      <c r="E263" s="5"/>
      <c r="F263" s="5"/>
      <c r="G263" s="5"/>
      <c r="H263" s="22"/>
      <c r="M263" s="21"/>
    </row>
    <row r="264" spans="1:13" x14ac:dyDescent="0.35">
      <c r="A264" s="42"/>
      <c r="B264" s="5"/>
      <c r="C264" s="5"/>
      <c r="D264" s="5"/>
      <c r="E264" s="5"/>
      <c r="F264" s="5"/>
      <c r="G264" s="5"/>
      <c r="H264" s="22"/>
      <c r="M264" s="21"/>
    </row>
    <row r="265" spans="1:13" x14ac:dyDescent="0.35">
      <c r="A265" s="42"/>
      <c r="B265" s="5"/>
      <c r="C265" s="5"/>
      <c r="D265" s="5"/>
      <c r="E265" s="5"/>
      <c r="F265" s="5"/>
      <c r="G265" s="5"/>
      <c r="H265" s="22"/>
      <c r="M265" s="21"/>
    </row>
    <row r="266" spans="1:13" x14ac:dyDescent="0.35">
      <c r="A266" s="42"/>
      <c r="B266" s="5"/>
      <c r="C266" s="5"/>
      <c r="D266" s="5"/>
      <c r="E266" s="5"/>
      <c r="F266" s="5"/>
      <c r="G266" s="5"/>
      <c r="H266" s="22"/>
      <c r="M266" s="21"/>
    </row>
    <row r="267" spans="1:13" x14ac:dyDescent="0.35">
      <c r="A267" s="42"/>
      <c r="B267" s="5"/>
      <c r="C267" s="5"/>
      <c r="D267" s="5"/>
      <c r="E267" s="5"/>
      <c r="F267" s="5"/>
      <c r="G267" s="5"/>
      <c r="H267" s="22"/>
      <c r="M267" s="21"/>
    </row>
    <row r="268" spans="1:13" x14ac:dyDescent="0.35">
      <c r="A268" s="42"/>
      <c r="B268" s="5"/>
      <c r="C268" s="5"/>
      <c r="D268" s="5"/>
      <c r="E268" s="5"/>
      <c r="F268" s="5"/>
      <c r="G268" s="5"/>
      <c r="H268" s="22"/>
      <c r="M268" s="21"/>
    </row>
    <row r="269" spans="1:13" x14ac:dyDescent="0.35">
      <c r="A269" s="42"/>
      <c r="B269" s="5"/>
      <c r="C269" s="5"/>
      <c r="D269" s="5"/>
      <c r="E269" s="5"/>
      <c r="F269" s="5"/>
      <c r="G269" s="5"/>
      <c r="H269" s="22"/>
      <c r="M269" s="21"/>
    </row>
    <row r="270" spans="1:13" x14ac:dyDescent="0.35">
      <c r="A270" s="42"/>
      <c r="B270" s="5"/>
      <c r="C270" s="5"/>
      <c r="D270" s="5"/>
      <c r="E270" s="5"/>
      <c r="F270" s="5"/>
      <c r="G270" s="5"/>
      <c r="H270" s="22"/>
      <c r="M270" s="21"/>
    </row>
    <row r="271" spans="1:13" x14ac:dyDescent="0.35">
      <c r="A271" s="42"/>
      <c r="B271" s="5"/>
      <c r="C271" s="5"/>
      <c r="D271" s="5"/>
      <c r="E271" s="5"/>
      <c r="F271" s="5"/>
      <c r="G271" s="5"/>
      <c r="H271" s="22"/>
      <c r="M271" s="21"/>
    </row>
    <row r="272" spans="1:13" s="54" customFormat="1" x14ac:dyDescent="0.35">
      <c r="A272" s="51"/>
      <c r="B272" s="52"/>
      <c r="C272" s="52"/>
      <c r="D272" s="52"/>
      <c r="E272" s="52"/>
      <c r="F272" s="52"/>
      <c r="G272" s="52"/>
      <c r="H272" s="53"/>
      <c r="M272" s="55"/>
    </row>
    <row r="273" spans="1:13" x14ac:dyDescent="0.35">
      <c r="A273" s="42"/>
      <c r="B273" s="5"/>
      <c r="C273" s="5"/>
      <c r="D273" s="5"/>
      <c r="E273" s="5"/>
      <c r="F273" s="5"/>
      <c r="G273" s="5"/>
      <c r="H273" s="22"/>
      <c r="M273" s="21"/>
    </row>
    <row r="274" spans="1:13" x14ac:dyDescent="0.35">
      <c r="A274" s="42"/>
      <c r="B274" s="5"/>
      <c r="C274" s="5"/>
      <c r="D274" s="5"/>
      <c r="E274" s="5"/>
      <c r="F274" s="5"/>
      <c r="G274" s="5"/>
      <c r="H274" s="22"/>
      <c r="M274" s="21"/>
    </row>
    <row r="275" spans="1:13" x14ac:dyDescent="0.35">
      <c r="A275" s="42"/>
      <c r="B275" s="5"/>
      <c r="C275" s="5"/>
      <c r="D275" s="5"/>
      <c r="E275" s="5"/>
      <c r="F275" s="5"/>
      <c r="G275" s="5"/>
      <c r="H275" s="22"/>
      <c r="M275" s="21"/>
    </row>
    <row r="276" spans="1:13" x14ac:dyDescent="0.35">
      <c r="A276" s="42"/>
      <c r="B276" s="5"/>
      <c r="C276" s="5"/>
      <c r="D276" s="5"/>
      <c r="E276" s="5"/>
      <c r="F276" s="5"/>
      <c r="G276" s="5"/>
      <c r="H276" s="22"/>
      <c r="M276" s="21"/>
    </row>
    <row r="277" spans="1:13" x14ac:dyDescent="0.35">
      <c r="A277" s="42"/>
      <c r="B277" s="5"/>
      <c r="C277" s="5"/>
      <c r="D277" s="5"/>
      <c r="E277" s="5"/>
      <c r="F277" s="5"/>
      <c r="G277" s="5"/>
      <c r="H277" s="22"/>
      <c r="M277" s="21"/>
    </row>
    <row r="278" spans="1:13" x14ac:dyDescent="0.35">
      <c r="A278" s="42"/>
      <c r="B278" s="5"/>
      <c r="C278" s="5"/>
      <c r="D278" s="5"/>
      <c r="E278" s="5"/>
      <c r="F278" s="5"/>
      <c r="G278" s="5"/>
      <c r="H278" s="22"/>
      <c r="M278" s="21"/>
    </row>
    <row r="279" spans="1:13" x14ac:dyDescent="0.35">
      <c r="A279" s="42"/>
      <c r="B279" s="5"/>
      <c r="C279" s="5"/>
      <c r="D279" s="5"/>
      <c r="E279" s="5"/>
      <c r="F279" s="5"/>
      <c r="G279" s="5"/>
      <c r="H279" s="22"/>
      <c r="M279" s="21"/>
    </row>
    <row r="280" spans="1:13" x14ac:dyDescent="0.35">
      <c r="A280" s="42"/>
      <c r="B280" s="5"/>
      <c r="C280" s="5"/>
      <c r="D280" s="5"/>
      <c r="E280" s="5"/>
      <c r="F280" s="5"/>
      <c r="G280" s="5"/>
      <c r="H280" s="22"/>
      <c r="M280" s="21"/>
    </row>
    <row r="281" spans="1:13" x14ac:dyDescent="0.35">
      <c r="A281" s="42"/>
      <c r="B281" s="5"/>
      <c r="C281" s="5"/>
      <c r="D281" s="5"/>
      <c r="E281" s="5"/>
      <c r="F281" s="5"/>
      <c r="G281" s="5"/>
      <c r="H281" s="22"/>
      <c r="M281" s="21"/>
    </row>
    <row r="282" spans="1:13" x14ac:dyDescent="0.35">
      <c r="A282" s="42"/>
      <c r="B282" s="5"/>
      <c r="C282" s="5"/>
      <c r="D282" s="5"/>
      <c r="E282" s="5"/>
      <c r="F282" s="5"/>
      <c r="G282" s="5"/>
      <c r="H282" s="22"/>
      <c r="M282" s="21"/>
    </row>
    <row r="283" spans="1:13" x14ac:dyDescent="0.35">
      <c r="A283" s="42"/>
      <c r="B283" s="5"/>
      <c r="C283" s="5"/>
      <c r="D283" s="5"/>
      <c r="E283" s="5"/>
      <c r="F283" s="5"/>
      <c r="G283" s="5"/>
      <c r="H283" s="22"/>
      <c r="M283" s="21"/>
    </row>
    <row r="284" spans="1:13" x14ac:dyDescent="0.35">
      <c r="A284" s="42"/>
      <c r="B284" s="5"/>
      <c r="C284" s="5"/>
      <c r="D284" s="5"/>
      <c r="E284" s="5"/>
      <c r="F284" s="5"/>
      <c r="G284" s="5"/>
      <c r="H284" s="22"/>
      <c r="M284" s="21"/>
    </row>
    <row r="285" spans="1:13" x14ac:dyDescent="0.35">
      <c r="A285" s="42"/>
      <c r="B285" s="5"/>
      <c r="C285" s="5"/>
      <c r="D285" s="5"/>
      <c r="E285" s="5"/>
      <c r="F285" s="5"/>
      <c r="G285" s="5"/>
      <c r="H285" s="22"/>
      <c r="M285" s="21"/>
    </row>
    <row r="286" spans="1:13" x14ac:dyDescent="0.35">
      <c r="A286" s="42"/>
      <c r="B286" s="5"/>
      <c r="C286" s="5"/>
      <c r="D286" s="5"/>
      <c r="E286" s="5"/>
      <c r="F286" s="5"/>
      <c r="G286" s="5"/>
      <c r="H286" s="22"/>
      <c r="M286" s="21"/>
    </row>
    <row r="287" spans="1:13" x14ac:dyDescent="0.35">
      <c r="A287" s="42"/>
      <c r="B287" s="5"/>
      <c r="C287" s="5"/>
      <c r="D287" s="5"/>
      <c r="E287" s="5"/>
      <c r="F287" s="5"/>
      <c r="G287" s="5"/>
      <c r="H287" s="22"/>
      <c r="M287" s="21"/>
    </row>
    <row r="288" spans="1:13" x14ac:dyDescent="0.35">
      <c r="A288" s="42"/>
      <c r="B288" s="5"/>
      <c r="C288" s="5"/>
      <c r="D288" s="5"/>
      <c r="E288" s="5"/>
      <c r="F288" s="5"/>
      <c r="G288" s="5"/>
      <c r="H288" s="22"/>
      <c r="M288" s="21"/>
    </row>
    <row r="289" spans="1:13" x14ac:dyDescent="0.35">
      <c r="A289" s="42"/>
      <c r="B289" s="5"/>
      <c r="C289" s="5"/>
      <c r="D289" s="5"/>
      <c r="E289" s="5"/>
      <c r="F289" s="5"/>
      <c r="G289" s="5"/>
      <c r="H289" s="22"/>
      <c r="M289" s="21"/>
    </row>
    <row r="290" spans="1:13" x14ac:dyDescent="0.35">
      <c r="A290" s="42"/>
      <c r="B290" s="5"/>
      <c r="C290" s="5"/>
      <c r="D290" s="5"/>
      <c r="E290" s="5"/>
      <c r="F290" s="5"/>
      <c r="G290" s="5"/>
      <c r="H290" s="22"/>
      <c r="M290" s="21"/>
    </row>
    <row r="291" spans="1:13" x14ac:dyDescent="0.35">
      <c r="A291" s="42"/>
      <c r="B291" s="5"/>
      <c r="C291" s="5"/>
      <c r="D291" s="5"/>
      <c r="E291" s="5"/>
      <c r="F291" s="5"/>
      <c r="G291" s="5"/>
      <c r="H291" s="22"/>
      <c r="M291" s="21"/>
    </row>
    <row r="292" spans="1:13" x14ac:dyDescent="0.35">
      <c r="A292" s="42"/>
      <c r="B292" s="5"/>
      <c r="C292" s="5"/>
      <c r="D292" s="5"/>
      <c r="E292" s="5"/>
      <c r="F292" s="5"/>
      <c r="G292" s="5"/>
      <c r="H292" s="22"/>
      <c r="M292" s="21"/>
    </row>
    <row r="293" spans="1:13" x14ac:dyDescent="0.35">
      <c r="A293" s="42"/>
      <c r="B293" s="5"/>
      <c r="C293" s="5"/>
      <c r="D293" s="5"/>
      <c r="E293" s="5"/>
      <c r="F293" s="5"/>
      <c r="G293" s="5"/>
      <c r="H293" s="22"/>
      <c r="M293" s="21"/>
    </row>
    <row r="294" spans="1:13" x14ac:dyDescent="0.35">
      <c r="A294" s="42"/>
      <c r="B294" s="5"/>
      <c r="C294" s="5"/>
      <c r="D294" s="5"/>
      <c r="E294" s="5"/>
      <c r="F294" s="5"/>
      <c r="G294" s="5"/>
      <c r="H294" s="22"/>
      <c r="M294" s="21"/>
    </row>
    <row r="295" spans="1:13" x14ac:dyDescent="0.35">
      <c r="A295" s="42"/>
      <c r="B295" s="5"/>
      <c r="C295" s="5"/>
      <c r="D295" s="5"/>
      <c r="E295" s="5"/>
      <c r="F295" s="5"/>
      <c r="G295" s="5"/>
      <c r="H295" s="22"/>
      <c r="M295" s="21"/>
    </row>
    <row r="296" spans="1:13" x14ac:dyDescent="0.35">
      <c r="A296" s="42"/>
      <c r="B296" s="5"/>
      <c r="C296" s="5"/>
      <c r="D296" s="5"/>
      <c r="E296" s="5"/>
      <c r="F296" s="5"/>
      <c r="G296" s="5"/>
      <c r="H296" s="22"/>
      <c r="M296" s="21"/>
    </row>
    <row r="297" spans="1:13" x14ac:dyDescent="0.35">
      <c r="A297" s="42"/>
      <c r="B297" s="5"/>
      <c r="C297" s="5"/>
      <c r="D297" s="5"/>
      <c r="E297" s="5"/>
      <c r="F297" s="5"/>
      <c r="G297" s="5"/>
      <c r="H297" s="22"/>
      <c r="M297" s="21"/>
    </row>
    <row r="298" spans="1:13" x14ac:dyDescent="0.35">
      <c r="A298" s="42"/>
      <c r="B298" s="5"/>
      <c r="C298" s="5"/>
      <c r="D298" s="5"/>
      <c r="E298" s="5"/>
      <c r="F298" s="5"/>
      <c r="G298" s="5"/>
      <c r="H298" s="22"/>
      <c r="M298" s="21"/>
    </row>
    <row r="299" spans="1:13" x14ac:dyDescent="0.35">
      <c r="A299" s="42"/>
      <c r="B299" s="5"/>
      <c r="C299" s="5"/>
      <c r="D299" s="5"/>
      <c r="E299" s="5"/>
      <c r="F299" s="5"/>
      <c r="G299" s="5"/>
      <c r="H299" s="22"/>
      <c r="M299" s="21"/>
    </row>
    <row r="300" spans="1:13" x14ac:dyDescent="0.35">
      <c r="A300" s="42"/>
      <c r="B300" s="5"/>
      <c r="C300" s="5"/>
      <c r="D300" s="5"/>
      <c r="E300" s="5"/>
      <c r="F300" s="5"/>
      <c r="G300" s="5"/>
      <c r="H300" s="22"/>
      <c r="M300" s="21"/>
    </row>
    <row r="301" spans="1:13" x14ac:dyDescent="0.35">
      <c r="A301" s="42"/>
      <c r="B301" s="5"/>
      <c r="C301" s="5"/>
      <c r="D301" s="5"/>
      <c r="E301" s="5"/>
      <c r="F301" s="5"/>
      <c r="G301" s="5"/>
      <c r="H301" s="22"/>
      <c r="M301" s="21"/>
    </row>
    <row r="302" spans="1:13" x14ac:dyDescent="0.35">
      <c r="A302" s="42"/>
      <c r="B302" s="5"/>
      <c r="C302" s="5"/>
      <c r="D302" s="5"/>
      <c r="E302" s="5"/>
      <c r="F302" s="5"/>
      <c r="G302" s="5"/>
      <c r="H302" s="22"/>
      <c r="M302" s="21"/>
    </row>
    <row r="303" spans="1:13" x14ac:dyDescent="0.35">
      <c r="A303" s="42"/>
      <c r="B303" s="5"/>
      <c r="C303" s="5"/>
      <c r="D303" s="5"/>
      <c r="E303" s="5"/>
      <c r="F303" s="5"/>
      <c r="G303" s="5"/>
      <c r="H303" s="22"/>
      <c r="M303" s="21"/>
    </row>
    <row r="304" spans="1:13" x14ac:dyDescent="0.35">
      <c r="A304" s="42"/>
      <c r="B304" s="5"/>
      <c r="C304" s="5"/>
      <c r="D304" s="5"/>
      <c r="E304" s="5"/>
      <c r="F304" s="5"/>
      <c r="G304" s="5"/>
      <c r="H304" s="22"/>
      <c r="M304" s="21"/>
    </row>
    <row r="305" spans="1:13" x14ac:dyDescent="0.35">
      <c r="A305" s="42"/>
      <c r="B305" s="5"/>
      <c r="C305" s="5"/>
      <c r="D305" s="5"/>
      <c r="E305" s="5"/>
      <c r="F305" s="5"/>
      <c r="G305" s="5"/>
      <c r="H305" s="22"/>
      <c r="M305" s="21"/>
    </row>
    <row r="306" spans="1:13" x14ac:dyDescent="0.35">
      <c r="A306" s="42"/>
      <c r="B306" s="5"/>
      <c r="C306" s="5"/>
      <c r="D306" s="5"/>
      <c r="E306" s="5"/>
      <c r="F306" s="5"/>
      <c r="G306" s="5"/>
      <c r="H306" s="22"/>
      <c r="M306" s="21"/>
    </row>
    <row r="307" spans="1:13" x14ac:dyDescent="0.35">
      <c r="A307" s="42"/>
      <c r="B307" s="5"/>
      <c r="C307" s="5"/>
      <c r="D307" s="5"/>
      <c r="E307" s="5"/>
      <c r="F307" s="5"/>
      <c r="G307" s="5"/>
      <c r="H307" s="22"/>
      <c r="M307" s="21"/>
    </row>
    <row r="308" spans="1:13" x14ac:dyDescent="0.35">
      <c r="A308" s="42"/>
      <c r="B308" s="5"/>
      <c r="C308" s="5"/>
      <c r="D308" s="5"/>
      <c r="E308" s="5"/>
      <c r="F308" s="5"/>
      <c r="G308" s="5"/>
      <c r="H308" s="22"/>
      <c r="M308" s="21"/>
    </row>
    <row r="309" spans="1:13" x14ac:dyDescent="0.35">
      <c r="A309" s="42"/>
      <c r="B309" s="5"/>
      <c r="C309" s="5"/>
      <c r="D309" s="5"/>
      <c r="E309" s="5"/>
      <c r="F309" s="5"/>
      <c r="G309" s="5"/>
      <c r="H309" s="22"/>
      <c r="M309" s="21"/>
    </row>
    <row r="310" spans="1:13" x14ac:dyDescent="0.35">
      <c r="A310" s="42"/>
      <c r="B310" s="5"/>
      <c r="C310" s="5"/>
      <c r="D310" s="5"/>
      <c r="E310" s="5"/>
      <c r="F310" s="5"/>
      <c r="G310" s="5"/>
      <c r="H310" s="22"/>
      <c r="M310" s="21"/>
    </row>
    <row r="311" spans="1:13" x14ac:dyDescent="0.35">
      <c r="A311" s="42"/>
      <c r="B311" s="5"/>
      <c r="C311" s="5"/>
      <c r="D311" s="5"/>
      <c r="E311" s="5"/>
      <c r="F311" s="5"/>
      <c r="G311" s="5"/>
      <c r="H311" s="22"/>
      <c r="M311" s="21"/>
    </row>
    <row r="312" spans="1:13" x14ac:dyDescent="0.35">
      <c r="A312" s="42"/>
      <c r="B312" s="5"/>
      <c r="C312" s="5"/>
      <c r="D312" s="5"/>
      <c r="E312" s="5"/>
      <c r="F312" s="5"/>
      <c r="G312" s="5"/>
      <c r="H312" s="22"/>
      <c r="M312" s="21"/>
    </row>
    <row r="313" spans="1:13" x14ac:dyDescent="0.35">
      <c r="A313" s="42"/>
      <c r="B313" s="5"/>
      <c r="C313" s="5"/>
      <c r="D313" s="5"/>
      <c r="E313" s="5"/>
      <c r="F313" s="5"/>
      <c r="G313" s="5"/>
      <c r="H313" s="22"/>
      <c r="M313" s="21"/>
    </row>
    <row r="314" spans="1:13" x14ac:dyDescent="0.35">
      <c r="A314" s="42"/>
      <c r="B314" s="5"/>
      <c r="C314" s="5"/>
      <c r="D314" s="5"/>
      <c r="E314" s="5"/>
      <c r="F314" s="5"/>
      <c r="G314" s="5"/>
      <c r="H314" s="22"/>
      <c r="M314" s="21"/>
    </row>
    <row r="315" spans="1:13" x14ac:dyDescent="0.35">
      <c r="A315" s="42"/>
      <c r="B315" s="5"/>
      <c r="C315" s="5"/>
      <c r="D315" s="5"/>
      <c r="E315" s="5"/>
      <c r="F315" s="5"/>
      <c r="G315" s="5"/>
      <c r="H315" s="22"/>
      <c r="M315" s="21"/>
    </row>
    <row r="316" spans="1:13" x14ac:dyDescent="0.35">
      <c r="A316" s="42"/>
      <c r="B316" s="5"/>
      <c r="C316" s="5"/>
      <c r="D316" s="5"/>
      <c r="E316" s="5"/>
      <c r="F316" s="5"/>
      <c r="G316" s="5"/>
      <c r="H316" s="22"/>
      <c r="M316" s="21"/>
    </row>
    <row r="317" spans="1:13" x14ac:dyDescent="0.35">
      <c r="A317" s="42"/>
      <c r="B317" s="5"/>
      <c r="C317" s="5"/>
      <c r="D317" s="5"/>
      <c r="E317" s="5"/>
      <c r="F317" s="5"/>
      <c r="G317" s="5"/>
      <c r="H317" s="22"/>
      <c r="M317" s="21"/>
    </row>
    <row r="318" spans="1:13" x14ac:dyDescent="0.35">
      <c r="A318" s="42"/>
      <c r="B318" s="5"/>
      <c r="C318" s="5"/>
      <c r="D318" s="5"/>
      <c r="E318" s="5"/>
      <c r="F318" s="5"/>
      <c r="G318" s="5"/>
      <c r="H318" s="22"/>
      <c r="M318" s="21"/>
    </row>
    <row r="319" spans="1:13" x14ac:dyDescent="0.35">
      <c r="A319" s="42"/>
      <c r="B319" s="5"/>
      <c r="C319" s="5"/>
      <c r="D319" s="5"/>
      <c r="E319" s="5"/>
      <c r="F319" s="5"/>
      <c r="G319" s="5"/>
      <c r="H319" s="22"/>
      <c r="M319" s="21"/>
    </row>
    <row r="320" spans="1:13" x14ac:dyDescent="0.35">
      <c r="A320" s="42"/>
      <c r="B320" s="5"/>
      <c r="C320" s="5"/>
      <c r="D320" s="5"/>
      <c r="E320" s="5"/>
      <c r="F320" s="5"/>
      <c r="G320" s="5"/>
      <c r="H320" s="22"/>
      <c r="M320" s="21"/>
    </row>
    <row r="321" spans="1:13" x14ac:dyDescent="0.35">
      <c r="A321" s="36" t="s">
        <v>7</v>
      </c>
      <c r="B321" s="37">
        <v>1</v>
      </c>
      <c r="C321" s="37">
        <v>2</v>
      </c>
      <c r="D321" s="37">
        <v>3</v>
      </c>
      <c r="E321" s="37">
        <v>4</v>
      </c>
      <c r="F321" s="37">
        <v>5</v>
      </c>
      <c r="G321" s="37">
        <v>6</v>
      </c>
      <c r="H321" s="38">
        <v>7</v>
      </c>
      <c r="I321" s="38">
        <v>8</v>
      </c>
      <c r="J321" s="38">
        <v>9</v>
      </c>
      <c r="K321" s="38">
        <v>10</v>
      </c>
    </row>
    <row r="322" spans="1:13" x14ac:dyDescent="0.35">
      <c r="A322" s="43" t="s">
        <v>20</v>
      </c>
      <c r="B322" s="30">
        <v>4.2299999999999997E-2</v>
      </c>
      <c r="C322" s="6">
        <v>4.3452240693330778E-2</v>
      </c>
      <c r="D322" s="6">
        <v>3.8582243402473952E-2</v>
      </c>
      <c r="E322" s="6">
        <v>3.34638209012173E-2</v>
      </c>
      <c r="F322" s="6">
        <v>2.4968299866598511E-2</v>
      </c>
      <c r="G322" s="6">
        <v>2.8159134817517101E-2</v>
      </c>
      <c r="H322" s="6">
        <v>2.8159134817517101E-2</v>
      </c>
      <c r="I322" s="6">
        <v>2.8159134817517101E-2</v>
      </c>
      <c r="J322" s="6">
        <v>2.8159134817517101E-2</v>
      </c>
      <c r="K322" s="6">
        <v>2.8159134817517101E-2</v>
      </c>
    </row>
    <row r="323" spans="1:13" x14ac:dyDescent="0.35">
      <c r="A323" s="41" t="s">
        <v>15</v>
      </c>
      <c r="B323" s="7">
        <f t="shared" ref="B323:K323" si="4">B14+0.001</f>
        <v>4.9967504599999997E-2</v>
      </c>
      <c r="C323" s="7">
        <f t="shared" si="4"/>
        <v>5.1461803200000003E-2</v>
      </c>
      <c r="D323" s="7">
        <f t="shared" si="4"/>
        <v>5.1263399400000007E-2</v>
      </c>
      <c r="E323" s="7">
        <f t="shared" si="4"/>
        <v>5.125936314E-2</v>
      </c>
      <c r="F323" s="7">
        <f t="shared" si="4"/>
        <v>5.1535837651999997E-2</v>
      </c>
      <c r="G323" s="7">
        <f t="shared" si="4"/>
        <v>5.0018816000000001E-2</v>
      </c>
      <c r="H323" s="7">
        <f t="shared" si="4"/>
        <v>5.0018816000000001E-2</v>
      </c>
      <c r="I323" s="7">
        <f t="shared" si="4"/>
        <v>5.0018816000000001E-2</v>
      </c>
      <c r="J323" s="7">
        <f t="shared" si="4"/>
        <v>5.0018816000000001E-2</v>
      </c>
      <c r="K323" s="7">
        <f t="shared" si="4"/>
        <v>5.0018816000000001E-2</v>
      </c>
    </row>
    <row r="324" spans="1:13" x14ac:dyDescent="0.35">
      <c r="A324" s="41" t="s">
        <v>0</v>
      </c>
      <c r="B324" s="8">
        <f t="shared" ref="B324:K324" si="5">1/(1+B323)^B13</f>
        <v>0.99875400375352508</v>
      </c>
      <c r="C324" s="8">
        <f t="shared" si="5"/>
        <v>0.99882443974330115</v>
      </c>
      <c r="D324" s="8">
        <f t="shared" si="5"/>
        <v>0.99893921846485978</v>
      </c>
      <c r="E324" s="8">
        <f t="shared" si="5"/>
        <v>0.99877287768026379</v>
      </c>
      <c r="F324" s="8">
        <f t="shared" si="5"/>
        <v>0.99864344902847479</v>
      </c>
      <c r="G324" s="8">
        <f t="shared" si="5"/>
        <v>0.99867330095929419</v>
      </c>
      <c r="H324" s="8">
        <f t="shared" si="5"/>
        <v>0.99867330095929419</v>
      </c>
      <c r="I324" s="8">
        <f t="shared" si="5"/>
        <v>0.99867330095929419</v>
      </c>
      <c r="J324" s="8">
        <f t="shared" si="5"/>
        <v>0.99867330095929419</v>
      </c>
      <c r="K324" s="8">
        <f t="shared" si="5"/>
        <v>0.99867330095929419</v>
      </c>
      <c r="M324"/>
    </row>
    <row r="325" spans="1:13" x14ac:dyDescent="0.35">
      <c r="A325" s="42"/>
      <c r="B325" s="5"/>
      <c r="C325" s="5"/>
      <c r="D325" s="5"/>
      <c r="E325" s="5"/>
      <c r="F325" s="5"/>
      <c r="G325" s="10">
        <f>F333*EXP(10*$G$13)</f>
        <v>0.17858820265623879</v>
      </c>
      <c r="H325" s="22"/>
      <c r="M325" s="21"/>
    </row>
    <row r="326" spans="1:13" x14ac:dyDescent="0.35">
      <c r="A326" s="42"/>
      <c r="B326" s="5"/>
      <c r="C326" s="5"/>
      <c r="D326" s="5"/>
      <c r="E326" s="5"/>
      <c r="F326" s="5"/>
      <c r="G326" s="13">
        <f>(F333+$B$4)*EXP(10*$G$13)</f>
        <v>0.181213376658861</v>
      </c>
      <c r="H326" s="22"/>
      <c r="M326" s="2">
        <f>MIN($B$8,(100+$B$7)/(1+G$323+$D$9/10000))+$B$7</f>
        <v>104.75416254635955</v>
      </c>
    </row>
    <row r="327" spans="1:13" x14ac:dyDescent="0.35">
      <c r="A327" s="42"/>
      <c r="B327" s="5"/>
      <c r="C327" s="5"/>
      <c r="D327" s="5"/>
      <c r="E327" s="5"/>
      <c r="F327" s="5"/>
      <c r="G327" s="10">
        <f>F334*EXP(10*$G$13)</f>
        <v>0.18202754811807781</v>
      </c>
      <c r="H327" s="22"/>
      <c r="M327" s="21"/>
    </row>
    <row r="328" spans="1:13" x14ac:dyDescent="0.35">
      <c r="A328" s="42"/>
      <c r="B328" s="5"/>
      <c r="C328" s="5"/>
      <c r="D328" s="5"/>
      <c r="E328" s="5"/>
      <c r="F328" s="5"/>
      <c r="G328" s="13">
        <f>(F334+$B$4)*EXP(10*$G$13)</f>
        <v>0.18465272212070002</v>
      </c>
      <c r="H328" s="22"/>
      <c r="M328" s="2">
        <f>MIN($B$8,(100+$B$7)/(1+G$323+$D$9/10000))+$B$7</f>
        <v>104.75416254635955</v>
      </c>
    </row>
    <row r="329" spans="1:13" x14ac:dyDescent="0.35">
      <c r="A329" s="42"/>
      <c r="B329" s="5"/>
      <c r="C329" s="5"/>
      <c r="D329" s="5"/>
      <c r="E329" s="5"/>
      <c r="F329" s="5"/>
      <c r="G329" s="10">
        <f>F335*EXP(10*$G$13)</f>
        <v>0.18298515292803852</v>
      </c>
      <c r="H329" s="22"/>
      <c r="M329" s="21"/>
    </row>
    <row r="330" spans="1:13" x14ac:dyDescent="0.35">
      <c r="A330" s="42"/>
      <c r="B330" s="5"/>
      <c r="C330" s="5"/>
      <c r="D330" s="5"/>
      <c r="E330" s="5"/>
      <c r="F330" s="5"/>
      <c r="G330" s="13">
        <f>(F335+$B$4)*EXP(10*$G$13)</f>
        <v>0.18561032693066074</v>
      </c>
      <c r="H330" s="22"/>
      <c r="M330" s="2">
        <f>MIN($B$8,(100+$B$7)/(1+G$323+$D$9/10000))+$B$7</f>
        <v>104.75416254635955</v>
      </c>
    </row>
    <row r="331" spans="1:13" x14ac:dyDescent="0.35">
      <c r="A331" s="42"/>
      <c r="B331" s="5"/>
      <c r="C331" s="5"/>
      <c r="D331" s="5"/>
      <c r="E331" s="5"/>
      <c r="F331" s="5"/>
      <c r="G331" s="10">
        <f>F336*EXP(10*$G$13)</f>
        <v>0.18642449838987754</v>
      </c>
      <c r="H331" s="22"/>
      <c r="M331" s="21"/>
    </row>
    <row r="332" spans="1:13" x14ac:dyDescent="0.35">
      <c r="A332" s="42"/>
      <c r="B332" s="5"/>
      <c r="C332" s="5"/>
      <c r="D332" s="5"/>
      <c r="E332" s="5"/>
      <c r="F332" s="5"/>
      <c r="G332" s="13">
        <f>(F336+$B$4)*EXP(10*$G$13)</f>
        <v>0.18904967239249976</v>
      </c>
      <c r="H332" s="20"/>
      <c r="I332" s="21"/>
      <c r="J332" s="21"/>
      <c r="K332" s="21"/>
      <c r="L332" s="21"/>
      <c r="M332" s="2">
        <f>MIN($B$8,(100+$B$7)/(1+G$323+$D$9/10000))+$B$7</f>
        <v>104.75416254635955</v>
      </c>
    </row>
    <row r="333" spans="1:13" x14ac:dyDescent="0.35">
      <c r="A333" s="42"/>
      <c r="B333" s="5"/>
      <c r="C333" s="5"/>
      <c r="D333" s="5"/>
      <c r="E333" s="5"/>
      <c r="F333" s="10">
        <f>E337*EXP(10*$F$13)</f>
        <v>0.13605818317403096</v>
      </c>
      <c r="G333" s="10">
        <f>F337*EXP(10*$G$13)</f>
        <v>0.18842206453616497</v>
      </c>
      <c r="I333" s="21"/>
      <c r="J333" s="21"/>
      <c r="K333" s="21"/>
      <c r="L333" s="2">
        <f>MIN($B$8,AVERAGE(M326:M328)/(1+F333+$D$9/10000))+$B$7</f>
        <v>97.083448561751553</v>
      </c>
      <c r="M333" s="21"/>
    </row>
    <row r="334" spans="1:13" x14ac:dyDescent="0.35">
      <c r="A334" s="42"/>
      <c r="B334" s="5"/>
      <c r="C334" s="5"/>
      <c r="D334" s="5"/>
      <c r="E334" s="5"/>
      <c r="F334" s="13">
        <f>(E337+$B$4)*EXP(10*$F$13)</f>
        <v>0.138678463169493</v>
      </c>
      <c r="G334" s="13">
        <f>(F337+$B$4)*EXP(10*$G$13)</f>
        <v>0.19104723853878719</v>
      </c>
      <c r="J334" s="21"/>
      <c r="K334" s="21"/>
      <c r="L334" s="21"/>
      <c r="M334" s="2">
        <f>MIN($B$8,(100+$B$7)/(1+G$323+$D$9/10000))+$B$7</f>
        <v>104.75416254635955</v>
      </c>
    </row>
    <row r="335" spans="1:13" x14ac:dyDescent="0.35">
      <c r="A335" s="42"/>
      <c r="B335" s="5"/>
      <c r="C335" s="5"/>
      <c r="D335" s="5"/>
      <c r="E335" s="5"/>
      <c r="F335" s="10">
        <f>E338*EXP(10*$F$13)</f>
        <v>0.13940801847440171</v>
      </c>
      <c r="G335" s="10">
        <f>F338*EXP(10*$G$13)</f>
        <v>0.191861409998004</v>
      </c>
      <c r="K335" s="21"/>
      <c r="L335" s="2">
        <f>MIN($B$8,AVERAGE(M328:M330)/(1+F335+$D$9/10000))+$B$7</f>
        <v>96.812357687388428</v>
      </c>
      <c r="M335" s="21"/>
    </row>
    <row r="336" spans="1:13" x14ac:dyDescent="0.35">
      <c r="A336" s="42"/>
      <c r="B336" s="5"/>
      <c r="C336" s="5"/>
      <c r="D336" s="5"/>
      <c r="E336" s="5"/>
      <c r="F336" s="13">
        <f>(E338+$B$4)*EXP(10*$F$13)</f>
        <v>0.14202829846986376</v>
      </c>
      <c r="G336" s="13">
        <f>(F338+$B$4)*EXP(10*$G$13)</f>
        <v>0.19448658400062621</v>
      </c>
      <c r="K336" s="2">
        <f>MIN($B$8,AVERAGE(L333:L335)/(1+E337+$D$9/10000))+$B$7</f>
        <v>92.702053896695844</v>
      </c>
      <c r="L336" s="21"/>
      <c r="M336" s="2">
        <f>MIN($B$8,(100+$B$7)/(1+G$323+$D$9/10000))+$B$7</f>
        <v>104.75416254635955</v>
      </c>
    </row>
    <row r="337" spans="1:13" x14ac:dyDescent="0.35">
      <c r="A337" s="42"/>
      <c r="B337" s="5"/>
      <c r="C337" s="5"/>
      <c r="D337" s="5"/>
      <c r="E337" s="10">
        <f>D338*EXP(10*$E$13)</f>
        <v>0.10385011022460466</v>
      </c>
      <c r="F337" s="10">
        <f>E339*EXP(10*$F$13)</f>
        <v>0.14355015275022165</v>
      </c>
      <c r="G337" s="10">
        <f>F339*EXP(10*$G$13)</f>
        <v>0.18746445972620429</v>
      </c>
      <c r="K337" s="21"/>
      <c r="L337" s="2">
        <f>MIN($B$8,AVERAGE(M330:M332)/(1+F337+$D$9/10000))+$B$7</f>
        <v>96.479344850488019</v>
      </c>
      <c r="M337" s="21"/>
    </row>
    <row r="338" spans="1:13" x14ac:dyDescent="0.35">
      <c r="A338" s="42"/>
      <c r="B338" s="5"/>
      <c r="C338" s="5"/>
      <c r="D338" s="10">
        <f>C340*EXP(10*$D$13)</f>
        <v>8.1232759807010835E-2</v>
      </c>
      <c r="E338" s="13">
        <f>(D338+$B$4)*EXP(10*$E$13)</f>
        <v>0.10640696316106349</v>
      </c>
      <c r="F338" s="13">
        <f>(E339+$B$4)*EXP(10*$F$13)</f>
        <v>0.1461704327456837</v>
      </c>
      <c r="G338" s="13">
        <f>(F339+$B$4)*EXP(10*$G$13)</f>
        <v>0.19008963372882651</v>
      </c>
      <c r="K338" s="2">
        <f>MIN($B$8,AVERAGE(L337:L340)/(1+E340+$D$9/10000))+$B$7</f>
        <v>92.149513980419826</v>
      </c>
      <c r="L338" s="21"/>
      <c r="M338" s="2">
        <f>MIN($B$8,(100+$B$7)/(1+G$323+$D$9/10000))+$B$7</f>
        <v>104.75416254635955</v>
      </c>
    </row>
    <row r="339" spans="1:13" x14ac:dyDescent="0.35">
      <c r="A339" s="42"/>
      <c r="B339" s="5"/>
      <c r="C339" s="5"/>
      <c r="D339" s="13">
        <f>(C340+$B$4)*EXP(10*$D$13)</f>
        <v>8.3705797377163327E-2</v>
      </c>
      <c r="E339" s="13">
        <f>(D339+$B$4)*EXP(10*$E$13)</f>
        <v>0.10956855984767218</v>
      </c>
      <c r="F339" s="13">
        <f>(E340+$B$4)*EXP(10*$F$13)</f>
        <v>0.14282059744531297</v>
      </c>
      <c r="G339" s="13">
        <f>(F340+$B$4)*EXP(10*$G$13)</f>
        <v>0.18665028826698746</v>
      </c>
      <c r="H339" s="22"/>
      <c r="J339" s="2">
        <f>MIN($B$8,AVERAGE(K336:K338)/(1+D339+$D$9/10000))+$B$7</f>
        <v>90.16178554848662</v>
      </c>
      <c r="K339" s="21"/>
      <c r="L339" s="21"/>
      <c r="M339" s="21"/>
    </row>
    <row r="340" spans="1:13" x14ac:dyDescent="0.35">
      <c r="A340" s="42"/>
      <c r="B340" s="5"/>
      <c r="C340" s="23">
        <f>(B341+$B$4)*EXP(10*$C$13)</f>
        <v>6.5694723596133597E-2</v>
      </c>
      <c r="D340" s="5"/>
      <c r="E340" s="10">
        <f>D339*EXP(10*$E$13)</f>
        <v>0.10701170691121335</v>
      </c>
      <c r="F340" s="10">
        <f>E340*EXP(10*$F$13)</f>
        <v>0.1402003174498509</v>
      </c>
      <c r="G340" s="10">
        <f>F340*EXP(10*$G$13)</f>
        <v>0.18402511426436524</v>
      </c>
      <c r="H340" s="22"/>
      <c r="I340" s="2">
        <f>MIN($B$8,AVERAGE(J339:J339)/(1+C340+$D$9/10000))+$B$7</f>
        <v>89.478764616793995</v>
      </c>
      <c r="J340" s="21"/>
      <c r="K340" s="21"/>
      <c r="L340" s="2">
        <f>MIN($B$8,AVERAGE(M333:M335)/(1+F340+$D$9/10000))+$B$7</f>
        <v>96.748472532134173</v>
      </c>
      <c r="M340" s="2">
        <f>MIN($B$8,(100+$B$7)/(1+G$323+$D$9/10000))+$B$7</f>
        <v>104.75416254635955</v>
      </c>
    </row>
    <row r="341" spans="1:13" x14ac:dyDescent="0.35">
      <c r="A341" s="42"/>
      <c r="B341" s="10">
        <f>B323</f>
        <v>4.9967504599999997E-2</v>
      </c>
      <c r="C341" s="19"/>
      <c r="D341" s="5"/>
      <c r="E341" s="5"/>
      <c r="F341" s="5"/>
      <c r="G341" s="5"/>
      <c r="H341" s="3" t="e">
        <f>AVERAGE(I341:I342)/(1+B341+$G$5/10000)</f>
        <v>#VALUE!</v>
      </c>
    </row>
    <row r="342" spans="1:13" x14ac:dyDescent="0.35">
      <c r="A342" s="42"/>
      <c r="B342" s="5"/>
      <c r="C342" s="23">
        <f>(B341-$B$4)*EXP(10*$C$13)</f>
        <v>6.063812339169479E-2</v>
      </c>
      <c r="D342" s="5"/>
      <c r="E342" s="10">
        <f>D343*EXP(10*$E$13)</f>
        <v>9.2695048312066722E-2</v>
      </c>
      <c r="F342" s="10">
        <f>E342*EXP(10*$F$13)</f>
        <v>0.12144349038524897</v>
      </c>
      <c r="G342" s="10">
        <f>F342*EXP(10*$G$13)</f>
        <v>0.15940514687352836</v>
      </c>
      <c r="H342" s="22"/>
      <c r="I342" s="2">
        <f>MIN($B$8,AVERAGE(J343:J343)/(1+C342+$D$9/10000))+$B$7</f>
        <v>92.497209623657724</v>
      </c>
      <c r="J342" s="21"/>
      <c r="K342" s="21"/>
      <c r="L342" s="2">
        <f>MIN($B$8,AVERAGE(M335:M337)/(1+F342+$D$9/10000))+$B$7</f>
        <v>98.285112452811504</v>
      </c>
      <c r="M342" s="2">
        <f>MIN($B$8,(100+$B$7)/(1+G$323+$D$9/10000))+$B$7</f>
        <v>104.75416254635955</v>
      </c>
    </row>
    <row r="343" spans="1:13" x14ac:dyDescent="0.35">
      <c r="A343" s="42"/>
      <c r="B343" s="5"/>
      <c r="C343" s="5"/>
      <c r="D343" s="24">
        <f>(C342-$B$4)*EXP(10*$D$13)</f>
        <v>7.2507141095449382E-2</v>
      </c>
      <c r="E343" s="23">
        <f>(D343-$B$4)*EXP(10*$E$13)</f>
        <v>9.0138195375607896E-2</v>
      </c>
      <c r="F343" s="23">
        <f>(E342-$B$4)*EXP(10*$E$13)</f>
        <v>0.11594695029949098</v>
      </c>
      <c r="G343" s="23">
        <f>(F342-$B$4)*EXP(10*$G$13)</f>
        <v>0.15677997287090614</v>
      </c>
      <c r="H343" s="22"/>
      <c r="J343" s="2">
        <f>MIN($B$8,AVERAGE(K344:K346)/(1+D344+$D$9/10000))+$B$7</f>
        <v>92.935455982670035</v>
      </c>
      <c r="K343" s="21"/>
      <c r="L343" s="21"/>
      <c r="M343" s="21"/>
    </row>
    <row r="344" spans="1:13" x14ac:dyDescent="0.35">
      <c r="A344" s="42"/>
      <c r="B344" s="5"/>
      <c r="C344" s="5"/>
      <c r="D344" s="10">
        <f>C342*EXP(10*$D$13)</f>
        <v>7.4980178665601874E-2</v>
      </c>
      <c r="E344" s="23">
        <f>(D344-$B$4)*EXP(10*$E$13)</f>
        <v>9.3299792062216585E-2</v>
      </c>
      <c r="F344" s="23">
        <f>(E343-$B$4)*EXP(10*$E$13)</f>
        <v>0.11267820183015194</v>
      </c>
      <c r="G344" s="23">
        <f>(F343-$B$4)*EXP(10*$G$13)</f>
        <v>0.14956528580215475</v>
      </c>
      <c r="H344" s="22"/>
      <c r="K344" s="2">
        <f>MIN($B$8,AVERAGE(L342:L345)/(1+E342+$D$9/10000))+$B$7</f>
        <v>94.950490018031559</v>
      </c>
      <c r="L344" s="21"/>
      <c r="M344" s="2">
        <f>MIN($B$8,(100+$B$7)/(1+G$323+$D$9/10000))+$B$7</f>
        <v>104.75416254635955</v>
      </c>
    </row>
    <row r="345" spans="1:13" x14ac:dyDescent="0.35">
      <c r="A345" s="42"/>
      <c r="B345" s="5"/>
      <c r="C345" s="5"/>
      <c r="D345" s="5"/>
      <c r="E345" s="10">
        <f>D344*EXP(10*$E$13)</f>
        <v>9.5856644998675411E-2</v>
      </c>
      <c r="F345" s="10">
        <f>E343*EXP(10*$F$13)</f>
        <v>0.11809365508487822</v>
      </c>
      <c r="G345" s="10">
        <f>F343*EXP(10*$G$13)</f>
        <v>0.15219045980477697</v>
      </c>
      <c r="H345" s="22"/>
      <c r="K345" s="21"/>
      <c r="L345" s="2">
        <f>MIN($B$8,AVERAGE(M338:M340)/(1+F345+$D$9/10000))+$B$7</f>
        <v>98.56497138116066</v>
      </c>
      <c r="M345" s="21"/>
    </row>
    <row r="346" spans="1:13" x14ac:dyDescent="0.35">
      <c r="A346" s="42"/>
      <c r="B346" s="5"/>
      <c r="C346" s="5"/>
      <c r="D346" s="5"/>
      <c r="E346" s="5"/>
      <c r="F346" s="23">
        <f>(E344-$B$4)*EXP(10*$E$13)</f>
        <v>0.11672007071617889</v>
      </c>
      <c r="G346" s="23">
        <f>(F344-$B$4)*EXP(10*$G$13)</f>
        <v>0.14527476905074474</v>
      </c>
      <c r="H346" s="20"/>
      <c r="I346" s="21"/>
      <c r="J346" s="21"/>
      <c r="K346" s="2">
        <f>MIN($B$8,AVERAGE(L347:L349)/(1+E345+$D$9/10000))+$B$7</f>
        <v>94.375999393218436</v>
      </c>
      <c r="L346" s="21"/>
      <c r="M346" s="2">
        <f>MIN($B$8,(100+$B$7)/(1+G$323+$D$9/10000))+$B$7</f>
        <v>104.75416254635955</v>
      </c>
    </row>
    <row r="347" spans="1:13" x14ac:dyDescent="0.35">
      <c r="A347" s="42"/>
      <c r="B347" s="5"/>
      <c r="C347" s="5"/>
      <c r="D347" s="5"/>
      <c r="E347" s="5"/>
      <c r="F347" s="10">
        <f>E344*EXP(10*$F$13)</f>
        <v>0.12223578936069816</v>
      </c>
      <c r="G347" s="10">
        <f>F344*EXP(10*$G$13)</f>
        <v>0.14789994305336696</v>
      </c>
      <c r="I347" s="21"/>
      <c r="J347" s="21"/>
      <c r="K347" s="21"/>
      <c r="L347" s="2">
        <f>MIN($B$8,AVERAGE(M340:M342)/(1+F347+$D$9/10000))+$B$7</f>
        <v>98.219164871122715</v>
      </c>
      <c r="M347" s="21"/>
    </row>
    <row r="348" spans="1:13" x14ac:dyDescent="0.35">
      <c r="A348" s="42"/>
      <c r="B348" s="5"/>
      <c r="C348" s="5"/>
      <c r="D348" s="5"/>
      <c r="E348" s="5"/>
      <c r="F348" s="23">
        <f>(E345-$B$4)*EXP(10*$E$13)</f>
        <v>0.11998881918551793</v>
      </c>
      <c r="G348" s="23">
        <f>(F345-$B$4)*EXP(10*$G$13)</f>
        <v>0.15238302259910641</v>
      </c>
      <c r="J348" s="21"/>
      <c r="K348" s="21"/>
      <c r="L348" s="21"/>
      <c r="M348" s="2">
        <f>MIN($B$8,(100+$B$7)/(1+G$323+$D$9/10000))+$B$7</f>
        <v>104.75416254635955</v>
      </c>
    </row>
    <row r="349" spans="1:13" x14ac:dyDescent="0.35">
      <c r="A349" s="42"/>
      <c r="B349" s="5"/>
      <c r="C349" s="5"/>
      <c r="D349" s="5"/>
      <c r="E349" s="5"/>
      <c r="F349" s="10">
        <f>E345*EXP(10*$F$13)</f>
        <v>0.12558562466106893</v>
      </c>
      <c r="G349" s="10">
        <f>F345*EXP(10*$G$13)</f>
        <v>0.15500819660172863</v>
      </c>
      <c r="K349" s="21"/>
      <c r="L349" s="2">
        <f>MIN($B$8,AVERAGE(M342:M344)/(1+F349+$D$9/10000))+$B$7</f>
        <v>97.94136496703895</v>
      </c>
      <c r="M349" s="21"/>
    </row>
    <row r="350" spans="1:13" x14ac:dyDescent="0.35">
      <c r="A350" s="42"/>
      <c r="B350" s="5"/>
      <c r="C350" s="5"/>
      <c r="D350" s="5"/>
      <c r="E350" s="5"/>
      <c r="F350" s="5"/>
      <c r="G350" s="23">
        <f>(F346-$B$4)*EXP(10*$G$13)</f>
        <v>0.15058007361154754</v>
      </c>
      <c r="L350" s="21"/>
      <c r="M350" s="2">
        <f>MIN($B$8,(100+$B$7)/(1+G$323+$D$9/10000))+$B$7</f>
        <v>104.75416254635955</v>
      </c>
    </row>
    <row r="351" spans="1:13" x14ac:dyDescent="0.35">
      <c r="A351" s="42"/>
      <c r="B351" s="5"/>
      <c r="C351" s="5"/>
      <c r="D351" s="5"/>
      <c r="E351" s="5"/>
      <c r="F351" s="5"/>
      <c r="G351" s="10">
        <f>F346*EXP(10*$G$13)</f>
        <v>0.15320524761416976</v>
      </c>
      <c r="M351" s="21"/>
    </row>
    <row r="352" spans="1:13" x14ac:dyDescent="0.35">
      <c r="A352" s="42"/>
      <c r="B352" s="5"/>
      <c r="C352" s="5"/>
      <c r="D352" s="5"/>
      <c r="E352" s="5"/>
      <c r="F352" s="5"/>
      <c r="G352" s="23">
        <f>(F347-0.001)*EXP(10*$G$13)</f>
        <v>0.15913252120854396</v>
      </c>
      <c r="M352" s="2">
        <f>MIN($B$8,(100+$B$7)/(1+G$323+$D$9/10000))+$B$7</f>
        <v>104.75416254635955</v>
      </c>
    </row>
    <row r="353" spans="1:13" x14ac:dyDescent="0.35">
      <c r="A353" s="42"/>
      <c r="B353" s="5"/>
      <c r="C353" s="5"/>
      <c r="D353" s="5"/>
      <c r="E353" s="5"/>
      <c r="F353" s="5"/>
      <c r="G353" s="10">
        <f>F347*EXP(10*$G$13)</f>
        <v>0.16044510820985508</v>
      </c>
      <c r="H353" s="22"/>
      <c r="M353" s="21"/>
    </row>
    <row r="354" spans="1:13" x14ac:dyDescent="0.35">
      <c r="A354" s="42"/>
      <c r="B354" s="5"/>
      <c r="C354" s="5"/>
      <c r="D354" s="5"/>
      <c r="E354" s="5"/>
      <c r="F354" s="5"/>
      <c r="G354" s="23">
        <f>(F348-$B$4)*EXP(10*$G$13)</f>
        <v>0.15487059036295753</v>
      </c>
      <c r="H354" s="22"/>
      <c r="M354" s="2">
        <f>MIN($B$8,(100+$B$7)/(1+G$323+$D$9/10000))+$B$7</f>
        <v>104.75416254635955</v>
      </c>
    </row>
    <row r="355" spans="1:13" x14ac:dyDescent="0.35">
      <c r="A355" s="42"/>
      <c r="B355" s="5"/>
      <c r="C355" s="5"/>
      <c r="D355" s="5"/>
      <c r="E355" s="5"/>
      <c r="F355" s="5"/>
      <c r="G355" s="10">
        <f>F348*EXP(10*$G$13)</f>
        <v>0.15749576436557977</v>
      </c>
      <c r="H355" s="22"/>
      <c r="M355" s="21"/>
    </row>
    <row r="356" spans="1:13" x14ac:dyDescent="0.35">
      <c r="A356" s="42"/>
      <c r="B356" s="5"/>
      <c r="C356" s="5"/>
      <c r="D356" s="5"/>
      <c r="E356" s="5"/>
      <c r="F356" s="5"/>
      <c r="G356" s="23">
        <f>(F349-$B$4)*EXP(10*$G$13)</f>
        <v>0.16221688447903262</v>
      </c>
      <c r="H356" s="22"/>
      <c r="M356" s="2">
        <f>MIN($B$8,(100+$B$7)/(1+G$323+$D$9/10000))+$B$7</f>
        <v>104.75416254635955</v>
      </c>
    </row>
    <row r="357" spans="1:13" x14ac:dyDescent="0.35">
      <c r="A357" s="42"/>
      <c r="B357" s="5"/>
      <c r="C357" s="5"/>
      <c r="D357" s="5"/>
      <c r="E357" s="5"/>
      <c r="F357" s="5"/>
      <c r="G357" s="10">
        <f>F349*EXP(10*$G$13)</f>
        <v>0.16484205848165484</v>
      </c>
      <c r="H357" s="22"/>
      <c r="M357" s="21"/>
    </row>
    <row r="358" spans="1:13" x14ac:dyDescent="0.35">
      <c r="A358" s="36" t="s">
        <v>7</v>
      </c>
      <c r="B358" s="37">
        <v>1</v>
      </c>
      <c r="C358" s="37">
        <v>2</v>
      </c>
      <c r="D358" s="37">
        <v>3</v>
      </c>
      <c r="E358" s="37">
        <v>4</v>
      </c>
      <c r="F358" s="37">
        <v>5</v>
      </c>
      <c r="G358" s="37">
        <v>6</v>
      </c>
      <c r="H358" s="38">
        <v>7</v>
      </c>
      <c r="I358" s="38">
        <v>8</v>
      </c>
      <c r="J358" s="38">
        <v>9</v>
      </c>
      <c r="K358" s="38">
        <v>10</v>
      </c>
    </row>
    <row r="359" spans="1:13" x14ac:dyDescent="0.35">
      <c r="A359" s="44" t="s">
        <v>20</v>
      </c>
      <c r="B359" s="6">
        <v>3.95E-2</v>
      </c>
      <c r="C359" s="6">
        <v>4.2665016612330783E-2</v>
      </c>
      <c r="D359" s="6">
        <v>3.795855619289145E-2</v>
      </c>
      <c r="E359" s="6">
        <v>3.2965928411652974E-2</v>
      </c>
      <c r="F359" s="6">
        <v>2.4569542456934341E-2</v>
      </c>
      <c r="G359" s="6">
        <v>2.7830855689794473E-2</v>
      </c>
      <c r="H359" s="6">
        <v>2.7830855689794473E-2</v>
      </c>
      <c r="I359" s="6">
        <v>2.7830855689794473E-2</v>
      </c>
      <c r="J359" s="6">
        <v>2.7830855689794473E-2</v>
      </c>
      <c r="K359" s="6">
        <v>2.7830855689794473E-2</v>
      </c>
    </row>
    <row r="360" spans="1:13" x14ac:dyDescent="0.35">
      <c r="A360" s="45" t="s">
        <v>14</v>
      </c>
      <c r="B360" s="7">
        <f t="shared" ref="B360:K360" si="6">B14-0.001</f>
        <v>4.7967504599999995E-2</v>
      </c>
      <c r="C360" s="7">
        <f t="shared" si="6"/>
        <v>4.9461803200000001E-2</v>
      </c>
      <c r="D360" s="7">
        <f t="shared" si="6"/>
        <v>4.9263399400000005E-2</v>
      </c>
      <c r="E360" s="7">
        <f t="shared" si="6"/>
        <v>4.9259363139999998E-2</v>
      </c>
      <c r="F360" s="7">
        <f t="shared" si="6"/>
        <v>4.9535837651999995E-2</v>
      </c>
      <c r="G360" s="7">
        <f t="shared" si="6"/>
        <v>4.8018815999999999E-2</v>
      </c>
      <c r="H360" s="7">
        <f t="shared" si="6"/>
        <v>4.8018815999999999E-2</v>
      </c>
      <c r="I360" s="7">
        <f t="shared" si="6"/>
        <v>4.8018815999999999E-2</v>
      </c>
      <c r="J360" s="7">
        <f t="shared" si="6"/>
        <v>4.8018815999999999E-2</v>
      </c>
      <c r="K360" s="7">
        <f t="shared" si="6"/>
        <v>4.8018815999999999E-2</v>
      </c>
    </row>
    <row r="361" spans="1:13" x14ac:dyDescent="0.35">
      <c r="A361" s="41" t="s">
        <v>0</v>
      </c>
      <c r="B361" s="8">
        <f t="shared" ref="B361:K361" si="7">1/(1+B360)^B13</f>
        <v>0.99880269691139256</v>
      </c>
      <c r="C361" s="8">
        <f t="shared" si="7"/>
        <v>0.99886901627964353</v>
      </c>
      <c r="D361" s="8">
        <f t="shared" si="7"/>
        <v>0.99897960436181177</v>
      </c>
      <c r="E361" s="8">
        <f t="shared" si="7"/>
        <v>0.99881959650085606</v>
      </c>
      <c r="F361" s="8">
        <f t="shared" si="7"/>
        <v>0.99869480845062408</v>
      </c>
      <c r="G361" s="8">
        <f t="shared" si="7"/>
        <v>0.99872509150098032</v>
      </c>
      <c r="H361" s="8">
        <f t="shared" si="7"/>
        <v>0.99872509150098032</v>
      </c>
      <c r="I361" s="8">
        <f t="shared" si="7"/>
        <v>0.99872509150098032</v>
      </c>
      <c r="J361" s="8">
        <f t="shared" si="7"/>
        <v>0.99872509150098032</v>
      </c>
      <c r="K361" s="8">
        <f t="shared" si="7"/>
        <v>0.99872509150098032</v>
      </c>
      <c r="M361"/>
    </row>
    <row r="362" spans="1:13" x14ac:dyDescent="0.35">
      <c r="A362" s="42"/>
      <c r="B362" s="5"/>
      <c r="C362" s="5"/>
      <c r="D362" s="5"/>
      <c r="E362" s="5"/>
      <c r="F362" s="5"/>
      <c r="G362" s="10">
        <f>F370*EXP(10*$G$13)</f>
        <v>0.1717151305689468</v>
      </c>
      <c r="H362" s="22"/>
      <c r="M362" s="21"/>
    </row>
    <row r="363" spans="1:13" x14ac:dyDescent="0.35">
      <c r="A363" s="42"/>
      <c r="B363" s="5"/>
      <c r="C363" s="5"/>
      <c r="D363" s="5"/>
      <c r="E363" s="5"/>
      <c r="F363" s="5"/>
      <c r="G363" s="13">
        <f>(F370+$B$4)*EXP(10*$G$13)</f>
        <v>0.17434030457156902</v>
      </c>
      <c r="H363" s="22"/>
      <c r="M363" s="2">
        <f>MIN($B$8,(100+$B$7)/(1+G$360+$D$9/10000))+$B$7</f>
        <v>104.94476821301652</v>
      </c>
    </row>
    <row r="364" spans="1:13" x14ac:dyDescent="0.35">
      <c r="A364" s="42"/>
      <c r="B364" s="5"/>
      <c r="C364" s="5"/>
      <c r="D364" s="5"/>
      <c r="E364" s="5"/>
      <c r="F364" s="5"/>
      <c r="G364" s="10">
        <f>F371*EXP(10*$G$13)</f>
        <v>0.17515447603078585</v>
      </c>
      <c r="H364" s="22"/>
      <c r="M364" s="21"/>
    </row>
    <row r="365" spans="1:13" x14ac:dyDescent="0.35">
      <c r="A365" s="42"/>
      <c r="B365" s="5"/>
      <c r="C365" s="5"/>
      <c r="D365" s="5"/>
      <c r="E365" s="5"/>
      <c r="F365" s="5"/>
      <c r="G365" s="13">
        <f>(F371+$B$4)*EXP(10*$G$13)</f>
        <v>0.17777965003340807</v>
      </c>
      <c r="H365" s="22"/>
      <c r="M365" s="2">
        <f>MIN($B$8,(100+$B$7)/(1+G$360+$D$9/10000))+$B$7</f>
        <v>104.94476821301652</v>
      </c>
    </row>
    <row r="366" spans="1:13" x14ac:dyDescent="0.35">
      <c r="A366" s="42"/>
      <c r="B366" s="5"/>
      <c r="C366" s="5"/>
      <c r="D366" s="5"/>
      <c r="E366" s="5"/>
      <c r="F366" s="5"/>
      <c r="G366" s="10">
        <f>F372*EXP(10*$G$13)</f>
        <v>0.17611208084074656</v>
      </c>
      <c r="H366" s="22"/>
      <c r="M366" s="21"/>
    </row>
    <row r="367" spans="1:13" x14ac:dyDescent="0.35">
      <c r="A367" s="42"/>
      <c r="B367" s="5"/>
      <c r="C367" s="5"/>
      <c r="D367" s="5"/>
      <c r="E367" s="5"/>
      <c r="F367" s="5"/>
      <c r="G367" s="13">
        <f>(F372+$B$4)*EXP(10*$G$13)</f>
        <v>0.17873725484336878</v>
      </c>
      <c r="H367" s="22"/>
      <c r="M367" s="2">
        <f>MIN($B$8,(100+$B$7)/(1+G$360+$D$9/10000))+$B$7</f>
        <v>104.94476821301652</v>
      </c>
    </row>
    <row r="368" spans="1:13" x14ac:dyDescent="0.35">
      <c r="A368" s="46"/>
      <c r="B368" s="5"/>
      <c r="C368" s="5"/>
      <c r="D368" s="5"/>
      <c r="E368" s="5"/>
      <c r="F368" s="5"/>
      <c r="G368" s="10">
        <f>F373*EXP(10*$G$13)</f>
        <v>0.17955142630258555</v>
      </c>
      <c r="H368" s="22"/>
      <c r="M368" s="21"/>
    </row>
    <row r="369" spans="1:13" x14ac:dyDescent="0.35">
      <c r="A369" s="42"/>
      <c r="B369" s="5"/>
      <c r="C369" s="5"/>
      <c r="D369" s="5"/>
      <c r="E369" s="5"/>
      <c r="F369" s="5"/>
      <c r="G369" s="13">
        <f>(F373+$B$4)*EXP(10*$G$13)</f>
        <v>0.18217660030520777</v>
      </c>
      <c r="H369" s="20"/>
      <c r="I369" s="21"/>
      <c r="J369" s="21"/>
      <c r="K369" s="21"/>
      <c r="L369" s="21"/>
      <c r="M369" s="2">
        <f>MIN($B$8,(100+$B$7)/(1+G$360+$D$9/10000))+$B$7</f>
        <v>104.94476821301652</v>
      </c>
    </row>
    <row r="370" spans="1:13" x14ac:dyDescent="0.35">
      <c r="A370" s="42"/>
      <c r="B370" s="5"/>
      <c r="C370" s="5"/>
      <c r="D370" s="5"/>
      <c r="E370" s="5"/>
      <c r="F370" s="10">
        <f>E374*EXP(10*$F$13)</f>
        <v>0.13082190391754994</v>
      </c>
      <c r="G370" s="10">
        <f>F374*EXP(10*$G$13)</f>
        <v>0.18154899244887301</v>
      </c>
      <c r="I370" s="21"/>
      <c r="J370" s="21"/>
      <c r="K370" s="21"/>
      <c r="L370" s="2">
        <f>MIN($B$8,AVERAGE(M363:M365)/(1+F370+$D$9/10000))+$B$7</f>
        <v>97.678975453121581</v>
      </c>
      <c r="M370" s="21"/>
    </row>
    <row r="371" spans="1:13" x14ac:dyDescent="0.35">
      <c r="A371" s="42"/>
      <c r="B371" s="5"/>
      <c r="C371" s="5"/>
      <c r="D371" s="5"/>
      <c r="E371" s="5"/>
      <c r="F371" s="13">
        <f>(E374+$B$4)*EXP(10*$F$13)</f>
        <v>0.13344218391301202</v>
      </c>
      <c r="G371" s="13">
        <f>(F374+$B$4)*EXP(10*$G$13)</f>
        <v>0.18417416645149523</v>
      </c>
      <c r="J371" s="21"/>
      <c r="K371" s="21"/>
      <c r="L371" s="21"/>
      <c r="M371" s="2">
        <f>MIN($B$8,(100+$B$7)/(1+G$360+$D$9/10000))+$B$7</f>
        <v>104.94476821301652</v>
      </c>
    </row>
    <row r="372" spans="1:13" x14ac:dyDescent="0.35">
      <c r="A372" s="42"/>
      <c r="B372" s="5"/>
      <c r="C372" s="5"/>
      <c r="D372" s="5"/>
      <c r="E372" s="5"/>
      <c r="F372" s="10">
        <f>E375*EXP(10*$F$13)</f>
        <v>0.13417173921792069</v>
      </c>
      <c r="G372" s="10">
        <f>F375*EXP(10*$G$13)</f>
        <v>0.18498833791071201</v>
      </c>
      <c r="K372" s="21"/>
      <c r="L372" s="2">
        <f>MIN($B$8,AVERAGE(M365:M367)/(1+F372+$D$9/10000))+$B$7</f>
        <v>97.404874078313938</v>
      </c>
      <c r="M372" s="21"/>
    </row>
    <row r="373" spans="1:13" x14ac:dyDescent="0.35">
      <c r="A373" s="42"/>
      <c r="B373" s="5"/>
      <c r="C373" s="5"/>
      <c r="D373" s="5"/>
      <c r="E373" s="5"/>
      <c r="F373" s="13">
        <f>(E375+$B$4)*EXP(10*$F$13)</f>
        <v>0.13679201921338274</v>
      </c>
      <c r="G373" s="13">
        <f>(F375+$B$4)*EXP(10*$G$13)</f>
        <v>0.18761351191333425</v>
      </c>
      <c r="K373" s="2">
        <f>MIN($B$8,AVERAGE(L370:L372)/(1+E374+$D$9/10000))+$B$7</f>
        <v>93.561298329630588</v>
      </c>
      <c r="L373" s="21"/>
      <c r="M373" s="2">
        <f>MIN($B$8,(100+$B$7)/(1+G$360+$D$9/10000))+$B$7</f>
        <v>104.94476821301652</v>
      </c>
    </row>
    <row r="374" spans="1:13" x14ac:dyDescent="0.35">
      <c r="A374" s="42"/>
      <c r="B374" s="5"/>
      <c r="C374" s="5"/>
      <c r="D374" s="5"/>
      <c r="E374" s="10">
        <f>D375*EXP(10*$E$13)</f>
        <v>9.9853377611640051E-2</v>
      </c>
      <c r="F374" s="10">
        <f>E376*EXP(10*$F$13)</f>
        <v>0.13831387349374064</v>
      </c>
      <c r="G374" s="10">
        <f>F376*EXP(10*$G$13)</f>
        <v>0.18059138763891228</v>
      </c>
      <c r="K374" s="21"/>
      <c r="L374" s="2">
        <f>MIN($B$8,AVERAGE(M367:M369)/(1+F374+$D$9/10000))+$B$7</f>
        <v>97.068173303701798</v>
      </c>
      <c r="M374" s="21"/>
    </row>
    <row r="375" spans="1:13" x14ac:dyDescent="0.35">
      <c r="A375" s="46"/>
      <c r="B375" s="5"/>
      <c r="C375" s="5"/>
      <c r="D375" s="10">
        <f>C377*EXP(10*$D$13)</f>
        <v>7.8106469236306361E-2</v>
      </c>
      <c r="E375" s="13">
        <f>(D375+$B$4)*EXP(10*$E$13)</f>
        <v>0.10241023054809886</v>
      </c>
      <c r="F375" s="13">
        <f>(E376+$B$4)*EXP(10*$F$13)</f>
        <v>0.14093415348920268</v>
      </c>
      <c r="G375" s="13">
        <f>(F376+$B$4)*EXP(10*$G$13)</f>
        <v>0.18321656164153449</v>
      </c>
      <c r="K375" s="2">
        <f>MIN($B$8,AVERAGE(L374:L377)/(1+E377+$D$9/10000))+$B$7</f>
        <v>93.000935907544545</v>
      </c>
      <c r="L375" s="21"/>
      <c r="M375" s="2">
        <f>MIN($B$8,(100+$B$7)/(1+G$360+$D$9/10000))+$B$7</f>
        <v>104.94476821301652</v>
      </c>
    </row>
    <row r="376" spans="1:13" x14ac:dyDescent="0.35">
      <c r="A376" s="42"/>
      <c r="B376" s="5"/>
      <c r="C376" s="5"/>
      <c r="D376" s="13">
        <f>(C377+$B$4)*EXP(10*$D$13)</f>
        <v>8.0579506806458853E-2</v>
      </c>
      <c r="E376" s="13">
        <f>(D376+$B$4)*EXP(10*$E$13)</f>
        <v>0.10557182723470755</v>
      </c>
      <c r="F376" s="13">
        <f>(E377+$B$4)*EXP(10*$F$13)</f>
        <v>0.13758431818883193</v>
      </c>
      <c r="G376" s="13">
        <f>(F377+$B$4)*EXP(10*$G$13)</f>
        <v>0.17977721617969547</v>
      </c>
      <c r="H376" s="22"/>
      <c r="J376" s="2">
        <f>MIN($B$8,AVERAGE(K373:K375)/(1+D376+$D$9/10000))+$B$7</f>
        <v>91.200084393160736</v>
      </c>
      <c r="K376" s="21"/>
      <c r="L376" s="21"/>
      <c r="M376" s="21"/>
    </row>
    <row r="377" spans="1:13" x14ac:dyDescent="0.35">
      <c r="A377" s="42"/>
      <c r="B377" s="5"/>
      <c r="C377" s="23">
        <f>(B378+$B$4)*EXP(10*$C$13)</f>
        <v>6.3166423493914201E-2</v>
      </c>
      <c r="D377" s="5"/>
      <c r="E377" s="10">
        <f>D376*EXP(10*$E$13)</f>
        <v>0.10301497429824873</v>
      </c>
      <c r="F377" s="10">
        <f>E377*EXP(10*$F$13)</f>
        <v>0.13496403819336988</v>
      </c>
      <c r="G377" s="10">
        <f>F377*EXP(10*$G$13)</f>
        <v>0.17715204217707325</v>
      </c>
      <c r="H377" s="22"/>
      <c r="I377" s="2">
        <f>MIN($B$8,AVERAGE(J376:J376)/(1+C377+$D$9/10000))+$B$7</f>
        <v>90.656569449350457</v>
      </c>
      <c r="J377" s="21"/>
      <c r="K377" s="21"/>
      <c r="L377" s="2">
        <f>MIN($B$8,AVERAGE(M370:M372)/(1+F377+$D$9/10000))+$B$7</f>
        <v>97.340280556436909</v>
      </c>
      <c r="M377" s="2">
        <f>MIN($B$8,(100+$B$7)/(1+G$360+$D$9/10000))+$B$7</f>
        <v>104.94476821301652</v>
      </c>
    </row>
    <row r="378" spans="1:13" x14ac:dyDescent="0.35">
      <c r="A378" s="42"/>
      <c r="B378" s="10">
        <f>B360</f>
        <v>4.7967504599999995E-2</v>
      </c>
      <c r="C378" s="19"/>
      <c r="D378" s="5"/>
      <c r="E378" s="5"/>
      <c r="F378" s="5"/>
      <c r="G378" s="5"/>
      <c r="H378" s="3" t="e">
        <f>AVERAGE(I378:I379)/(1+B378+$G$5/10000)</f>
        <v>#VALUE!</v>
      </c>
    </row>
    <row r="379" spans="1:13" x14ac:dyDescent="0.35">
      <c r="A379" s="42"/>
      <c r="B379" s="5"/>
      <c r="C379" s="23">
        <f>(B378-$B$4)*EXP(10*$C$13)</f>
        <v>5.8109823289475386E-2</v>
      </c>
      <c r="D379" s="5"/>
      <c r="E379" s="10">
        <f>D380*EXP(10*$E$13)</f>
        <v>8.8698315699102082E-2</v>
      </c>
      <c r="F379" s="10">
        <f>E379*EXP(10*$F$13)</f>
        <v>0.11620721112876793</v>
      </c>
      <c r="G379" s="10">
        <f>F379*EXP(10*$G$13)</f>
        <v>0.15253207478623634</v>
      </c>
      <c r="H379" s="22"/>
      <c r="I379" s="2">
        <f>MIN($B$8,AVERAGE(J380:J380)/(1+C379+$D$9/10000))+$B$7</f>
        <v>93.731724390526011</v>
      </c>
      <c r="J379" s="21"/>
      <c r="K379" s="21"/>
      <c r="L379" s="2">
        <f>MIN($B$8,AVERAGE(M372:M374)/(1+F379+$D$9/10000))+$B$7</f>
        <v>98.89407384820673</v>
      </c>
      <c r="M379" s="2">
        <f>MIN($B$8,(100+$B$7)/(1+G$360+$D$9/10000))+$B$7</f>
        <v>104.94476821301652</v>
      </c>
    </row>
    <row r="380" spans="1:13" x14ac:dyDescent="0.35">
      <c r="A380" s="42"/>
      <c r="B380" s="5"/>
      <c r="C380" s="5"/>
      <c r="D380" s="24">
        <f>(C379-$B$4)*EXP(10*$D$13)</f>
        <v>6.9380850524744894E-2</v>
      </c>
      <c r="E380" s="23">
        <f>(D380-$B$4)*EXP(10*$E$13)</f>
        <v>8.614146276264327E-2</v>
      </c>
      <c r="F380" s="23">
        <f>(E379-$B$4)*EXP(10*$E$13)</f>
        <v>0.1108374215406413</v>
      </c>
      <c r="G380" s="23">
        <f>(F379-$B$4)*EXP(10*$G$13)</f>
        <v>0.14990690078361413</v>
      </c>
      <c r="H380" s="22"/>
      <c r="J380" s="2">
        <f>MIN($B$8,AVERAGE(K381:K383)/(1+D381+$D$9/10000))+$B$7</f>
        <v>94.020172942941102</v>
      </c>
      <c r="K380" s="21"/>
      <c r="L380" s="21"/>
      <c r="M380" s="21"/>
    </row>
    <row r="381" spans="1:13" x14ac:dyDescent="0.35">
      <c r="A381" s="42"/>
      <c r="B381" s="5"/>
      <c r="C381" s="5"/>
      <c r="D381" s="10">
        <f>C379*EXP(10*$D$13)</f>
        <v>7.1853888094897386E-2</v>
      </c>
      <c r="E381" s="23">
        <f>(D381-$B$4)*EXP(10*$E$13)</f>
        <v>8.9303059449251945E-2</v>
      </c>
      <c r="F381" s="23">
        <f>(E380-$B$4)*EXP(10*$E$13)</f>
        <v>0.10756867307130227</v>
      </c>
      <c r="G381" s="23">
        <f>(F380-$B$4)*EXP(10*$G$13)</f>
        <v>0.1428585847704634</v>
      </c>
      <c r="H381" s="22"/>
      <c r="K381" s="2">
        <f>MIN($B$8,AVERAGE(L379:L382)/(1+E379+$D$9/10000))+$B$7</f>
        <v>95.84196193243902</v>
      </c>
      <c r="L381" s="21"/>
      <c r="M381" s="2">
        <f>MIN($B$8,(100+$B$7)/(1+G$360+$D$9/10000))+$B$7</f>
        <v>104.94476821301652</v>
      </c>
    </row>
    <row r="382" spans="1:13" x14ac:dyDescent="0.35">
      <c r="A382" s="46"/>
      <c r="B382" s="5"/>
      <c r="C382" s="5"/>
      <c r="D382" s="5"/>
      <c r="E382" s="10">
        <f>D381*EXP(10*$E$13)</f>
        <v>9.1859912385710771E-2</v>
      </c>
      <c r="F382" s="10">
        <f>E380*EXP(10*$F$13)</f>
        <v>0.11285737582839721</v>
      </c>
      <c r="G382" s="10">
        <f>F380*EXP(10*$G$13)</f>
        <v>0.14548375877308561</v>
      </c>
      <c r="H382" s="22"/>
      <c r="K382" s="21"/>
      <c r="L382" s="2">
        <f>MIN($B$8,AVERAGE(M375:M377)/(1+F382+$D$9/10000))+$B$7</f>
        <v>99.17708263201466</v>
      </c>
      <c r="M382" s="21"/>
    </row>
    <row r="383" spans="1:13" x14ac:dyDescent="0.35">
      <c r="A383" s="42"/>
      <c r="B383" s="5"/>
      <c r="C383" s="5"/>
      <c r="D383" s="5"/>
      <c r="E383" s="5"/>
      <c r="F383" s="23">
        <f>(E381-$B$4)*EXP(10*$E$13)</f>
        <v>0.11161054195732921</v>
      </c>
      <c r="G383" s="23">
        <f>(F381-$B$4)*EXP(10*$G$13)</f>
        <v>0.13856806801905339</v>
      </c>
      <c r="H383" s="20"/>
      <c r="I383" s="21"/>
      <c r="J383" s="21"/>
      <c r="K383" s="2">
        <f>MIN($B$8,AVERAGE(L384:L386)/(1+E382+$D$9/10000))+$B$7</f>
        <v>95.259238515127905</v>
      </c>
      <c r="L383" s="21"/>
      <c r="M383" s="2">
        <f>MIN($B$8,(100+$B$7)/(1+G$360+$D$9/10000))+$B$7</f>
        <v>104.94476821301652</v>
      </c>
    </row>
    <row r="384" spans="1:13" x14ac:dyDescent="0.35">
      <c r="A384" s="42"/>
      <c r="B384" s="5"/>
      <c r="C384" s="5"/>
      <c r="D384" s="5"/>
      <c r="E384" s="5"/>
      <c r="F384" s="10">
        <f>E381*EXP(10*$F$13)</f>
        <v>0.11699951010421714</v>
      </c>
      <c r="G384" s="10">
        <f>F381*EXP(10*$G$13)</f>
        <v>0.1411932420216756</v>
      </c>
      <c r="I384" s="21"/>
      <c r="J384" s="21"/>
      <c r="K384" s="21"/>
      <c r="L384" s="2">
        <f>MIN($B$8,AVERAGE(M377:M379)/(1+F384+$D$9/10000))+$B$7</f>
        <v>98.827385174479673</v>
      </c>
      <c r="M384" s="21"/>
    </row>
    <row r="385" spans="1:13" x14ac:dyDescent="0.35">
      <c r="A385" s="42"/>
      <c r="B385" s="5"/>
      <c r="C385" s="5"/>
      <c r="D385" s="5"/>
      <c r="E385" s="5"/>
      <c r="F385" s="23">
        <f>(E382-$B$4)*EXP(10*$E$13)</f>
        <v>0.11487929042666825</v>
      </c>
      <c r="G385" s="23">
        <f>(F382-$B$4)*EXP(10*$G$13)</f>
        <v>0.14550995051181442</v>
      </c>
      <c r="J385" s="21"/>
      <c r="K385" s="21"/>
      <c r="L385" s="21"/>
      <c r="M385" s="2">
        <f>MIN($B$8,(100+$B$7)/(1+G$360+$D$9/10000))+$B$7</f>
        <v>104.94476821301652</v>
      </c>
    </row>
    <row r="386" spans="1:13" x14ac:dyDescent="0.35">
      <c r="A386" s="42"/>
      <c r="B386" s="5"/>
      <c r="C386" s="5"/>
      <c r="D386" s="5"/>
      <c r="E386" s="5"/>
      <c r="F386" s="10">
        <f>E382*EXP(10*$F$13)</f>
        <v>0.12034934540458789</v>
      </c>
      <c r="G386" s="10">
        <f>F382*EXP(10*$G$13)</f>
        <v>0.14813512451443664</v>
      </c>
      <c r="K386" s="21"/>
      <c r="L386" s="2">
        <f>MIN($B$8,AVERAGE(M379:M381)/(1+F386+$D$9/10000))+$B$7</f>
        <v>98.546468317873817</v>
      </c>
      <c r="M386" s="21"/>
    </row>
    <row r="387" spans="1:13" x14ac:dyDescent="0.35">
      <c r="A387" s="42"/>
      <c r="B387" s="5"/>
      <c r="C387" s="5"/>
      <c r="D387" s="5"/>
      <c r="E387" s="5"/>
      <c r="F387" s="5"/>
      <c r="G387" s="23">
        <f>(F383-$B$4)*EXP(10*$G$13)</f>
        <v>0.14387337257985616</v>
      </c>
      <c r="L387" s="21"/>
      <c r="M387" s="2">
        <f>MIN($B$8,(100+$B$7)/(1+G$360+$D$9/10000))+$B$7</f>
        <v>104.94476821301652</v>
      </c>
    </row>
    <row r="388" spans="1:13" x14ac:dyDescent="0.35">
      <c r="A388" s="42"/>
      <c r="B388" s="5"/>
      <c r="C388" s="5"/>
      <c r="D388" s="5"/>
      <c r="E388" s="5"/>
      <c r="F388" s="5"/>
      <c r="G388" s="10">
        <f>F383*EXP(10*$G$13)</f>
        <v>0.14649854658247838</v>
      </c>
      <c r="M388" s="21"/>
    </row>
    <row r="389" spans="1:13" x14ac:dyDescent="0.35">
      <c r="A389" s="46"/>
      <c r="B389" s="5"/>
      <c r="C389" s="5"/>
      <c r="D389" s="5"/>
      <c r="E389" s="5"/>
      <c r="F389" s="5"/>
      <c r="G389" s="23">
        <f>(F384-0.001)*EXP(10*$G$13)</f>
        <v>0.15225944912125197</v>
      </c>
      <c r="M389" s="2">
        <f>MIN($B$8,(100+$B$7)/(1+G$360+$D$9/10000))+$B$7</f>
        <v>104.94476821301652</v>
      </c>
    </row>
    <row r="390" spans="1:13" x14ac:dyDescent="0.35">
      <c r="A390" s="42"/>
      <c r="B390" s="5"/>
      <c r="C390" s="5"/>
      <c r="D390" s="5"/>
      <c r="E390" s="5"/>
      <c r="F390" s="5"/>
      <c r="G390" s="10">
        <f>F384*EXP(10*$G$13)</f>
        <v>0.15357203612256309</v>
      </c>
      <c r="H390" s="22"/>
      <c r="M390" s="21"/>
    </row>
    <row r="391" spans="1:13" x14ac:dyDescent="0.35">
      <c r="A391" s="42"/>
      <c r="B391" s="5"/>
      <c r="C391" s="5"/>
      <c r="D391" s="5"/>
      <c r="E391" s="5"/>
      <c r="F391" s="5"/>
      <c r="G391" s="23">
        <f>(F385-$B$4)*EXP(10*$G$13)</f>
        <v>0.14816388933126617</v>
      </c>
      <c r="H391" s="22"/>
      <c r="M391" s="2">
        <f>MIN($B$8,(100+$B$7)/(1+G$360+$D$9/10000))+$B$7</f>
        <v>104.94476821301652</v>
      </c>
    </row>
    <row r="392" spans="1:13" x14ac:dyDescent="0.35">
      <c r="A392" s="42"/>
      <c r="B392" s="5"/>
      <c r="C392" s="5"/>
      <c r="D392" s="5"/>
      <c r="E392" s="5"/>
      <c r="F392" s="5"/>
      <c r="G392" s="10">
        <f>F385*EXP(10*$G$13)</f>
        <v>0.15078906333388839</v>
      </c>
      <c r="H392" s="22"/>
      <c r="M392" s="21"/>
    </row>
    <row r="393" spans="1:13" x14ac:dyDescent="0.35">
      <c r="A393" s="42"/>
      <c r="B393" s="5"/>
      <c r="C393" s="5"/>
      <c r="D393" s="5"/>
      <c r="E393" s="5"/>
      <c r="F393" s="5"/>
      <c r="G393" s="23">
        <f>(F386-$B$4)*EXP(10*$G$13)</f>
        <v>0.15534381239174061</v>
      </c>
      <c r="H393" s="22"/>
      <c r="M393" s="2">
        <f>MIN($B$8,(100+$B$7)/(1+G$360+$D$9/10000))+$B$7</f>
        <v>104.94476821301652</v>
      </c>
    </row>
    <row r="394" spans="1:13" x14ac:dyDescent="0.35">
      <c r="A394" s="42"/>
      <c r="B394" s="5"/>
      <c r="C394" s="5"/>
      <c r="D394" s="5"/>
      <c r="E394" s="5"/>
      <c r="F394" s="5"/>
      <c r="G394" s="10">
        <f>F386*EXP(10*$G$13)</f>
        <v>0.15796898639436283</v>
      </c>
      <c r="H394" s="22"/>
      <c r="M394" s="21"/>
    </row>
    <row r="395" spans="1:13" x14ac:dyDescent="0.35">
      <c r="A395" s="36" t="s">
        <v>7</v>
      </c>
      <c r="B395" s="37">
        <v>1</v>
      </c>
      <c r="C395" s="37">
        <v>2</v>
      </c>
      <c r="D395" s="37">
        <v>3</v>
      </c>
      <c r="E395" s="37">
        <v>4</v>
      </c>
      <c r="F395" s="37">
        <v>5</v>
      </c>
      <c r="G395" s="37">
        <v>6</v>
      </c>
      <c r="H395" s="38">
        <v>7</v>
      </c>
      <c r="I395" s="38">
        <v>8</v>
      </c>
      <c r="J395" s="38">
        <v>9</v>
      </c>
      <c r="K395" s="38">
        <v>10</v>
      </c>
    </row>
    <row r="396" spans="1:13" x14ac:dyDescent="0.35">
      <c r="A396" s="41" t="s">
        <v>21</v>
      </c>
      <c r="B396" s="30">
        <f t="shared" ref="B396:K396" si="8">B13+0.001</f>
        <v>2.657E-2</v>
      </c>
      <c r="C396" s="30">
        <f t="shared" si="8"/>
        <v>2.444E-2</v>
      </c>
      <c r="D396" s="30">
        <f t="shared" si="8"/>
        <v>2.223E-2</v>
      </c>
      <c r="E396" s="30">
        <f t="shared" si="8"/>
        <v>2.5563000000000002E-2</v>
      </c>
      <c r="F396" s="30">
        <f t="shared" si="8"/>
        <v>2.8013400000000001E-2</v>
      </c>
      <c r="G396" s="30">
        <f t="shared" si="8"/>
        <v>2.8199999999999999E-2</v>
      </c>
      <c r="H396" s="30">
        <f t="shared" si="8"/>
        <v>2.8199999999999999E-2</v>
      </c>
      <c r="I396" s="30">
        <f t="shared" si="8"/>
        <v>2.8199999999999999E-2</v>
      </c>
      <c r="J396" s="30">
        <f t="shared" si="8"/>
        <v>2.8199999999999999E-2</v>
      </c>
      <c r="K396" s="30">
        <f t="shared" si="8"/>
        <v>2.8199999999999999E-2</v>
      </c>
    </row>
    <row r="397" spans="1:13" x14ac:dyDescent="0.35">
      <c r="A397" s="41" t="s">
        <v>9</v>
      </c>
      <c r="B397" s="6">
        <f t="shared" ref="B397:K397" si="9">B14</f>
        <v>4.8967504599999996E-2</v>
      </c>
      <c r="C397" s="6">
        <f t="shared" si="9"/>
        <v>5.0461803200000002E-2</v>
      </c>
      <c r="D397" s="6">
        <f t="shared" si="9"/>
        <v>5.0263399400000006E-2</v>
      </c>
      <c r="E397" s="6">
        <f t="shared" si="9"/>
        <v>5.0259363139999999E-2</v>
      </c>
      <c r="F397" s="6">
        <f t="shared" si="9"/>
        <v>5.0535837651999996E-2</v>
      </c>
      <c r="G397" s="6">
        <f t="shared" si="9"/>
        <v>4.9018816E-2</v>
      </c>
      <c r="H397" s="6">
        <f t="shared" si="9"/>
        <v>4.9018816E-2</v>
      </c>
      <c r="I397" s="6">
        <f t="shared" si="9"/>
        <v>4.9018816E-2</v>
      </c>
      <c r="J397" s="6">
        <f t="shared" si="9"/>
        <v>4.9018816E-2</v>
      </c>
      <c r="K397" s="6">
        <f t="shared" si="9"/>
        <v>4.9018816E-2</v>
      </c>
      <c r="M397"/>
    </row>
    <row r="398" spans="1:13" x14ac:dyDescent="0.35">
      <c r="A398" s="41" t="s">
        <v>0</v>
      </c>
      <c r="B398" s="8">
        <f t="shared" ref="B398:K398" si="10">1/(1+B397)^B13</f>
        <v>0.99877833843069619</v>
      </c>
      <c r="C398" s="8">
        <f t="shared" si="10"/>
        <v>0.99884671715400541</v>
      </c>
      <c r="D398" s="8">
        <f t="shared" si="10"/>
        <v>0.99895940159596641</v>
      </c>
      <c r="E398" s="8">
        <f t="shared" si="10"/>
        <v>0.99879622569661664</v>
      </c>
      <c r="F398" s="8">
        <f t="shared" si="10"/>
        <v>0.99866911618718801</v>
      </c>
      <c r="G398" s="8">
        <f t="shared" si="10"/>
        <v>0.99869918355180098</v>
      </c>
      <c r="H398" s="8">
        <f t="shared" si="10"/>
        <v>0.99869918355180098</v>
      </c>
      <c r="I398" s="8">
        <f t="shared" si="10"/>
        <v>0.99869918355180098</v>
      </c>
      <c r="J398" s="8">
        <f t="shared" si="10"/>
        <v>0.99869918355180098</v>
      </c>
      <c r="K398" s="8">
        <f t="shared" si="10"/>
        <v>0.99869918355180098</v>
      </c>
      <c r="L398" s="21"/>
      <c r="M398" s="21"/>
    </row>
    <row r="399" spans="1:13" x14ac:dyDescent="0.35">
      <c r="A399" s="47"/>
      <c r="B399" s="5"/>
      <c r="C399" s="5"/>
      <c r="D399" s="5"/>
      <c r="E399" s="5"/>
      <c r="F399" s="5"/>
      <c r="G399" s="10">
        <f>F407*EXP(10*$G$13)</f>
        <v>0.17515166661259279</v>
      </c>
      <c r="I399" s="21"/>
      <c r="J399" s="21"/>
      <c r="K399" s="21"/>
      <c r="L399" s="21"/>
      <c r="M399" s="21"/>
    </row>
    <row r="400" spans="1:13" x14ac:dyDescent="0.35">
      <c r="A400" s="47"/>
      <c r="B400" s="5"/>
      <c r="C400" s="5"/>
      <c r="D400" s="5"/>
      <c r="E400" s="5"/>
      <c r="F400" s="5"/>
      <c r="G400" s="13">
        <f>(F407+$B$4)*EXP(10*$G$13)</f>
        <v>0.17777684061521501</v>
      </c>
      <c r="H400" s="22"/>
      <c r="M400" s="2">
        <f>MIN($B$8,(100+$B$7)/(1+G$397+$D$9/10000))+$B$7</f>
        <v>104.84937453018955</v>
      </c>
    </row>
    <row r="401" spans="1:13" x14ac:dyDescent="0.35">
      <c r="A401" s="47"/>
      <c r="B401" s="5"/>
      <c r="C401" s="5"/>
      <c r="D401" s="5"/>
      <c r="E401" s="5"/>
      <c r="F401" s="5"/>
      <c r="G401" s="10">
        <f>F408*EXP(10*$G$13)</f>
        <v>0.17859101207443182</v>
      </c>
      <c r="H401" s="22"/>
      <c r="M401" s="21"/>
    </row>
    <row r="402" spans="1:13" x14ac:dyDescent="0.35">
      <c r="A402" s="47"/>
      <c r="B402" s="5"/>
      <c r="C402" s="5"/>
      <c r="D402" s="5"/>
      <c r="E402" s="5"/>
      <c r="F402" s="5"/>
      <c r="G402" s="13">
        <f>(F408+$B$4)*EXP(10*$G$13)</f>
        <v>0.18121618607705403</v>
      </c>
      <c r="H402" s="22"/>
      <c r="M402" s="2">
        <f>MIN($B$8,(100+$B$7)/(1+G$397+$D$9/10000))+$B$7</f>
        <v>104.84937453018955</v>
      </c>
    </row>
    <row r="403" spans="1:13" x14ac:dyDescent="0.35">
      <c r="A403" s="47"/>
      <c r="B403" s="5"/>
      <c r="C403" s="5"/>
      <c r="D403" s="5"/>
      <c r="E403" s="5"/>
      <c r="F403" s="5"/>
      <c r="G403" s="10">
        <f>F409*EXP(10*$G$13)</f>
        <v>0.1795486168843925</v>
      </c>
      <c r="H403" s="22"/>
      <c r="M403" s="21"/>
    </row>
    <row r="404" spans="1:13" x14ac:dyDescent="0.35">
      <c r="A404" s="47"/>
      <c r="B404" s="5"/>
      <c r="C404" s="5"/>
      <c r="D404" s="5"/>
      <c r="E404" s="5"/>
      <c r="F404" s="5"/>
      <c r="G404" s="13">
        <f>(F409+$B$4)*EXP(10*$G$13)</f>
        <v>0.18217379088701471</v>
      </c>
      <c r="H404" s="22"/>
      <c r="M404" s="2">
        <f>MIN($B$8,(100+$B$7)/(1+G$397+$D$9/10000))+$B$7</f>
        <v>104.84937453018955</v>
      </c>
    </row>
    <row r="405" spans="1:13" x14ac:dyDescent="0.35">
      <c r="A405" s="48"/>
      <c r="B405" s="5"/>
      <c r="C405" s="5"/>
      <c r="D405" s="5"/>
      <c r="E405" s="5"/>
      <c r="F405" s="5"/>
      <c r="G405" s="10">
        <f>F410*EXP(10*$G$13)</f>
        <v>0.18298796234623155</v>
      </c>
      <c r="H405" s="22"/>
      <c r="M405" s="21"/>
    </row>
    <row r="406" spans="1:13" x14ac:dyDescent="0.35">
      <c r="A406" s="48"/>
      <c r="B406" s="5"/>
      <c r="C406" s="5"/>
      <c r="D406" s="5"/>
      <c r="E406" s="5"/>
      <c r="F406" s="5"/>
      <c r="G406" s="13">
        <f>(F410+$B$4)*EXP(10*$G$13)</f>
        <v>0.18561313634885376</v>
      </c>
      <c r="H406" s="20"/>
      <c r="I406" s="21"/>
      <c r="J406" s="21"/>
      <c r="K406" s="21"/>
      <c r="L406" s="21"/>
      <c r="M406" s="2">
        <f>MIN($B$8,(100+$B$7)/(1+G$397+$D$9/10000))+$B$7</f>
        <v>104.84937453018955</v>
      </c>
    </row>
    <row r="407" spans="1:13" x14ac:dyDescent="0.35">
      <c r="A407" s="48"/>
      <c r="B407" s="5"/>
      <c r="C407" s="5"/>
      <c r="D407" s="5"/>
      <c r="E407" s="5"/>
      <c r="F407" s="10">
        <f>E411*EXP(10*$F$13)</f>
        <v>0.13344004354579045</v>
      </c>
      <c r="G407" s="10">
        <f>F411*EXP(10*$G$13)</f>
        <v>0.18498552849251895</v>
      </c>
      <c r="I407" s="21"/>
      <c r="J407" s="21"/>
      <c r="K407" s="21"/>
      <c r="L407" s="2">
        <f>MIN($B$8,AVERAGE(M400:M402)/(1+F407+$D$9/10000))+$B$7</f>
        <v>97.380444048177992</v>
      </c>
      <c r="M407" s="21"/>
    </row>
    <row r="408" spans="1:13" x14ac:dyDescent="0.35">
      <c r="A408" s="49"/>
      <c r="B408" s="5"/>
      <c r="C408" s="5"/>
      <c r="D408" s="5"/>
      <c r="E408" s="5"/>
      <c r="F408" s="13">
        <f>(E411+$B$4)*EXP(10*$F$13)</f>
        <v>0.1360603235412525</v>
      </c>
      <c r="G408" s="13">
        <f>(F411+$B$4)*EXP(10*$G$13)</f>
        <v>0.18761070249514117</v>
      </c>
      <c r="J408" s="21"/>
      <c r="K408" s="21"/>
      <c r="L408" s="21"/>
      <c r="M408" s="2">
        <f>MIN($B$8,(100+$B$7)/(1+G$397+$D$9/10000))+$B$7</f>
        <v>104.84937453018955</v>
      </c>
    </row>
    <row r="409" spans="1:13" x14ac:dyDescent="0.35">
      <c r="A409" s="49"/>
      <c r="B409" s="5"/>
      <c r="C409" s="5"/>
      <c r="D409" s="5"/>
      <c r="E409" s="5"/>
      <c r="F409" s="10">
        <f>E412*EXP(10*$F$13)</f>
        <v>0.13678987884616117</v>
      </c>
      <c r="G409" s="10">
        <f>F412*EXP(10*$G$13)</f>
        <v>0.188424873954358</v>
      </c>
      <c r="K409" s="21"/>
      <c r="L409" s="2">
        <f>MIN($B$8,AVERAGE(M402:M404)/(1+F409+$D$9/10000))+$B$7</f>
        <v>97.107853653316653</v>
      </c>
      <c r="M409" s="21"/>
    </row>
    <row r="410" spans="1:13" x14ac:dyDescent="0.35">
      <c r="A410" s="49"/>
      <c r="B410" s="5"/>
      <c r="C410" s="5"/>
      <c r="D410" s="5"/>
      <c r="E410" s="5"/>
      <c r="F410" s="13">
        <f>(E412+$B$4)*EXP(10*$F$13)</f>
        <v>0.13941015884162325</v>
      </c>
      <c r="G410" s="13">
        <f>(F412+$B$4)*EXP(10*$G$13)</f>
        <v>0.19105004795698022</v>
      </c>
      <c r="K410" s="2">
        <f>MIN($B$8,AVERAGE(L407:L409)/(1+E411+$D$9/10000))+$B$7</f>
        <v>93.130202560149016</v>
      </c>
      <c r="L410" s="21"/>
      <c r="M410" s="2">
        <f>MIN($B$8,(100+$B$7)/(1+G$397+$D$9/10000))+$B$7</f>
        <v>104.84937453018955</v>
      </c>
    </row>
    <row r="411" spans="1:13" x14ac:dyDescent="0.35">
      <c r="A411" s="49"/>
      <c r="B411" s="5"/>
      <c r="C411" s="5"/>
      <c r="D411" s="5"/>
      <c r="E411" s="10">
        <f>D412*EXP(10*$E$13)</f>
        <v>0.10185174391812235</v>
      </c>
      <c r="F411" s="10">
        <f>E413*EXP(10*$F$13)</f>
        <v>0.14093201312198111</v>
      </c>
      <c r="G411" s="10">
        <f>F413*EXP(10*$G$13)</f>
        <v>0.18402792368255827</v>
      </c>
      <c r="K411" s="21"/>
      <c r="L411" s="2">
        <f>MIN($B$8,AVERAGE(M404:M406)/(1+F411+$D$9/10000))+$B$7</f>
        <v>96.773003846246468</v>
      </c>
      <c r="M411" s="21"/>
    </row>
    <row r="412" spans="1:13" x14ac:dyDescent="0.35">
      <c r="A412" s="49"/>
      <c r="B412" s="5"/>
      <c r="C412" s="5"/>
      <c r="D412" s="10">
        <f>C414*EXP(10*$D$13)</f>
        <v>7.9669614521658591E-2</v>
      </c>
      <c r="E412" s="13">
        <f>(D412+$B$4)*EXP(10*$E$13)</f>
        <v>0.10440859685458116</v>
      </c>
      <c r="F412" s="13">
        <f>(E413+$B$4)*EXP(10*$F$13)</f>
        <v>0.14355229311744319</v>
      </c>
      <c r="G412" s="13">
        <f>(F413+$B$4)*EXP(10*$G$13)</f>
        <v>0.18665309768518049</v>
      </c>
      <c r="K412" s="2">
        <f>MIN($B$8,AVERAGE(L411:L414)/(1+E414+$D$9/10000))+$B$7</f>
        <v>92.573769048776825</v>
      </c>
      <c r="L412" s="21"/>
      <c r="M412" s="2">
        <f>MIN($B$8,(100+$B$7)/(1+G$397+$D$9/10000))+$B$7</f>
        <v>104.84937453018955</v>
      </c>
    </row>
    <row r="413" spans="1:13" x14ac:dyDescent="0.35">
      <c r="A413" s="49"/>
      <c r="B413" s="5"/>
      <c r="C413" s="5"/>
      <c r="D413" s="13">
        <f>(C414+$B$4)*EXP(10*$D$13)</f>
        <v>8.2142652091811083E-2</v>
      </c>
      <c r="E413" s="13">
        <f>(D413+$B$4)*EXP(10*$E$13)</f>
        <v>0.10757019354118985</v>
      </c>
      <c r="F413" s="13">
        <f>(E414+$B$4)*EXP(10*$F$13)</f>
        <v>0.14020245781707244</v>
      </c>
      <c r="G413" s="13">
        <f>(F414+$B$4)*EXP(10*$G$13)</f>
        <v>0.18321375222334146</v>
      </c>
      <c r="H413" s="22"/>
      <c r="J413" s="2">
        <f>MIN($B$8,AVERAGE(K410:K412)/(1+D413+$D$9/10000))+$B$7</f>
        <v>90.678831523484916</v>
      </c>
      <c r="K413" s="21"/>
      <c r="L413" s="21"/>
      <c r="M413" s="21"/>
    </row>
    <row r="414" spans="1:13" x14ac:dyDescent="0.35">
      <c r="A414" s="49"/>
      <c r="B414" s="5"/>
      <c r="C414" s="23">
        <f>(B415+$B$4)*EXP(10*$C$13)</f>
        <v>6.4430573545023892E-2</v>
      </c>
      <c r="D414" s="5"/>
      <c r="E414" s="10">
        <f>D413*EXP(10*$E$13)</f>
        <v>0.10501334060473104</v>
      </c>
      <c r="F414" s="10">
        <f>E414*EXP(10*$F$13)</f>
        <v>0.13758217782161039</v>
      </c>
      <c r="G414" s="10">
        <f>F414*EXP(10*$G$13)</f>
        <v>0.18058857822071925</v>
      </c>
      <c r="H414" s="22"/>
      <c r="I414" s="2">
        <f>MIN($B$8,AVERAGE(J413:J413)/(1+C414+$D$9/10000))+$B$7</f>
        <v>90.064991510187795</v>
      </c>
      <c r="J414" s="21"/>
      <c r="K414" s="21"/>
      <c r="L414" s="2">
        <f>MIN($B$8,AVERAGE(M407:M409)/(1+F414+$D$9/10000))+$B$7</f>
        <v>97.043615660776879</v>
      </c>
      <c r="M414" s="2">
        <f>MIN($B$8,(100+$B$7)/(1+G$397+$D$9/10000))+$B$7</f>
        <v>104.84937453018955</v>
      </c>
    </row>
    <row r="415" spans="1:13" x14ac:dyDescent="0.35">
      <c r="A415" s="49"/>
      <c r="B415" s="10">
        <f>B397</f>
        <v>4.8967504599999996E-2</v>
      </c>
      <c r="C415" s="19"/>
      <c r="D415" s="5"/>
      <c r="E415" s="5"/>
      <c r="F415" s="5"/>
      <c r="G415" s="5"/>
      <c r="H415" s="3" t="e">
        <f>AVERAGE(I415:I416)/(1+B415+$G$5/10000)</f>
        <v>#VALUE!</v>
      </c>
    </row>
    <row r="416" spans="1:13" x14ac:dyDescent="0.35">
      <c r="A416" s="49"/>
      <c r="B416" s="5"/>
      <c r="C416" s="23">
        <f>(B415-$B$4)*EXP(10*$C$13)</f>
        <v>5.9373973340585091E-2</v>
      </c>
      <c r="D416" s="5"/>
      <c r="E416" s="10">
        <f>D417*EXP(10*$E$13)</f>
        <v>9.0696682005584395E-2</v>
      </c>
      <c r="F416" s="10">
        <f>E416*EXP(10*$F$13)</f>
        <v>0.11882535075700845</v>
      </c>
      <c r="G416" s="10">
        <f>F416*EXP(10*$G$13)</f>
        <v>0.15596861082988236</v>
      </c>
      <c r="H416" s="22"/>
      <c r="I416" s="2">
        <f>MIN($B$8,AVERAGE(J417:J417)/(1+C416+$D$9/10000))+$B$7</f>
        <v>93.111632605469282</v>
      </c>
      <c r="J416" s="21"/>
      <c r="K416" s="21"/>
      <c r="L416" s="2">
        <f>MIN($B$8,AVERAGE(M409:M411)/(1+F416+$D$9/10000))+$B$7</f>
        <v>98.588799440857684</v>
      </c>
      <c r="M416" s="2">
        <f>MIN($B$8,(100+$B$7)/(1+G$397+$D$9/10000))+$B$7</f>
        <v>104.84937453018955</v>
      </c>
    </row>
    <row r="417" spans="1:13" x14ac:dyDescent="0.35">
      <c r="A417" s="49"/>
      <c r="B417" s="5"/>
      <c r="C417" s="5"/>
      <c r="D417" s="24">
        <f>(C416-$B$4)*EXP(10*$D$13)</f>
        <v>7.0943995810097138E-2</v>
      </c>
      <c r="E417" s="23">
        <f>(D417-$B$4)*EXP(10*$E$13)</f>
        <v>8.8139829069125583E-2</v>
      </c>
      <c r="F417" s="23">
        <f>(E416-$B$4)*EXP(10*$E$13)</f>
        <v>0.11339218592006614</v>
      </c>
      <c r="G417" s="23">
        <f>(F416-$B$4)*EXP(10*$G$13)</f>
        <v>0.15334343682726015</v>
      </c>
      <c r="H417" s="22"/>
      <c r="J417" s="2">
        <f>MIN($B$8,AVERAGE(K418:K420)/(1+D418+$D$9/10000))+$B$7</f>
        <v>93.47559207744942</v>
      </c>
      <c r="K417" s="21"/>
      <c r="L417" s="21"/>
      <c r="M417" s="21"/>
    </row>
    <row r="418" spans="1:13" x14ac:dyDescent="0.35">
      <c r="A418" s="49"/>
      <c r="B418" s="5"/>
      <c r="C418" s="5"/>
      <c r="D418" s="10">
        <f>C416*EXP(10*$D$13)</f>
        <v>7.341703338024963E-2</v>
      </c>
      <c r="E418" s="23">
        <f>(D418-$B$4)*EXP(10*$E$13)</f>
        <v>9.1301425755734272E-2</v>
      </c>
      <c r="F418" s="23">
        <f>(E417-$B$4)*EXP(10*$E$13)</f>
        <v>0.11012343745072711</v>
      </c>
      <c r="G418" s="23">
        <f>(F417-$B$4)*EXP(10*$G$13)</f>
        <v>0.14621193528630907</v>
      </c>
      <c r="H418" s="22"/>
      <c r="K418" s="2">
        <f>MIN($B$8,AVERAGE(L416:L419)/(1+E416+$D$9/10000))+$B$7</f>
        <v>95.394678805030821</v>
      </c>
      <c r="L418" s="21"/>
      <c r="M418" s="2">
        <f>MIN($B$8,(100+$B$7)/(1+G$397+$D$9/10000))+$B$7</f>
        <v>104.84937453018955</v>
      </c>
    </row>
    <row r="419" spans="1:13" x14ac:dyDescent="0.35">
      <c r="A419" s="49"/>
      <c r="B419" s="5"/>
      <c r="C419" s="5"/>
      <c r="D419" s="5"/>
      <c r="E419" s="10">
        <f>D418*EXP(10*$E$13)</f>
        <v>9.3858278692193084E-2</v>
      </c>
      <c r="F419" s="10">
        <f>E417*EXP(10*$F$13)</f>
        <v>0.11547551545663771</v>
      </c>
      <c r="G419" s="10">
        <f>F417*EXP(10*$G$13)</f>
        <v>0.14883710928893129</v>
      </c>
      <c r="H419" s="22"/>
      <c r="K419" s="21"/>
      <c r="L419" s="2">
        <f>MIN($B$8,AVERAGE(M412:M414)/(1+F419+$D$9/10000))+$B$7</f>
        <v>98.870227216858964</v>
      </c>
      <c r="M419" s="21"/>
    </row>
    <row r="420" spans="1:13" x14ac:dyDescent="0.35">
      <c r="A420" s="49"/>
      <c r="B420" s="5"/>
      <c r="C420" s="5"/>
      <c r="D420" s="5"/>
      <c r="E420" s="5"/>
      <c r="F420" s="23">
        <f>(E418-$B$4)*EXP(10*$E$13)</f>
        <v>0.11416530633675405</v>
      </c>
      <c r="G420" s="23">
        <f>(F418-$B$4)*EXP(10*$G$13)</f>
        <v>0.14192141853489909</v>
      </c>
      <c r="H420" s="20"/>
      <c r="I420" s="21"/>
      <c r="J420" s="21"/>
      <c r="K420" s="2">
        <f>MIN($B$8,AVERAGE(L421:L423)/(1+E419+$D$9/10000))+$B$7</f>
        <v>94.816090601988009</v>
      </c>
      <c r="L420" s="21"/>
      <c r="M420" s="2">
        <f>MIN($B$8,(100+$B$7)/(1+G$397+$D$9/10000))+$B$7</f>
        <v>104.84937453018955</v>
      </c>
    </row>
    <row r="421" spans="1:13" x14ac:dyDescent="0.35">
      <c r="A421" s="49"/>
      <c r="B421" s="5"/>
      <c r="C421" s="5"/>
      <c r="D421" s="5"/>
      <c r="E421" s="5"/>
      <c r="F421" s="10">
        <f>E418*EXP(10*$F$13)</f>
        <v>0.11961764973245766</v>
      </c>
      <c r="G421" s="10">
        <f>F418*EXP(10*$G$13)</f>
        <v>0.14454659253752131</v>
      </c>
      <c r="I421" s="21"/>
      <c r="J421" s="21"/>
      <c r="K421" s="21"/>
      <c r="L421" s="2">
        <f>MIN($B$8,AVERAGE(M414:M416)/(1+F421+$D$9/10000))+$B$7</f>
        <v>98.522482741312814</v>
      </c>
      <c r="M421" s="21"/>
    </row>
    <row r="422" spans="1:13" x14ac:dyDescent="0.35">
      <c r="A422" s="49"/>
      <c r="B422" s="5"/>
      <c r="C422" s="5"/>
      <c r="D422" s="5"/>
      <c r="E422" s="5"/>
      <c r="F422" s="23">
        <f>(E419-$B$4)*EXP(10*$E$13)</f>
        <v>0.11743405480609308</v>
      </c>
      <c r="G422" s="23">
        <f>(F419-$B$4)*EXP(10*$G$13)</f>
        <v>0.14894648655546042</v>
      </c>
      <c r="J422" s="21"/>
      <c r="K422" s="21"/>
      <c r="L422" s="21"/>
      <c r="M422" s="2">
        <f>MIN($B$8,(100+$B$7)/(1+G$397+$D$9/10000))+$B$7</f>
        <v>104.84937453018955</v>
      </c>
    </row>
    <row r="423" spans="1:13" x14ac:dyDescent="0.35">
      <c r="A423" s="49"/>
      <c r="B423" s="5"/>
      <c r="C423" s="5"/>
      <c r="D423" s="5"/>
      <c r="E423" s="5"/>
      <c r="F423" s="10">
        <f>E419*EXP(10*$F$13)</f>
        <v>0.12296748503282839</v>
      </c>
      <c r="G423" s="10">
        <f>F419*EXP(10*$G$13)</f>
        <v>0.15157166055808263</v>
      </c>
      <c r="K423" s="21"/>
      <c r="L423" s="2">
        <f>MIN($B$8,AVERAGE(M416:M418)/(1+F423+$D$9/10000))+$B$7</f>
        <v>98.243130357865553</v>
      </c>
      <c r="M423" s="21"/>
    </row>
    <row r="424" spans="1:13" x14ac:dyDescent="0.35">
      <c r="A424" s="49"/>
      <c r="B424" s="5"/>
      <c r="C424" s="5"/>
      <c r="D424" s="5"/>
      <c r="E424" s="5"/>
      <c r="F424" s="5"/>
      <c r="G424" s="23">
        <f>(F420-$B$4)*EXP(10*$G$13)</f>
        <v>0.14722672309570184</v>
      </c>
      <c r="L424" s="21"/>
      <c r="M424" s="2">
        <f>MIN($B$8,(100+$B$7)/(1+G$397+$D$9/10000))+$B$7</f>
        <v>104.84937453018955</v>
      </c>
    </row>
    <row r="425" spans="1:13" x14ac:dyDescent="0.35">
      <c r="A425" s="49"/>
      <c r="B425" s="5"/>
      <c r="C425" s="5"/>
      <c r="D425" s="5"/>
      <c r="E425" s="5"/>
      <c r="F425" s="5"/>
      <c r="G425" s="10">
        <f>F420*EXP(10*$G$13)</f>
        <v>0.14985189709832406</v>
      </c>
      <c r="M425" s="21"/>
    </row>
    <row r="426" spans="1:13" x14ac:dyDescent="0.35">
      <c r="A426" s="49"/>
      <c r="B426" s="5"/>
      <c r="C426" s="5"/>
      <c r="D426" s="5"/>
      <c r="E426" s="5"/>
      <c r="F426" s="5"/>
      <c r="G426" s="23">
        <f>(F421-0.001)*EXP(10*$G$13)</f>
        <v>0.15569598516489799</v>
      </c>
      <c r="M426" s="2">
        <f>MIN($B$8,(100+$B$7)/(1+G$397+$D$9/10000))+$B$7</f>
        <v>104.84937453018955</v>
      </c>
    </row>
    <row r="427" spans="1:13" x14ac:dyDescent="0.35">
      <c r="A427" s="49"/>
      <c r="B427" s="5"/>
      <c r="C427" s="5"/>
      <c r="D427" s="5"/>
      <c r="E427" s="5"/>
      <c r="F427" s="5"/>
      <c r="G427" s="10">
        <f>F421*EXP(10*$G$13)</f>
        <v>0.15700857216620909</v>
      </c>
      <c r="H427" s="22"/>
      <c r="M427" s="21"/>
    </row>
    <row r="428" spans="1:13" x14ac:dyDescent="0.35">
      <c r="A428" s="49"/>
      <c r="B428" s="5"/>
      <c r="C428" s="5"/>
      <c r="D428" s="5"/>
      <c r="E428" s="5"/>
      <c r="F428" s="5"/>
      <c r="G428" s="23">
        <f>(F422-$B$4)*EXP(10*$G$13)</f>
        <v>0.15151723984711182</v>
      </c>
      <c r="H428" s="22"/>
      <c r="M428" s="2">
        <f>MIN($B$8,(100+$B$7)/(1+G$397+$D$9/10000))+$B$7</f>
        <v>104.84937453018955</v>
      </c>
    </row>
    <row r="429" spans="1:13" x14ac:dyDescent="0.35">
      <c r="A429" s="49"/>
      <c r="B429" s="5"/>
      <c r="C429" s="5"/>
      <c r="D429" s="5"/>
      <c r="E429" s="5"/>
      <c r="F429" s="5"/>
      <c r="G429" s="10">
        <f>F422*EXP(10*$G$13)</f>
        <v>0.15414241384973407</v>
      </c>
      <c r="H429" s="22"/>
      <c r="M429" s="21"/>
    </row>
    <row r="430" spans="1:13" x14ac:dyDescent="0.35">
      <c r="A430" s="49"/>
      <c r="B430" s="5"/>
      <c r="C430" s="5"/>
      <c r="D430" s="5"/>
      <c r="E430" s="5"/>
      <c r="F430" s="5"/>
      <c r="G430" s="23">
        <f>(F423-$B$4)*EXP(10*$G$13)</f>
        <v>0.1587803484353866</v>
      </c>
      <c r="H430" s="22"/>
      <c r="M430" s="2">
        <f>MIN($B$8,(100+$B$7)/(1+G$397+$D$9/10000))+$B$7</f>
        <v>104.84937453018955</v>
      </c>
    </row>
    <row r="431" spans="1:13" x14ac:dyDescent="0.35">
      <c r="A431" s="49"/>
      <c r="B431" s="5"/>
      <c r="C431" s="5"/>
      <c r="D431" s="5"/>
      <c r="E431" s="5"/>
      <c r="F431" s="5"/>
      <c r="G431" s="10">
        <f>F423*EXP(10*$G$13)</f>
        <v>0.16140552243800882</v>
      </c>
    </row>
    <row r="432" spans="1:13" x14ac:dyDescent="0.35">
      <c r="A432" s="36" t="s">
        <v>7</v>
      </c>
      <c r="B432" s="37">
        <v>1</v>
      </c>
      <c r="C432" s="37">
        <v>2</v>
      </c>
      <c r="D432" s="37">
        <v>3</v>
      </c>
      <c r="E432" s="37">
        <v>4</v>
      </c>
      <c r="F432" s="37">
        <v>5</v>
      </c>
      <c r="G432" s="37">
        <v>6</v>
      </c>
      <c r="H432" s="38">
        <v>7</v>
      </c>
      <c r="I432" s="38">
        <v>8</v>
      </c>
      <c r="J432" s="38">
        <v>9</v>
      </c>
      <c r="K432" s="38">
        <v>10</v>
      </c>
    </row>
    <row r="433" spans="1:13" x14ac:dyDescent="0.35">
      <c r="A433" s="41" t="s">
        <v>22</v>
      </c>
      <c r="B433" s="30">
        <f>B13-0.001</f>
        <v>2.4569999999999998E-2</v>
      </c>
      <c r="C433" s="30">
        <f>C13-0.001</f>
        <v>2.2439999999999998E-2</v>
      </c>
      <c r="D433" s="30">
        <f>D13-0.001</f>
        <v>2.0229999999999998E-2</v>
      </c>
      <c r="E433" s="30">
        <f>E13-0.001</f>
        <v>2.3563000000000001E-2</v>
      </c>
      <c r="F433" s="30">
        <f>F13-0.001</f>
        <v>2.6013399999999999E-2</v>
      </c>
      <c r="G433" s="30">
        <f>G13-0.0011</f>
        <v>2.6099999999999998E-2</v>
      </c>
      <c r="H433" s="30">
        <f>H13-0.0011</f>
        <v>2.6099999999999998E-2</v>
      </c>
      <c r="I433" s="30">
        <f>I13-0.0011</f>
        <v>2.6099999999999998E-2</v>
      </c>
      <c r="J433" s="30">
        <f>J13-0.0011</f>
        <v>2.6099999999999998E-2</v>
      </c>
      <c r="K433" s="30">
        <f>K13-0.0011</f>
        <v>2.6099999999999998E-2</v>
      </c>
    </row>
    <row r="434" spans="1:13" x14ac:dyDescent="0.35">
      <c r="A434" s="41" t="s">
        <v>9</v>
      </c>
      <c r="B434" s="6">
        <f t="shared" ref="B434:K434" si="11">B14</f>
        <v>4.8967504599999996E-2</v>
      </c>
      <c r="C434" s="6">
        <f t="shared" si="11"/>
        <v>5.0461803200000002E-2</v>
      </c>
      <c r="D434" s="6">
        <f t="shared" si="11"/>
        <v>5.0263399400000006E-2</v>
      </c>
      <c r="E434" s="6">
        <f t="shared" si="11"/>
        <v>5.0259363139999999E-2</v>
      </c>
      <c r="F434" s="6">
        <f t="shared" si="11"/>
        <v>5.0535837651999996E-2</v>
      </c>
      <c r="G434" s="6">
        <f t="shared" si="11"/>
        <v>4.9018816E-2</v>
      </c>
      <c r="H434" s="6">
        <f t="shared" si="11"/>
        <v>4.9018816E-2</v>
      </c>
      <c r="I434" s="6">
        <f t="shared" si="11"/>
        <v>4.9018816E-2</v>
      </c>
      <c r="J434" s="6">
        <f t="shared" si="11"/>
        <v>4.9018816E-2</v>
      </c>
      <c r="K434" s="6">
        <f t="shared" si="11"/>
        <v>4.9018816E-2</v>
      </c>
    </row>
    <row r="435" spans="1:13" x14ac:dyDescent="0.35">
      <c r="A435" s="41" t="s">
        <v>0</v>
      </c>
      <c r="B435" s="8">
        <f t="shared" ref="B435:K435" si="12">1/(1+B434)^B13</f>
        <v>0.99877833843069619</v>
      </c>
      <c r="C435" s="8">
        <f t="shared" si="12"/>
        <v>0.99884671715400541</v>
      </c>
      <c r="D435" s="8">
        <f t="shared" si="12"/>
        <v>0.99895940159596641</v>
      </c>
      <c r="E435" s="8">
        <f t="shared" si="12"/>
        <v>0.99879622569661664</v>
      </c>
      <c r="F435" s="8">
        <f t="shared" si="12"/>
        <v>0.99866911618718801</v>
      </c>
      <c r="G435" s="8">
        <f t="shared" si="12"/>
        <v>0.99869918355180098</v>
      </c>
      <c r="H435" s="8">
        <f t="shared" si="12"/>
        <v>0.99869918355180098</v>
      </c>
      <c r="I435" s="8">
        <f t="shared" si="12"/>
        <v>0.99869918355180098</v>
      </c>
      <c r="J435" s="8">
        <f t="shared" si="12"/>
        <v>0.99869918355180098</v>
      </c>
      <c r="K435" s="8">
        <f t="shared" si="12"/>
        <v>0.99869918355180098</v>
      </c>
    </row>
    <row r="436" spans="1:13" x14ac:dyDescent="0.35">
      <c r="A436" s="9"/>
      <c r="B436" s="5"/>
      <c r="C436" s="5"/>
      <c r="D436" s="5"/>
      <c r="E436" s="5"/>
      <c r="F436" s="5"/>
      <c r="G436" s="10">
        <f>F444*EXP(10*$G$13)</f>
        <v>0.17515166661259279</v>
      </c>
    </row>
    <row r="437" spans="1:13" x14ac:dyDescent="0.35">
      <c r="A437" s="9"/>
      <c r="B437" s="5"/>
      <c r="C437" s="5"/>
      <c r="D437" s="5"/>
      <c r="E437" s="5"/>
      <c r="F437" s="5"/>
      <c r="G437" s="13">
        <f>(F444+$B$4)*EXP(10*$G$13)</f>
        <v>0.17777684061521501</v>
      </c>
      <c r="H437" s="22"/>
      <c r="M437" s="2">
        <f>MIN($B$8,(100+$B$7)/(1+G$434+$D$9/10000))+$B$7</f>
        <v>104.84937453018955</v>
      </c>
    </row>
    <row r="438" spans="1:13" x14ac:dyDescent="0.35">
      <c r="A438" s="9"/>
      <c r="B438" s="5"/>
      <c r="C438" s="5"/>
      <c r="D438" s="5"/>
      <c r="E438" s="5"/>
      <c r="F438" s="5"/>
      <c r="G438" s="10">
        <f>F445*EXP(10*$G$13)</f>
        <v>0.17859101207443182</v>
      </c>
      <c r="H438" s="22"/>
      <c r="M438" s="21"/>
    </row>
    <row r="439" spans="1:13" x14ac:dyDescent="0.35">
      <c r="A439" s="9"/>
      <c r="B439" s="5"/>
      <c r="C439" s="5"/>
      <c r="D439" s="5"/>
      <c r="E439" s="5"/>
      <c r="F439" s="5"/>
      <c r="G439" s="13">
        <f>(F445+$B$4)*EXP(10*$G$13)</f>
        <v>0.18121618607705403</v>
      </c>
      <c r="H439" s="22"/>
      <c r="M439" s="2">
        <f>MIN($B$8,(100+$B$7)/(1+G$434+$D$9/10000))+$B$7</f>
        <v>104.84937453018955</v>
      </c>
    </row>
    <row r="440" spans="1:13" x14ac:dyDescent="0.35">
      <c r="A440" s="9"/>
      <c r="B440" s="5"/>
      <c r="C440" s="5"/>
      <c r="D440" s="5"/>
      <c r="E440" s="5"/>
      <c r="F440" s="5"/>
      <c r="G440" s="10">
        <f>F446*EXP(10*$G$13)</f>
        <v>0.1795486168843925</v>
      </c>
      <c r="H440" s="22"/>
      <c r="M440" s="21"/>
    </row>
    <row r="441" spans="1:13" x14ac:dyDescent="0.35">
      <c r="A441" s="9"/>
      <c r="B441" s="5"/>
      <c r="C441" s="5"/>
      <c r="D441" s="5"/>
      <c r="E441" s="5"/>
      <c r="F441" s="5"/>
      <c r="G441" s="13">
        <f>(F446+$B$4)*EXP(10*$G$13)</f>
        <v>0.18217379088701471</v>
      </c>
      <c r="H441" s="22"/>
      <c r="M441" s="2">
        <f>MIN($B$8,(100+$B$7)/(1+G$434+$D$9/10000))+$B$7</f>
        <v>104.84937453018955</v>
      </c>
    </row>
    <row r="442" spans="1:13" x14ac:dyDescent="0.35">
      <c r="B442" s="5"/>
      <c r="C442" s="5"/>
      <c r="D442" s="5"/>
      <c r="E442" s="5"/>
      <c r="F442" s="5"/>
      <c r="G442" s="10">
        <f>F447*EXP(10*$G$13)</f>
        <v>0.18298796234623155</v>
      </c>
      <c r="H442" s="22"/>
      <c r="M442" s="21"/>
    </row>
    <row r="443" spans="1:13" x14ac:dyDescent="0.35">
      <c r="B443" s="5"/>
      <c r="C443" s="5"/>
      <c r="D443" s="5"/>
      <c r="E443" s="5"/>
      <c r="F443" s="5"/>
      <c r="G443" s="13">
        <f>(F447+$B$4)*EXP(10*$G$13)</f>
        <v>0.18561313634885376</v>
      </c>
      <c r="H443" s="20"/>
      <c r="I443" s="21"/>
      <c r="J443" s="21"/>
      <c r="K443" s="21"/>
      <c r="L443" s="21"/>
      <c r="M443" s="2">
        <f>MIN($B$8,(100+$B$7)/(1+G$434+$D$9/10000))+$B$7</f>
        <v>104.84937453018955</v>
      </c>
    </row>
    <row r="444" spans="1:13" x14ac:dyDescent="0.35">
      <c r="B444" s="5"/>
      <c r="C444" s="5"/>
      <c r="D444" s="5"/>
      <c r="E444" s="5"/>
      <c r="F444" s="10">
        <f>E448*EXP(10*$F$13)</f>
        <v>0.13344004354579045</v>
      </c>
      <c r="G444" s="10">
        <f>F448*EXP(10*$G$13)</f>
        <v>0.18498552849251895</v>
      </c>
      <c r="I444" s="21"/>
      <c r="J444" s="21"/>
      <c r="K444" s="21"/>
      <c r="L444" s="2">
        <f>MIN($B$8,AVERAGE(M437:M439)/(1+F444+$D$9/10000))+$B$7</f>
        <v>97.380444048177992</v>
      </c>
      <c r="M444" s="21"/>
    </row>
    <row r="445" spans="1:13" x14ac:dyDescent="0.35">
      <c r="B445" s="5"/>
      <c r="C445" s="5"/>
      <c r="D445" s="5"/>
      <c r="E445" s="5"/>
      <c r="F445" s="13">
        <f>(E448+$B$4)*EXP(10*$F$13)</f>
        <v>0.1360603235412525</v>
      </c>
      <c r="G445" s="13">
        <f>(F448+$B$4)*EXP(10*$G$13)</f>
        <v>0.18761070249514117</v>
      </c>
      <c r="J445" s="21"/>
      <c r="K445" s="21"/>
      <c r="L445" s="21"/>
      <c r="M445" s="2">
        <f>MIN($B$8,(100+$B$7)/(1+G$434+$D$9/10000))+$B$7</f>
        <v>104.84937453018955</v>
      </c>
    </row>
    <row r="446" spans="1:13" x14ac:dyDescent="0.35">
      <c r="B446" s="5"/>
      <c r="C446" s="5"/>
      <c r="D446" s="5"/>
      <c r="E446" s="5"/>
      <c r="F446" s="10">
        <f>E449*EXP(10*$F$13)</f>
        <v>0.13678987884616117</v>
      </c>
      <c r="G446" s="10">
        <f>F449*EXP(10*$G$13)</f>
        <v>0.188424873954358</v>
      </c>
      <c r="K446" s="21"/>
      <c r="L446" s="2">
        <f>MIN($B$8,AVERAGE(M439:M441)/(1+F446+$D$9/10000))+$B$7</f>
        <v>97.107853653316653</v>
      </c>
      <c r="M446" s="21"/>
    </row>
    <row r="447" spans="1:13" x14ac:dyDescent="0.35">
      <c r="B447" s="5"/>
      <c r="C447" s="5"/>
      <c r="D447" s="5"/>
      <c r="E447" s="5"/>
      <c r="F447" s="13">
        <f>(E449+$B$4)*EXP(10*$F$13)</f>
        <v>0.13941015884162325</v>
      </c>
      <c r="G447" s="13">
        <f>(F449+$B$4)*EXP(10*$G$13)</f>
        <v>0.19105004795698022</v>
      </c>
      <c r="K447" s="2">
        <f>MIN($B$8,AVERAGE(L444:L446)/(1+E448+$D$9/10000))+$B$7</f>
        <v>93.130202560149016</v>
      </c>
      <c r="L447" s="21"/>
      <c r="M447" s="2">
        <f>MIN($B$8,(100+$B$7)/(1+G$434+$D$9/10000))+$B$7</f>
        <v>104.84937453018955</v>
      </c>
    </row>
    <row r="448" spans="1:13" x14ac:dyDescent="0.35">
      <c r="B448" s="5"/>
      <c r="C448" s="5"/>
      <c r="D448" s="5"/>
      <c r="E448" s="10">
        <f>D449*EXP(10*$E$13)</f>
        <v>0.10185174391812235</v>
      </c>
      <c r="F448" s="10">
        <f>E450*EXP(10*$F$13)</f>
        <v>0.14093201312198111</v>
      </c>
      <c r="G448" s="10">
        <f>F450*EXP(10*$G$13)</f>
        <v>0.18402792368255827</v>
      </c>
      <c r="K448" s="21"/>
      <c r="L448" s="2">
        <f>MIN($B$8,AVERAGE(M441:M443)/(1+F448+$D$9/10000))+$B$7</f>
        <v>96.773003846246468</v>
      </c>
      <c r="M448" s="21"/>
    </row>
    <row r="449" spans="2:13" x14ac:dyDescent="0.35">
      <c r="B449" s="5"/>
      <c r="C449" s="5"/>
      <c r="D449" s="10">
        <f>C451*EXP(10*$D$13)</f>
        <v>7.9669614521658591E-2</v>
      </c>
      <c r="E449" s="13">
        <f>(D449+$B$4)*EXP(10*$E$13)</f>
        <v>0.10440859685458116</v>
      </c>
      <c r="F449" s="13">
        <f>(E450+$B$4)*EXP(10*$F$13)</f>
        <v>0.14355229311744319</v>
      </c>
      <c r="G449" s="13">
        <f>(F450+$B$4)*EXP(10*$G$13)</f>
        <v>0.18665309768518049</v>
      </c>
      <c r="K449" s="2">
        <f>MIN($B$8,AVERAGE(L448:L451)/(1+E451+$D$9/10000))+$B$7</f>
        <v>92.573769048776825</v>
      </c>
      <c r="L449" s="21"/>
      <c r="M449" s="2">
        <f>MIN($B$8,(100+$B$7)/(1+G$434+$D$9/10000))+$B$7</f>
        <v>104.84937453018955</v>
      </c>
    </row>
    <row r="450" spans="2:13" x14ac:dyDescent="0.35">
      <c r="B450" s="5"/>
      <c r="C450" s="5"/>
      <c r="D450" s="13">
        <f>(C451+$B$4)*EXP(10*$D$13)</f>
        <v>8.2142652091811083E-2</v>
      </c>
      <c r="E450" s="13">
        <f>(D450+$B$4)*EXP(10*$E$13)</f>
        <v>0.10757019354118985</v>
      </c>
      <c r="F450" s="13">
        <f>(E451+$B$4)*EXP(10*$F$13)</f>
        <v>0.14020245781707244</v>
      </c>
      <c r="G450" s="13">
        <f>(F451+$B$4)*EXP(10*$G$13)</f>
        <v>0.18321375222334146</v>
      </c>
      <c r="H450" s="22"/>
      <c r="J450" s="2">
        <f>MIN($B$8,AVERAGE(K447:K449)/(1+D450+$D$9/10000))+$B$7</f>
        <v>90.678831523484916</v>
      </c>
      <c r="K450" s="21"/>
      <c r="L450" s="21"/>
      <c r="M450" s="21"/>
    </row>
    <row r="451" spans="2:13" x14ac:dyDescent="0.35">
      <c r="B451" s="5"/>
      <c r="C451" s="23">
        <f>(B452+$B$4)*EXP(10*$C$13)</f>
        <v>6.4430573545023892E-2</v>
      </c>
      <c r="D451" s="5"/>
      <c r="E451" s="10">
        <f>D450*EXP(10*$E$13)</f>
        <v>0.10501334060473104</v>
      </c>
      <c r="F451" s="10">
        <f>E451*EXP(10*$F$13)</f>
        <v>0.13758217782161039</v>
      </c>
      <c r="G451" s="10">
        <f>F451*EXP(10*$G$13)</f>
        <v>0.18058857822071925</v>
      </c>
      <c r="H451" s="22"/>
      <c r="I451" s="2">
        <f>MIN($B$8,AVERAGE(J450:J450)/(1+C451+$D$9/10000))+$B$7</f>
        <v>90.064991510187795</v>
      </c>
      <c r="J451" s="21"/>
      <c r="K451" s="21"/>
      <c r="L451" s="2">
        <f>MIN($B$8,AVERAGE(M444:M446)/(1+F451+$D$9/10000))+$B$7</f>
        <v>97.043615660776879</v>
      </c>
      <c r="M451" s="2">
        <f>MIN($B$8,(100+$B$7)/(1+G$434+$D$9/10000))+$B$7</f>
        <v>104.84937453018955</v>
      </c>
    </row>
    <row r="452" spans="2:13" x14ac:dyDescent="0.35">
      <c r="B452" s="10">
        <f>B434</f>
        <v>4.8967504599999996E-2</v>
      </c>
      <c r="C452" s="19"/>
      <c r="D452" s="5"/>
      <c r="E452" s="5"/>
      <c r="F452" s="5"/>
      <c r="G452" s="5"/>
      <c r="H452" s="3" t="e">
        <f>AVERAGE(I452:I453)/(1+B452+$G$5/10000)</f>
        <v>#VALUE!</v>
      </c>
    </row>
    <row r="453" spans="2:13" x14ac:dyDescent="0.35">
      <c r="B453" s="5"/>
      <c r="C453" s="23">
        <f>(B452-$B$4)*EXP(10*$C$13)</f>
        <v>5.9373973340585091E-2</v>
      </c>
      <c r="D453" s="5"/>
      <c r="E453" s="10">
        <f>D454*EXP(10*$E$13)</f>
        <v>9.0696682005584395E-2</v>
      </c>
      <c r="F453" s="10">
        <f>E453*EXP(10*$F$13)</f>
        <v>0.11882535075700845</v>
      </c>
      <c r="G453" s="10">
        <f>F453*EXP(10*$G$13)</f>
        <v>0.15596861082988236</v>
      </c>
      <c r="H453" s="22"/>
      <c r="I453" s="2">
        <f>MIN($B$8,AVERAGE(J454:J454)/(1+C453+$D$9/10000))+$B$7</f>
        <v>93.111632605469282</v>
      </c>
      <c r="J453" s="21"/>
      <c r="K453" s="21"/>
      <c r="L453" s="2">
        <f>MIN($B$8,AVERAGE(M446:M448)/(1+F453+$D$9/10000))+$B$7</f>
        <v>98.588799440857684</v>
      </c>
      <c r="M453" s="2">
        <f>MIN($B$8,(100+$B$7)/(1+G$434+$D$9/10000))+$B$7</f>
        <v>104.84937453018955</v>
      </c>
    </row>
    <row r="454" spans="2:13" x14ac:dyDescent="0.35">
      <c r="B454" s="5"/>
      <c r="C454" s="5"/>
      <c r="D454" s="24">
        <f>(C453-$B$4)*EXP(10*$D$13)</f>
        <v>7.0943995810097138E-2</v>
      </c>
      <c r="E454" s="23">
        <f>(D454-$B$4)*EXP(10*$E$13)</f>
        <v>8.8139829069125583E-2</v>
      </c>
      <c r="F454" s="23">
        <f>(E453-$B$4)*EXP(10*$E$13)</f>
        <v>0.11339218592006614</v>
      </c>
      <c r="G454" s="23">
        <f>(F453-$B$4)*EXP(10*$G$13)</f>
        <v>0.15334343682726015</v>
      </c>
      <c r="H454" s="22"/>
      <c r="J454" s="2">
        <f>MIN($B$8,AVERAGE(K455:K457)/(1+D455+$D$9/10000))+$B$7</f>
        <v>93.47559207744942</v>
      </c>
      <c r="K454" s="21"/>
      <c r="L454" s="21"/>
      <c r="M454" s="21"/>
    </row>
    <row r="455" spans="2:13" x14ac:dyDescent="0.35">
      <c r="B455" s="5"/>
      <c r="C455" s="5"/>
      <c r="D455" s="10">
        <f>C453*EXP(10*$D$13)</f>
        <v>7.341703338024963E-2</v>
      </c>
      <c r="E455" s="23">
        <f>(D455-$B$4)*EXP(10*$E$13)</f>
        <v>9.1301425755734272E-2</v>
      </c>
      <c r="F455" s="23">
        <f>(E454-$B$4)*EXP(10*$E$13)</f>
        <v>0.11012343745072711</v>
      </c>
      <c r="G455" s="23">
        <f>(F454-$B$4)*EXP(10*$G$13)</f>
        <v>0.14621193528630907</v>
      </c>
      <c r="H455" s="22"/>
      <c r="K455" s="2">
        <f>MIN($B$8,AVERAGE(L453:L456)/(1+E453+$D$9/10000))+$B$7</f>
        <v>95.394678805030821</v>
      </c>
      <c r="L455" s="21"/>
      <c r="M455" s="2">
        <f>MIN($B$8,(100+$B$7)/(1+G$434+$D$9/10000))+$B$7</f>
        <v>104.84937453018955</v>
      </c>
    </row>
    <row r="456" spans="2:13" x14ac:dyDescent="0.35">
      <c r="B456" s="5"/>
      <c r="C456" s="5"/>
      <c r="D456" s="5"/>
      <c r="E456" s="10">
        <f>D455*EXP(10*$E$13)</f>
        <v>9.3858278692193084E-2</v>
      </c>
      <c r="F456" s="10">
        <f>E454*EXP(10*$F$13)</f>
        <v>0.11547551545663771</v>
      </c>
      <c r="G456" s="10">
        <f>F454*EXP(10*$G$13)</f>
        <v>0.14883710928893129</v>
      </c>
      <c r="H456" s="22"/>
      <c r="K456" s="21"/>
      <c r="L456" s="2">
        <f>MIN($B$8,AVERAGE(M449:M451)/(1+F456+$D$9/10000))+$B$7</f>
        <v>98.870227216858964</v>
      </c>
      <c r="M456" s="21"/>
    </row>
    <row r="457" spans="2:13" x14ac:dyDescent="0.35">
      <c r="B457" s="5"/>
      <c r="C457" s="5"/>
      <c r="D457" s="5"/>
      <c r="E457" s="5"/>
      <c r="F457" s="23">
        <f>(E455-$B$4)*EXP(10*$E$13)</f>
        <v>0.11416530633675405</v>
      </c>
      <c r="G457" s="23">
        <f>(F455-$B$4)*EXP(10*$G$13)</f>
        <v>0.14192141853489909</v>
      </c>
      <c r="H457" s="20"/>
      <c r="I457" s="21"/>
      <c r="J457" s="21"/>
      <c r="K457" s="2">
        <f>MIN($B$8,AVERAGE(L458:L460)/(1+E456+$D$9/10000))+$B$7</f>
        <v>94.816090601988009</v>
      </c>
      <c r="L457" s="21"/>
      <c r="M457" s="2">
        <f>MIN($B$8,(100+$B$7)/(1+G$434+$D$9/10000))+$B$7</f>
        <v>104.84937453018955</v>
      </c>
    </row>
    <row r="458" spans="2:13" x14ac:dyDescent="0.35">
      <c r="B458" s="5"/>
      <c r="C458" s="5"/>
      <c r="D458" s="5"/>
      <c r="E458" s="5"/>
      <c r="F458" s="10">
        <f>E455*EXP(10*$F$13)</f>
        <v>0.11961764973245766</v>
      </c>
      <c r="G458" s="10">
        <f>F455*EXP(10*$G$13)</f>
        <v>0.14454659253752131</v>
      </c>
      <c r="I458" s="21"/>
      <c r="J458" s="21"/>
      <c r="K458" s="21"/>
      <c r="L458" s="2">
        <f>MIN($B$8,AVERAGE(M451:M453)/(1+F458+$D$9/10000))+$B$7</f>
        <v>98.522482741312814</v>
      </c>
      <c r="M458" s="21"/>
    </row>
    <row r="459" spans="2:13" x14ac:dyDescent="0.35">
      <c r="B459" s="5"/>
      <c r="C459" s="5"/>
      <c r="D459" s="5"/>
      <c r="E459" s="5"/>
      <c r="F459" s="23">
        <f>(E456-$B$4)*EXP(10*$E$13)</f>
        <v>0.11743405480609308</v>
      </c>
      <c r="G459" s="23">
        <f>(F456-$B$4)*EXP(10*$G$13)</f>
        <v>0.14894648655546042</v>
      </c>
      <c r="J459" s="21"/>
      <c r="K459" s="21"/>
      <c r="L459" s="21"/>
      <c r="M459" s="2">
        <f>MIN($B$8,(100+$B$7)/(1+G$434+$D$9/10000))+$B$7</f>
        <v>104.84937453018955</v>
      </c>
    </row>
    <row r="460" spans="2:13" x14ac:dyDescent="0.35">
      <c r="B460" s="5"/>
      <c r="C460" s="5"/>
      <c r="D460" s="5"/>
      <c r="E460" s="5"/>
      <c r="F460" s="10">
        <f>E456*EXP(10*$F$13)</f>
        <v>0.12296748503282839</v>
      </c>
      <c r="G460" s="10">
        <f>F456*EXP(10*$G$13)</f>
        <v>0.15157166055808263</v>
      </c>
      <c r="K460" s="21"/>
      <c r="L460" s="2">
        <f>MIN($B$8,AVERAGE(M453:M455)/(1+F460+$D$9/10000))+$B$7</f>
        <v>98.243130357865553</v>
      </c>
      <c r="M460" s="21"/>
    </row>
    <row r="461" spans="2:13" x14ac:dyDescent="0.35">
      <c r="B461" s="5"/>
      <c r="C461" s="5"/>
      <c r="D461" s="5"/>
      <c r="E461" s="5"/>
      <c r="F461" s="5"/>
      <c r="G461" s="23">
        <f>(F457-$B$4)*EXP(10*$G$13)</f>
        <v>0.14722672309570184</v>
      </c>
      <c r="L461" s="21"/>
      <c r="M461" s="2">
        <f>MIN($B$8,(100+$B$7)/(1+G$434+$D$9/10000))+$B$7</f>
        <v>104.84937453018955</v>
      </c>
    </row>
    <row r="462" spans="2:13" x14ac:dyDescent="0.35">
      <c r="B462" s="5"/>
      <c r="C462" s="5"/>
      <c r="D462" s="5"/>
      <c r="E462" s="5"/>
      <c r="F462" s="5"/>
      <c r="G462" s="10">
        <f>F457*EXP(10*$G$13)</f>
        <v>0.14985189709832406</v>
      </c>
      <c r="M462" s="21"/>
    </row>
    <row r="463" spans="2:13" x14ac:dyDescent="0.35">
      <c r="B463" s="5"/>
      <c r="C463" s="5"/>
      <c r="D463" s="5"/>
      <c r="E463" s="5"/>
      <c r="F463" s="5"/>
      <c r="G463" s="23">
        <f>(F458-0.001)*EXP(10*$G$13)</f>
        <v>0.15569598516489799</v>
      </c>
      <c r="M463" s="2">
        <f>MIN($B$8,(100+$B$7)/(1+G$434+$D$9/10000))+$B$7</f>
        <v>104.84937453018955</v>
      </c>
    </row>
    <row r="464" spans="2:13" x14ac:dyDescent="0.35">
      <c r="B464" s="5"/>
      <c r="C464" s="5"/>
      <c r="D464" s="5"/>
      <c r="E464" s="5"/>
      <c r="F464" s="5"/>
      <c r="G464" s="10">
        <f>F458*EXP(10*$G$13)</f>
        <v>0.15700857216620909</v>
      </c>
      <c r="H464" s="22"/>
      <c r="M464" s="21"/>
    </row>
    <row r="465" spans="2:13" x14ac:dyDescent="0.35">
      <c r="B465" s="5"/>
      <c r="C465" s="5"/>
      <c r="D465" s="5"/>
      <c r="E465" s="5"/>
      <c r="F465" s="5"/>
      <c r="G465" s="23">
        <f>(F459-$B$4)*EXP(10*$G$13)</f>
        <v>0.15151723984711182</v>
      </c>
      <c r="H465" s="22"/>
      <c r="M465" s="2">
        <f>MIN($B$8,(100+$B$7)/(1+G$434+$D$9/10000))+$B$7</f>
        <v>104.84937453018955</v>
      </c>
    </row>
    <row r="466" spans="2:13" x14ac:dyDescent="0.35">
      <c r="B466" s="5"/>
      <c r="C466" s="5"/>
      <c r="D466" s="5"/>
      <c r="E466" s="5"/>
      <c r="F466" s="5"/>
      <c r="G466" s="10">
        <f>F459*EXP(10*$G$13)</f>
        <v>0.15414241384973407</v>
      </c>
      <c r="H466" s="22"/>
      <c r="M466" s="21"/>
    </row>
    <row r="467" spans="2:13" x14ac:dyDescent="0.35">
      <c r="B467" s="5"/>
      <c r="C467" s="5"/>
      <c r="D467" s="5"/>
      <c r="E467" s="5"/>
      <c r="F467" s="5"/>
      <c r="G467" s="23">
        <f>(F460-$B$4)*EXP(10*$G$13)</f>
        <v>0.1587803484353866</v>
      </c>
      <c r="H467" s="22"/>
      <c r="M467" s="2">
        <f>MIN($B$8,(100+$B$7)/(1+G$434+$D$9/10000))+$B$7</f>
        <v>104.84937453018955</v>
      </c>
    </row>
    <row r="468" spans="2:13" x14ac:dyDescent="0.35">
      <c r="B468" s="5"/>
      <c r="C468" s="5"/>
      <c r="D468" s="5"/>
      <c r="E468" s="5"/>
      <c r="F468" s="5"/>
      <c r="G468" s="10">
        <f>F460*EXP(10*$G$13)</f>
        <v>0.16140552243800882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HJM_exp</vt:lpstr>
      <vt:lpstr>HJM_10y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P. Miller</dc:creator>
  <cp:lastModifiedBy>Thomas Madison Glimp</cp:lastModifiedBy>
  <dcterms:created xsi:type="dcterms:W3CDTF">2019-10-28T15:55:46Z</dcterms:created>
  <dcterms:modified xsi:type="dcterms:W3CDTF">2025-10-26T19:58:21Z</dcterms:modified>
</cp:coreProperties>
</file>