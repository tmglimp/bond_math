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b241ff32dfa2842/Desktop/"/>
    </mc:Choice>
  </mc:AlternateContent>
  <xr:revisionPtr revIDLastSave="0" documentId="8_{C6E85F58-59A3-401D-A470-037CEA1DC265}" xr6:coauthVersionLast="47" xr6:coauthVersionMax="47" xr10:uidLastSave="{00000000-0000-0000-0000-000000000000}"/>
  <bookViews>
    <workbookView xWindow="-110" yWindow="-110" windowWidth="22780" windowHeight="14540" activeTab="1" xr2:uid="{00000000-000D-0000-FFFF-FFFF00000000}"/>
  </bookViews>
  <sheets>
    <sheet name="HJM_6" sheetId="1" r:id="rId1"/>
    <sheet name="HJM_10y" sheetId="2" r:id="rId2"/>
  </sheets>
  <definedNames>
    <definedName name="_xleta.N" hidden="1" xlm="1">#NAME?</definedName>
    <definedName name="solver_adj" localSheetId="0" hidden="1">HJM_6!$B$9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81" i="2" l="1"/>
  <c r="B1579" i="2"/>
  <c r="D8" i="2"/>
  <c r="J1577" i="2"/>
  <c r="J1578" i="2" s="1"/>
  <c r="G1577" i="2"/>
  <c r="G1578" i="2" s="1"/>
  <c r="D1577" i="2"/>
  <c r="D1578" i="2" s="1"/>
  <c r="B1577" i="2"/>
  <c r="K1575" i="2"/>
  <c r="K1577" i="2" s="1"/>
  <c r="K1578" i="2" s="1"/>
  <c r="J1575" i="2"/>
  <c r="I1575" i="2"/>
  <c r="I1577" i="2" s="1"/>
  <c r="I1578" i="2" s="1"/>
  <c r="H1575" i="2"/>
  <c r="H1577" i="2" s="1"/>
  <c r="H1578" i="2" s="1"/>
  <c r="G1575" i="2"/>
  <c r="F1575" i="2"/>
  <c r="F1577" i="2" s="1"/>
  <c r="F1578" i="2" s="1"/>
  <c r="E1575" i="2"/>
  <c r="E1577" i="2" s="1"/>
  <c r="E1578" i="2" s="1"/>
  <c r="D1575" i="2"/>
  <c r="C1575" i="2"/>
  <c r="C1577" i="2" s="1"/>
  <c r="C1578" i="2" s="1"/>
  <c r="B1575" i="2"/>
  <c r="J1059" i="2"/>
  <c r="J1060" i="2" s="1"/>
  <c r="I1059" i="2"/>
  <c r="I1060" i="2" s="1"/>
  <c r="G1059" i="2"/>
  <c r="G1060" i="2" s="1"/>
  <c r="B1059" i="2"/>
  <c r="B1317" i="2" s="1"/>
  <c r="K1057" i="2"/>
  <c r="K1059" i="2" s="1"/>
  <c r="K1060" i="2" s="1"/>
  <c r="J1057" i="2"/>
  <c r="I1057" i="2"/>
  <c r="H1057" i="2"/>
  <c r="H1059" i="2" s="1"/>
  <c r="H1060" i="2" s="1"/>
  <c r="G1057" i="2"/>
  <c r="F1057" i="2"/>
  <c r="F1059" i="2" s="1"/>
  <c r="F1060" i="2" s="1"/>
  <c r="E1057" i="2"/>
  <c r="E1059" i="2" s="1"/>
  <c r="E1060" i="2" s="1"/>
  <c r="D1057" i="2"/>
  <c r="D1059" i="2" s="1"/>
  <c r="D1060" i="2" s="1"/>
  <c r="C1057" i="2"/>
  <c r="C1059" i="2" s="1"/>
  <c r="C1060" i="2" s="1"/>
  <c r="B1057" i="2"/>
  <c r="G541" i="2"/>
  <c r="G542" i="2" s="1"/>
  <c r="F541" i="2"/>
  <c r="F542" i="2" s="1"/>
  <c r="K539" i="2"/>
  <c r="K541" i="2" s="1"/>
  <c r="K542" i="2" s="1"/>
  <c r="J539" i="2"/>
  <c r="J541" i="2" s="1"/>
  <c r="J542" i="2" s="1"/>
  <c r="I539" i="2"/>
  <c r="I541" i="2" s="1"/>
  <c r="I542" i="2" s="1"/>
  <c r="H539" i="2"/>
  <c r="H541" i="2" s="1"/>
  <c r="H542" i="2" s="1"/>
  <c r="G539" i="2"/>
  <c r="F539" i="2"/>
  <c r="E539" i="2"/>
  <c r="E541" i="2" s="1"/>
  <c r="E542" i="2" s="1"/>
  <c r="D539" i="2"/>
  <c r="D541" i="2" s="1"/>
  <c r="D542" i="2" s="1"/>
  <c r="C539" i="2"/>
  <c r="C541" i="2" s="1"/>
  <c r="C542" i="2" s="1"/>
  <c r="B539" i="2"/>
  <c r="B541" i="2" s="1"/>
  <c r="K23" i="2"/>
  <c r="K24" i="2" s="1"/>
  <c r="J23" i="2"/>
  <c r="I23" i="2"/>
  <c r="H23" i="2"/>
  <c r="G23" i="2"/>
  <c r="G24" i="2" s="1"/>
  <c r="F23" i="2"/>
  <c r="F24" i="2" s="1"/>
  <c r="E23" i="2"/>
  <c r="E24" i="2" s="1"/>
  <c r="D23" i="2"/>
  <c r="C23" i="2"/>
  <c r="B23" i="2"/>
  <c r="B8" i="2"/>
  <c r="G6" i="2"/>
  <c r="B134" i="1"/>
  <c r="G132" i="1"/>
  <c r="G133" i="1" s="1"/>
  <c r="F95" i="1"/>
  <c r="F96" i="1" s="1"/>
  <c r="F97" i="1" s="1"/>
  <c r="G58" i="1"/>
  <c r="G59" i="1" s="1"/>
  <c r="G60" i="1" s="1"/>
  <c r="B58" i="1"/>
  <c r="B59" i="1" s="1"/>
  <c r="B40" i="1"/>
  <c r="C39" i="1" s="1"/>
  <c r="G23" i="1"/>
  <c r="F23" i="1"/>
  <c r="G15" i="1" s="1"/>
  <c r="G16" i="1" s="1"/>
  <c r="G17" i="1" s="1"/>
  <c r="G22" i="1"/>
  <c r="G95" i="1" s="1"/>
  <c r="G96" i="1" s="1"/>
  <c r="G97" i="1" s="1"/>
  <c r="F22" i="1"/>
  <c r="F132" i="1" s="1"/>
  <c r="F133" i="1" s="1"/>
  <c r="E22" i="1"/>
  <c r="E23" i="1" s="1"/>
  <c r="F15" i="1" s="1"/>
  <c r="F16" i="1" s="1"/>
  <c r="D22" i="1"/>
  <c r="D23" i="1" s="1"/>
  <c r="E15" i="1" s="1"/>
  <c r="E16" i="1" s="1"/>
  <c r="C22" i="1"/>
  <c r="C23" i="1" s="1"/>
  <c r="B22" i="1"/>
  <c r="B14" i="1" s="1"/>
  <c r="C14" i="1"/>
  <c r="B8" i="1"/>
  <c r="D7" i="1"/>
  <c r="G6" i="1"/>
  <c r="I14" i="2" l="1"/>
  <c r="I15" i="2"/>
  <c r="I16" i="2" s="1"/>
  <c r="C15" i="2"/>
  <c r="C16" i="2" s="1"/>
  <c r="K15" i="2"/>
  <c r="K16" i="2" s="1"/>
  <c r="K17" i="2" s="1"/>
  <c r="E15" i="2"/>
  <c r="E16" i="2" s="1"/>
  <c r="B15" i="2"/>
  <c r="B16" i="2" s="1"/>
  <c r="J15" i="2"/>
  <c r="J16" i="2" s="1"/>
  <c r="G15" i="2"/>
  <c r="G16" i="2" s="1"/>
  <c r="B1060" i="2"/>
  <c r="D15" i="2"/>
  <c r="D16" i="2" s="1"/>
  <c r="F15" i="2"/>
  <c r="F16" i="2" s="1"/>
  <c r="F14" i="2"/>
  <c r="H14" i="2"/>
  <c r="D37" i="1"/>
  <c r="D38" i="1"/>
  <c r="D15" i="1"/>
  <c r="D16" i="1" s="1"/>
  <c r="B60" i="1"/>
  <c r="B77" i="1"/>
  <c r="E17" i="1"/>
  <c r="F17" i="1"/>
  <c r="D14" i="1"/>
  <c r="F14" i="1"/>
  <c r="F12" i="1" s="1"/>
  <c r="C58" i="1"/>
  <c r="C59" i="1" s="1"/>
  <c r="C60" i="1" s="1"/>
  <c r="B95" i="1"/>
  <c r="B96" i="1" s="1"/>
  <c r="B14" i="2"/>
  <c r="J14" i="2"/>
  <c r="H15" i="2"/>
  <c r="H16" i="2" s="1"/>
  <c r="H24" i="2"/>
  <c r="G14" i="1"/>
  <c r="G12" i="1" s="1"/>
  <c r="C41" i="1"/>
  <c r="D58" i="1"/>
  <c r="D59" i="1" s="1"/>
  <c r="D60" i="1" s="1"/>
  <c r="C95" i="1"/>
  <c r="C96" i="1" s="1"/>
  <c r="C97" i="1" s="1"/>
  <c r="B132" i="1"/>
  <c r="C14" i="2"/>
  <c r="K14" i="2"/>
  <c r="K12" i="2" s="1"/>
  <c r="I24" i="2"/>
  <c r="B281" i="2"/>
  <c r="B15" i="1"/>
  <c r="B16" i="1" s="1"/>
  <c r="B23" i="1"/>
  <c r="C15" i="1" s="1"/>
  <c r="C16" i="1" s="1"/>
  <c r="E58" i="1"/>
  <c r="E59" i="1" s="1"/>
  <c r="E60" i="1" s="1"/>
  <c r="D95" i="1"/>
  <c r="D96" i="1" s="1"/>
  <c r="D97" i="1" s="1"/>
  <c r="C132" i="1"/>
  <c r="C133" i="1" s="1"/>
  <c r="D14" i="2"/>
  <c r="B24" i="2"/>
  <c r="J24" i="2"/>
  <c r="F58" i="1"/>
  <c r="F59" i="1" s="1"/>
  <c r="F60" i="1" s="1"/>
  <c r="E95" i="1"/>
  <c r="E96" i="1" s="1"/>
  <c r="E97" i="1" s="1"/>
  <c r="D132" i="1"/>
  <c r="D133" i="1" s="1"/>
  <c r="E14" i="2"/>
  <c r="C24" i="2"/>
  <c r="D24" i="2"/>
  <c r="E14" i="1"/>
  <c r="E12" i="1" s="1"/>
  <c r="E132" i="1"/>
  <c r="E133" i="1" s="1"/>
  <c r="G14" i="2"/>
  <c r="B799" i="2"/>
  <c r="B542" i="2"/>
  <c r="C1318" i="2"/>
  <c r="C1316" i="2"/>
  <c r="B1835" i="2"/>
  <c r="B1578" i="2"/>
  <c r="J17" i="2" l="1"/>
  <c r="I17" i="2" s="1"/>
  <c r="H17" i="2" s="1"/>
  <c r="G17" i="2" s="1"/>
  <c r="F17" i="2" s="1"/>
  <c r="E17" i="2" s="1"/>
  <c r="D17" i="2" s="1"/>
  <c r="C17" i="2" s="1"/>
  <c r="B17" i="2" s="1"/>
  <c r="G12" i="2"/>
  <c r="H12" i="2"/>
  <c r="C280" i="2"/>
  <c r="C282" i="2"/>
  <c r="C1836" i="2"/>
  <c r="C1834" i="2"/>
  <c r="E12" i="2"/>
  <c r="C12" i="2"/>
  <c r="J12" i="2"/>
  <c r="F12" i="2"/>
  <c r="E39" i="1"/>
  <c r="E38" i="1"/>
  <c r="C798" i="2"/>
  <c r="C800" i="2"/>
  <c r="D12" i="2"/>
  <c r="I12" i="2"/>
  <c r="B150" i="1"/>
  <c r="B133" i="1"/>
  <c r="B12" i="2"/>
  <c r="D17" i="1"/>
  <c r="D1314" i="2"/>
  <c r="D1315" i="2"/>
  <c r="D1320" i="2"/>
  <c r="D1319" i="2"/>
  <c r="B97" i="1"/>
  <c r="B114" i="1"/>
  <c r="E36" i="1"/>
  <c r="E37" i="1"/>
  <c r="D43" i="1"/>
  <c r="D42" i="1"/>
  <c r="C12" i="1"/>
  <c r="D12" i="1"/>
  <c r="C17" i="1"/>
  <c r="B17" i="1" s="1"/>
  <c r="C78" i="1"/>
  <c r="C76" i="1"/>
  <c r="B12" i="1"/>
  <c r="D80" i="1" l="1"/>
  <c r="D79" i="1"/>
  <c r="C149" i="1"/>
  <c r="C151" i="1"/>
  <c r="F33" i="1"/>
  <c r="F32" i="1"/>
  <c r="D802" i="2"/>
  <c r="D801" i="2"/>
  <c r="E41" i="1"/>
  <c r="E42" i="1"/>
  <c r="E1319" i="2"/>
  <c r="E1318" i="2"/>
  <c r="D796" i="2"/>
  <c r="D797" i="2"/>
  <c r="D1833" i="2"/>
  <c r="D1832" i="2"/>
  <c r="E1316" i="2"/>
  <c r="E1315" i="2"/>
  <c r="E1313" i="2"/>
  <c r="E1314" i="2"/>
  <c r="C115" i="1"/>
  <c r="C113" i="1"/>
  <c r="D75" i="1"/>
  <c r="D74" i="1"/>
  <c r="E43" i="1"/>
  <c r="E44" i="1"/>
  <c r="E1321" i="2"/>
  <c r="E1320" i="2"/>
  <c r="F36" i="1"/>
  <c r="F37" i="1"/>
  <c r="D1838" i="2"/>
  <c r="D1837" i="2"/>
  <c r="F39" i="1"/>
  <c r="F38" i="1"/>
  <c r="D284" i="2"/>
  <c r="D283" i="2"/>
  <c r="F35" i="1"/>
  <c r="F34" i="1"/>
  <c r="D279" i="2"/>
  <c r="D278" i="2"/>
  <c r="F1311" i="2" l="1"/>
  <c r="F1312" i="2"/>
  <c r="G29" i="1"/>
  <c r="M29" i="1" s="1"/>
  <c r="G28" i="1"/>
  <c r="M28" i="1" s="1"/>
  <c r="L34" i="1" s="1"/>
  <c r="K36" i="1" s="1"/>
  <c r="F1316" i="2"/>
  <c r="F1315" i="2"/>
  <c r="F1319" i="2"/>
  <c r="F1318" i="2"/>
  <c r="E802" i="2"/>
  <c r="E803" i="2"/>
  <c r="E283" i="2"/>
  <c r="E282" i="2"/>
  <c r="E277" i="2"/>
  <c r="E278" i="2"/>
  <c r="E280" i="2"/>
  <c r="E279" i="2"/>
  <c r="F1309" i="2"/>
  <c r="F1310" i="2"/>
  <c r="G39" i="1"/>
  <c r="M39" i="1" s="1"/>
  <c r="G38" i="1"/>
  <c r="M38" i="1" s="1"/>
  <c r="F1314" i="2"/>
  <c r="F1313" i="2"/>
  <c r="E801" i="2"/>
  <c r="E800" i="2"/>
  <c r="D152" i="1"/>
  <c r="D153" i="1"/>
  <c r="F1322" i="2"/>
  <c r="F1323" i="2"/>
  <c r="D112" i="1"/>
  <c r="D111" i="1"/>
  <c r="E1831" i="2"/>
  <c r="E1832" i="2"/>
  <c r="F1320" i="2"/>
  <c r="F1321" i="2"/>
  <c r="D148" i="1"/>
  <c r="D147" i="1"/>
  <c r="G35" i="1"/>
  <c r="M35" i="1" s="1"/>
  <c r="G34" i="1"/>
  <c r="M34" i="1" s="1"/>
  <c r="L37" i="1" s="1"/>
  <c r="E284" i="2"/>
  <c r="E285" i="2"/>
  <c r="G26" i="1"/>
  <c r="M26" i="1" s="1"/>
  <c r="G27" i="1"/>
  <c r="M27" i="1" s="1"/>
  <c r="L33" i="1"/>
  <c r="F1324" i="2"/>
  <c r="F1325" i="2"/>
  <c r="L36" i="1"/>
  <c r="G33" i="1"/>
  <c r="M33" i="1" s="1"/>
  <c r="G32" i="1"/>
  <c r="M32" i="1" s="1"/>
  <c r="G36" i="1"/>
  <c r="M36" i="1" s="1"/>
  <c r="L38" i="1" s="1"/>
  <c r="G37" i="1"/>
  <c r="M37" i="1" s="1"/>
  <c r="E73" i="1"/>
  <c r="E74" i="1"/>
  <c r="E796" i="2"/>
  <c r="E795" i="2"/>
  <c r="E76" i="1"/>
  <c r="E75" i="1"/>
  <c r="G30" i="1"/>
  <c r="M30" i="1" s="1"/>
  <c r="L35" i="1"/>
  <c r="G31" i="1"/>
  <c r="M31" i="1" s="1"/>
  <c r="E1837" i="2"/>
  <c r="E1836" i="2"/>
  <c r="F43" i="1"/>
  <c r="F44" i="1"/>
  <c r="E1838" i="2"/>
  <c r="E1839" i="2"/>
  <c r="F47" i="1"/>
  <c r="F48" i="1"/>
  <c r="D117" i="1"/>
  <c r="D116" i="1"/>
  <c r="E1834" i="2"/>
  <c r="E1833" i="2"/>
  <c r="F41" i="1"/>
  <c r="F42" i="1"/>
  <c r="E78" i="1"/>
  <c r="E79" i="1"/>
  <c r="F46" i="1"/>
  <c r="F45" i="1"/>
  <c r="E798" i="2"/>
  <c r="E797" i="2"/>
  <c r="G25" i="1"/>
  <c r="M25" i="1" s="1"/>
  <c r="G24" i="1"/>
  <c r="M24" i="1" s="1"/>
  <c r="L32" i="1" s="1"/>
  <c r="K35" i="1" s="1"/>
  <c r="E80" i="1"/>
  <c r="E81" i="1"/>
  <c r="J37" i="1" l="1"/>
  <c r="K37" i="1"/>
  <c r="F284" i="2"/>
  <c r="F285" i="2"/>
  <c r="F1828" i="2"/>
  <c r="F1827" i="2"/>
  <c r="F83" i="1"/>
  <c r="F82" i="1"/>
  <c r="F1831" i="2"/>
  <c r="F1832" i="2"/>
  <c r="F1843" i="2"/>
  <c r="F1842" i="2"/>
  <c r="F794" i="2"/>
  <c r="F793" i="2"/>
  <c r="F289" i="2"/>
  <c r="F288" i="2"/>
  <c r="G1316" i="2"/>
  <c r="G1315" i="2"/>
  <c r="G52" i="1"/>
  <c r="M52" i="1" s="1"/>
  <c r="G51" i="1"/>
  <c r="M51" i="1" s="1"/>
  <c r="L46" i="1" s="1"/>
  <c r="F72" i="1"/>
  <c r="F71" i="1"/>
  <c r="G1324" i="2"/>
  <c r="G1325" i="2"/>
  <c r="G1301" i="2"/>
  <c r="G1302" i="2"/>
  <c r="E115" i="1"/>
  <c r="E116" i="1"/>
  <c r="G48" i="1"/>
  <c r="M48" i="1" s="1"/>
  <c r="L44" i="1" s="1"/>
  <c r="G47" i="1"/>
  <c r="M47" i="1" s="1"/>
  <c r="G1328" i="2"/>
  <c r="G1329" i="2"/>
  <c r="F277" i="2"/>
  <c r="F278" i="2"/>
  <c r="F78" i="1"/>
  <c r="F79" i="1"/>
  <c r="E117" i="1"/>
  <c r="E118" i="1"/>
  <c r="G46" i="1"/>
  <c r="M46" i="1" s="1"/>
  <c r="L43" i="1"/>
  <c r="G45" i="1"/>
  <c r="M45" i="1" s="1"/>
  <c r="F73" i="1"/>
  <c r="F74" i="1"/>
  <c r="G1331" i="2"/>
  <c r="G1330" i="2"/>
  <c r="G1327" i="2"/>
  <c r="G1326" i="2"/>
  <c r="F280" i="2"/>
  <c r="F279" i="2"/>
  <c r="F804" i="2"/>
  <c r="F805" i="2"/>
  <c r="F802" i="2"/>
  <c r="F803" i="2"/>
  <c r="F80" i="1"/>
  <c r="F81" i="1"/>
  <c r="F70" i="1"/>
  <c r="F69" i="1"/>
  <c r="G1333" i="2"/>
  <c r="G1332" i="2"/>
  <c r="G1322" i="2"/>
  <c r="G1323" i="2"/>
  <c r="G1310" i="2"/>
  <c r="G1309" i="2"/>
  <c r="F806" i="2"/>
  <c r="F807" i="2"/>
  <c r="F76" i="1"/>
  <c r="F75" i="1"/>
  <c r="F1830" i="2"/>
  <c r="F1829" i="2"/>
  <c r="E153" i="1"/>
  <c r="E154" i="1"/>
  <c r="G1312" i="2"/>
  <c r="G1311" i="2"/>
  <c r="F276" i="2"/>
  <c r="F275" i="2"/>
  <c r="L39" i="1" a="1"/>
  <c r="L39" i="1" s="1"/>
  <c r="K38" i="1" s="1"/>
  <c r="F274" i="2"/>
  <c r="F273" i="2"/>
  <c r="G1318" i="2"/>
  <c r="G1319" i="2"/>
  <c r="G1308" i="2"/>
  <c r="G1307" i="2"/>
  <c r="F1833" i="2"/>
  <c r="F1834" i="2"/>
  <c r="G43" i="1"/>
  <c r="M43" i="1" s="1"/>
  <c r="L42" i="1" s="1"/>
  <c r="G44" i="1"/>
  <c r="M44" i="1" s="1"/>
  <c r="F1837" i="2"/>
  <c r="F1836" i="2"/>
  <c r="G41" i="1"/>
  <c r="M41" i="1" s="1"/>
  <c r="L41" i="1" s="1"/>
  <c r="G42" i="1"/>
  <c r="M42" i="1" s="1"/>
  <c r="G1321" i="2"/>
  <c r="G1320" i="2"/>
  <c r="F1841" i="2"/>
  <c r="F1840" i="2"/>
  <c r="F287" i="2"/>
  <c r="F286" i="2"/>
  <c r="F796" i="2"/>
  <c r="F795" i="2"/>
  <c r="F798" i="2"/>
  <c r="F797" i="2"/>
  <c r="G56" i="1"/>
  <c r="M56" i="1" s="1"/>
  <c r="G55" i="1"/>
  <c r="M55" i="1" s="1"/>
  <c r="L48" i="1" s="1"/>
  <c r="F792" i="2"/>
  <c r="F791" i="2"/>
  <c r="E146" i="1"/>
  <c r="E147" i="1"/>
  <c r="E110" i="1"/>
  <c r="E111" i="1"/>
  <c r="E151" i="1"/>
  <c r="E152" i="1"/>
  <c r="F85" i="1"/>
  <c r="F84" i="1"/>
  <c r="G49" i="1"/>
  <c r="M49" i="1" s="1"/>
  <c r="L45" i="1" s="1"/>
  <c r="G50" i="1"/>
  <c r="M50" i="1" s="1"/>
  <c r="G54" i="1"/>
  <c r="M54" i="1" s="1"/>
  <c r="L47" i="1"/>
  <c r="G53" i="1"/>
  <c r="M53" i="1" s="1"/>
  <c r="F1838" i="2"/>
  <c r="F1839" i="2"/>
  <c r="E149" i="1"/>
  <c r="E148" i="1"/>
  <c r="E113" i="1"/>
  <c r="E112" i="1"/>
  <c r="F801" i="2"/>
  <c r="F800" i="2"/>
  <c r="G1303" i="2"/>
  <c r="G1304" i="2"/>
  <c r="F283" i="2"/>
  <c r="F282" i="2"/>
  <c r="G1313" i="2"/>
  <c r="G1314" i="2"/>
  <c r="G1305" i="2"/>
  <c r="G1306" i="2"/>
  <c r="K44" i="1" l="1"/>
  <c r="K42" i="1"/>
  <c r="G801" i="2"/>
  <c r="G800" i="2"/>
  <c r="G812" i="2"/>
  <c r="G813" i="2"/>
  <c r="H1339" i="2"/>
  <c r="H1338" i="2"/>
  <c r="F153" i="1"/>
  <c r="F154" i="1"/>
  <c r="G786" i="2"/>
  <c r="G785" i="2"/>
  <c r="G1847" i="2"/>
  <c r="G1846" i="2"/>
  <c r="F157" i="1"/>
  <c r="F158" i="1"/>
  <c r="H1310" i="2"/>
  <c r="H1309" i="2"/>
  <c r="F149" i="1"/>
  <c r="F148" i="1"/>
  <c r="F108" i="1"/>
  <c r="F109" i="1"/>
  <c r="G794" i="2"/>
  <c r="G793" i="2"/>
  <c r="H1322" i="2"/>
  <c r="H1323" i="2"/>
  <c r="G1838" i="2"/>
  <c r="G1839" i="2"/>
  <c r="H1300" i="2"/>
  <c r="H1299" i="2"/>
  <c r="G815" i="2"/>
  <c r="G814" i="2"/>
  <c r="H1326" i="2"/>
  <c r="H1327" i="2"/>
  <c r="G83" i="1"/>
  <c r="M83" i="1" s="1"/>
  <c r="G82" i="1"/>
  <c r="M82" i="1" s="1"/>
  <c r="L80" i="1" s="1"/>
  <c r="H1345" i="2"/>
  <c r="H1344" i="2"/>
  <c r="F120" i="1"/>
  <c r="F119" i="1"/>
  <c r="H1341" i="2"/>
  <c r="H1340" i="2"/>
  <c r="F115" i="1"/>
  <c r="F116" i="1"/>
  <c r="G67" i="1"/>
  <c r="M67" i="1" s="1"/>
  <c r="G68" i="1"/>
  <c r="M68" i="1" s="1"/>
  <c r="L72" i="1"/>
  <c r="G1851" i="2"/>
  <c r="G1850" i="2"/>
  <c r="G1819" i="2"/>
  <c r="G1820" i="2"/>
  <c r="F155" i="1"/>
  <c r="F156" i="1"/>
  <c r="H1288" i="2"/>
  <c r="H1287" i="2"/>
  <c r="G1822" i="2"/>
  <c r="G1821" i="2"/>
  <c r="G283" i="2"/>
  <c r="G282" i="2"/>
  <c r="G802" i="2"/>
  <c r="G803" i="2"/>
  <c r="G91" i="1"/>
  <c r="M91" i="1" s="1"/>
  <c r="G90" i="1"/>
  <c r="M90" i="1" s="1"/>
  <c r="L84" i="1" s="1"/>
  <c r="K82" i="1" s="1"/>
  <c r="G291" i="2"/>
  <c r="G290" i="2"/>
  <c r="H1324" i="2"/>
  <c r="H1325" i="2"/>
  <c r="H1320" i="2"/>
  <c r="H1321" i="2"/>
  <c r="G270" i="2"/>
  <c r="G269" i="2"/>
  <c r="H1349" i="2"/>
  <c r="H1348" i="2"/>
  <c r="G806" i="2"/>
  <c r="G807" i="2"/>
  <c r="G280" i="2"/>
  <c r="G279" i="2"/>
  <c r="G69" i="1"/>
  <c r="M69" i="1" s="1"/>
  <c r="G70" i="1"/>
  <c r="M70" i="1" s="1"/>
  <c r="L73" i="1" s="1"/>
  <c r="K74" i="1" s="1"/>
  <c r="J75" i="1" s="1"/>
  <c r="G296" i="2"/>
  <c r="G297" i="2"/>
  <c r="G1829" i="2"/>
  <c r="G1830" i="2"/>
  <c r="G289" i="2"/>
  <c r="G288" i="2"/>
  <c r="F110" i="1"/>
  <c r="F111" i="1"/>
  <c r="G1841" i="2"/>
  <c r="G1840" i="2"/>
  <c r="G271" i="2"/>
  <c r="G272" i="2"/>
  <c r="G1824" i="2"/>
  <c r="G1823" i="2"/>
  <c r="H1301" i="2"/>
  <c r="H1302" i="2"/>
  <c r="G80" i="1"/>
  <c r="M80" i="1" s="1"/>
  <c r="L79" i="1" s="1"/>
  <c r="G81" i="1"/>
  <c r="M81" i="1" s="1"/>
  <c r="H1286" i="2"/>
  <c r="H1285" i="2"/>
  <c r="G787" i="2"/>
  <c r="G788" i="2"/>
  <c r="G1827" i="2"/>
  <c r="G1828" i="2"/>
  <c r="G1843" i="2"/>
  <c r="G1842" i="2"/>
  <c r="H1347" i="2"/>
  <c r="H1346" i="2"/>
  <c r="G295" i="2"/>
  <c r="G294" i="2"/>
  <c r="G284" i="2"/>
  <c r="G285" i="2"/>
  <c r="F113" i="1"/>
  <c r="F112" i="1"/>
  <c r="G92" i="1"/>
  <c r="M92" i="1" s="1"/>
  <c r="L85" i="1" s="1"/>
  <c r="G93" i="1"/>
  <c r="M93" i="1" s="1"/>
  <c r="F144" i="1"/>
  <c r="F145" i="1"/>
  <c r="G795" i="2"/>
  <c r="G796" i="2"/>
  <c r="G293" i="2"/>
  <c r="G292" i="2"/>
  <c r="G1834" i="2"/>
  <c r="G1833" i="2"/>
  <c r="H1319" i="2"/>
  <c r="H1318" i="2"/>
  <c r="H1305" i="2"/>
  <c r="H1306" i="2"/>
  <c r="G1825" i="2"/>
  <c r="G1826" i="2"/>
  <c r="H1304" i="2"/>
  <c r="H1303" i="2"/>
  <c r="G804" i="2"/>
  <c r="G805" i="2"/>
  <c r="H1335" i="2"/>
  <c r="H1334" i="2"/>
  <c r="G78" i="1"/>
  <c r="M78" i="1" s="1"/>
  <c r="G79" i="1"/>
  <c r="M79" i="1" s="1"/>
  <c r="L78" i="1" s="1"/>
  <c r="H1333" i="2"/>
  <c r="H1332" i="2"/>
  <c r="G790" i="2"/>
  <c r="G789" i="2"/>
  <c r="G87" i="1"/>
  <c r="M87" i="1" s="1"/>
  <c r="G86" i="1"/>
  <c r="M86" i="1" s="1"/>
  <c r="L82" i="1" s="1"/>
  <c r="K81" i="1" s="1"/>
  <c r="G287" i="2"/>
  <c r="G286" i="2"/>
  <c r="L74" i="1"/>
  <c r="G71" i="1"/>
  <c r="M71" i="1" s="1"/>
  <c r="G72" i="1"/>
  <c r="M72" i="1" s="1"/>
  <c r="K45" i="1"/>
  <c r="F142" i="1"/>
  <c r="F143" i="1"/>
  <c r="G798" i="2"/>
  <c r="G797" i="2"/>
  <c r="G1845" i="2"/>
  <c r="G1844" i="2"/>
  <c r="H1308" i="2"/>
  <c r="H1307" i="2"/>
  <c r="G73" i="1"/>
  <c r="M73" i="1" s="1"/>
  <c r="L75" i="1" s="1"/>
  <c r="K75" i="1" s="1"/>
  <c r="G74" i="1"/>
  <c r="M74" i="1" s="1"/>
  <c r="G62" i="1"/>
  <c r="M62" i="1" s="1"/>
  <c r="G61" i="1"/>
  <c r="M61" i="1" s="1"/>
  <c r="L69" i="1" s="1"/>
  <c r="K72" i="1" s="1"/>
  <c r="G811" i="2"/>
  <c r="G810" i="2"/>
  <c r="H1337" i="2"/>
  <c r="H1336" i="2"/>
  <c r="K43" i="1"/>
  <c r="H1330" i="2"/>
  <c r="H1331" i="2"/>
  <c r="H1313" i="2"/>
  <c r="H1314" i="2"/>
  <c r="J38" i="1"/>
  <c r="H1294" i="2"/>
  <c r="H1293" i="2"/>
  <c r="H1290" i="2"/>
  <c r="H1289" i="2"/>
  <c r="F151" i="1"/>
  <c r="F152" i="1"/>
  <c r="G783" i="2"/>
  <c r="G784" i="2"/>
  <c r="G1837" i="2"/>
  <c r="G1836" i="2"/>
  <c r="G1831" i="2"/>
  <c r="G1832" i="2"/>
  <c r="G266" i="2"/>
  <c r="G265" i="2"/>
  <c r="G76" i="1"/>
  <c r="M76" i="1" s="1"/>
  <c r="G75" i="1"/>
  <c r="M75" i="1" s="1"/>
  <c r="L76" i="1" s="1" a="1"/>
  <c r="L76" i="1" s="1"/>
  <c r="G63" i="1"/>
  <c r="M63" i="1" s="1"/>
  <c r="L70" i="1"/>
  <c r="G64" i="1"/>
  <c r="M64" i="1" s="1"/>
  <c r="G276" i="2"/>
  <c r="G275" i="2"/>
  <c r="F117" i="1"/>
  <c r="F118" i="1"/>
  <c r="H1316" i="2"/>
  <c r="H1315" i="2"/>
  <c r="G88" i="1"/>
  <c r="M88" i="1" s="1"/>
  <c r="L83" i="1" s="1"/>
  <c r="G89" i="1"/>
  <c r="M89" i="1" s="1"/>
  <c r="F107" i="1"/>
  <c r="F106" i="1"/>
  <c r="G277" i="2"/>
  <c r="G278" i="2"/>
  <c r="H1296" i="2"/>
  <c r="H1295" i="2"/>
  <c r="H1292" i="2"/>
  <c r="H1291" i="2"/>
  <c r="H1312" i="2"/>
  <c r="H1311" i="2"/>
  <c r="F147" i="1"/>
  <c r="F146" i="1"/>
  <c r="G792" i="2"/>
  <c r="G791" i="2"/>
  <c r="H1298" i="2"/>
  <c r="H1297" i="2"/>
  <c r="G267" i="2"/>
  <c r="G268" i="2"/>
  <c r="H1329" i="2"/>
  <c r="H1328" i="2"/>
  <c r="G85" i="1"/>
  <c r="M85" i="1" s="1"/>
  <c r="G84" i="1"/>
  <c r="M84" i="1" s="1"/>
  <c r="L81" i="1" s="1"/>
  <c r="G808" i="2"/>
  <c r="G809" i="2"/>
  <c r="H1343" i="2"/>
  <c r="H1342" i="2"/>
  <c r="F122" i="1"/>
  <c r="F121" i="1"/>
  <c r="G274" i="2"/>
  <c r="G273" i="2"/>
  <c r="G66" i="1"/>
  <c r="M66" i="1" s="1"/>
  <c r="L71" i="1" s="1"/>
  <c r="K73" i="1" s="1"/>
  <c r="G65" i="1"/>
  <c r="M65" i="1" s="1"/>
  <c r="G1849" i="2"/>
  <c r="G1848" i="2"/>
  <c r="I39" i="1"/>
  <c r="K80" i="1" l="1"/>
  <c r="J80" i="1"/>
  <c r="J74" i="1"/>
  <c r="I76" i="1" s="1"/>
  <c r="K79" i="1"/>
  <c r="I1275" i="2"/>
  <c r="I1276" i="2"/>
  <c r="H794" i="2"/>
  <c r="H793" i="2"/>
  <c r="I1335" i="2"/>
  <c r="I1334" i="2"/>
  <c r="I1350" i="2"/>
  <c r="I1351" i="2"/>
  <c r="H299" i="2"/>
  <c r="H298" i="2"/>
  <c r="I1258" i="2"/>
  <c r="I1257" i="2"/>
  <c r="G116" i="1"/>
  <c r="M116" i="1" s="1"/>
  <c r="L115" i="1" s="1"/>
  <c r="K116" i="1" s="1"/>
  <c r="G115" i="1"/>
  <c r="M115" i="1" s="1"/>
  <c r="H829" i="2"/>
  <c r="H828" i="2"/>
  <c r="H1841" i="2"/>
  <c r="H1840" i="2"/>
  <c r="G166" i="1"/>
  <c r="M166" i="1" s="1"/>
  <c r="L158" i="1"/>
  <c r="G165" i="1"/>
  <c r="M165" i="1" s="1"/>
  <c r="H774" i="2"/>
  <c r="H773" i="2"/>
  <c r="I1368" i="2"/>
  <c r="I1369" i="2"/>
  <c r="I1339" i="2"/>
  <c r="I1338" i="2"/>
  <c r="H784" i="2"/>
  <c r="H783" i="2"/>
  <c r="H275" i="2"/>
  <c r="H276" i="2"/>
  <c r="H271" i="2"/>
  <c r="H272" i="2"/>
  <c r="H252" i="2"/>
  <c r="H251" i="2"/>
  <c r="H768" i="2"/>
  <c r="H767" i="2"/>
  <c r="H823" i="2"/>
  <c r="H822" i="2"/>
  <c r="I1298" i="2"/>
  <c r="I1297" i="2"/>
  <c r="L143" i="1"/>
  <c r="G137" i="1"/>
  <c r="M137" i="1" s="1"/>
  <c r="G136" i="1"/>
  <c r="M136" i="1" s="1"/>
  <c r="I1353" i="2"/>
  <c r="I1352" i="2"/>
  <c r="H1831" i="2"/>
  <c r="H1832" i="2"/>
  <c r="G110" i="1"/>
  <c r="M110" i="1" s="1"/>
  <c r="G111" i="1"/>
  <c r="M111" i="1" s="1"/>
  <c r="L112" i="1" s="1"/>
  <c r="K112" i="1" s="1"/>
  <c r="I1374" i="2"/>
  <c r="I1375" i="2"/>
  <c r="H1820" i="2"/>
  <c r="H1819" i="2"/>
  <c r="H264" i="2"/>
  <c r="H263" i="2"/>
  <c r="H815" i="2"/>
  <c r="H814" i="2"/>
  <c r="H260" i="2"/>
  <c r="H259" i="2"/>
  <c r="H300" i="2"/>
  <c r="H301" i="2"/>
  <c r="H283" i="2"/>
  <c r="H282" i="2"/>
  <c r="I1259" i="2"/>
  <c r="I1260" i="2"/>
  <c r="H1865" i="2"/>
  <c r="H1864" i="2"/>
  <c r="I1373" i="2"/>
  <c r="I1372" i="2"/>
  <c r="L108" i="1"/>
  <c r="G103" i="1"/>
  <c r="M103" i="1" s="1"/>
  <c r="G102" i="1"/>
  <c r="M102" i="1" s="1"/>
  <c r="G157" i="1"/>
  <c r="M157" i="1" s="1"/>
  <c r="L154" i="1" s="1"/>
  <c r="G158" i="1"/>
  <c r="M158" i="1" s="1"/>
  <c r="H824" i="2"/>
  <c r="H825" i="2"/>
  <c r="G108" i="1"/>
  <c r="M108" i="1" s="1"/>
  <c r="G109" i="1"/>
  <c r="M109" i="1" s="1"/>
  <c r="L111" i="1" s="1"/>
  <c r="G104" i="1"/>
  <c r="M104" i="1" s="1"/>
  <c r="L109" i="1" s="1"/>
  <c r="G105" i="1"/>
  <c r="M105" i="1" s="1"/>
  <c r="I1367" i="2"/>
  <c r="I1366" i="2"/>
  <c r="H250" i="2"/>
  <c r="H249" i="2"/>
  <c r="H782" i="2"/>
  <c r="H781" i="2"/>
  <c r="H312" i="2"/>
  <c r="H313" i="2"/>
  <c r="H805" i="2"/>
  <c r="H804" i="2"/>
  <c r="I1370" i="2"/>
  <c r="I1371" i="2"/>
  <c r="H266" i="2"/>
  <c r="H265" i="2"/>
  <c r="H819" i="2"/>
  <c r="H818" i="2"/>
  <c r="I1341" i="2"/>
  <c r="I1340" i="2"/>
  <c r="H273" i="2"/>
  <c r="H274" i="2"/>
  <c r="I1314" i="2"/>
  <c r="I1313" i="2"/>
  <c r="I1270" i="2"/>
  <c r="I1269" i="2"/>
  <c r="I1343" i="2"/>
  <c r="I1342" i="2"/>
  <c r="I1300" i="2"/>
  <c r="I1299" i="2"/>
  <c r="G134" i="1"/>
  <c r="M134" i="1" s="1"/>
  <c r="G135" i="1"/>
  <c r="M135" i="1" s="1"/>
  <c r="L142" i="1" s="1"/>
  <c r="K145" i="1" s="1"/>
  <c r="H293" i="2"/>
  <c r="H292" i="2"/>
  <c r="I1347" i="2"/>
  <c r="I1346" i="2"/>
  <c r="H811" i="2"/>
  <c r="H810" i="2"/>
  <c r="H1816" i="2"/>
  <c r="H1815" i="2"/>
  <c r="H1834" i="2"/>
  <c r="H1833" i="2"/>
  <c r="L145" i="1"/>
  <c r="G141" i="1"/>
  <c r="M141" i="1" s="1"/>
  <c r="G140" i="1"/>
  <c r="M140" i="1" s="1"/>
  <c r="G113" i="1"/>
  <c r="M113" i="1" s="1"/>
  <c r="G112" i="1"/>
  <c r="M112" i="1" s="1"/>
  <c r="L113" i="1" s="1" a="1"/>
  <c r="L113" i="1" s="1"/>
  <c r="I1376" i="2"/>
  <c r="I1377" i="2"/>
  <c r="H778" i="2"/>
  <c r="H777" i="2"/>
  <c r="H295" i="2"/>
  <c r="H294" i="2"/>
  <c r="H310" i="2"/>
  <c r="H311" i="2"/>
  <c r="H1866" i="2"/>
  <c r="H1867" i="2"/>
  <c r="I1362" i="2"/>
  <c r="I1363" i="2"/>
  <c r="H830" i="2"/>
  <c r="H831" i="2"/>
  <c r="I1329" i="2"/>
  <c r="I1328" i="2"/>
  <c r="G146" i="1"/>
  <c r="M146" i="1" s="1"/>
  <c r="L148" i="1" s="1"/>
  <c r="G147" i="1"/>
  <c r="M147" i="1" s="1"/>
  <c r="G163" i="1"/>
  <c r="M163" i="1" s="1"/>
  <c r="L157" i="1" s="1"/>
  <c r="K155" i="1" s="1"/>
  <c r="G164" i="1"/>
  <c r="M164" i="1" s="1"/>
  <c r="G155" i="1"/>
  <c r="M155" i="1" s="1"/>
  <c r="L153" i="1"/>
  <c r="G156" i="1"/>
  <c r="M156" i="1" s="1"/>
  <c r="I1256" i="2"/>
  <c r="I1255" i="2"/>
  <c r="H1804" i="2"/>
  <c r="H1803" i="2"/>
  <c r="H772" i="2"/>
  <c r="H771" i="2"/>
  <c r="I1308" i="2"/>
  <c r="I1307" i="2"/>
  <c r="H770" i="2"/>
  <c r="H769" i="2"/>
  <c r="I1320" i="2"/>
  <c r="I1321" i="2"/>
  <c r="H267" i="2"/>
  <c r="H268" i="2"/>
  <c r="H786" i="2"/>
  <c r="H785" i="2"/>
  <c r="H1829" i="2"/>
  <c r="H1830" i="2"/>
  <c r="H1852" i="2"/>
  <c r="H1853" i="2"/>
  <c r="I1349" i="2"/>
  <c r="I1348" i="2"/>
  <c r="I1296" i="2"/>
  <c r="I1295" i="2"/>
  <c r="H289" i="2"/>
  <c r="H288" i="2"/>
  <c r="H776" i="2"/>
  <c r="H775" i="2"/>
  <c r="I1288" i="2"/>
  <c r="I1287" i="2"/>
  <c r="H262" i="2"/>
  <c r="H261" i="2"/>
  <c r="H812" i="2"/>
  <c r="H813" i="2"/>
  <c r="I1325" i="2"/>
  <c r="I1324" i="2"/>
  <c r="H284" i="2"/>
  <c r="H285" i="2"/>
  <c r="G162" i="1"/>
  <c r="M162" i="1" s="1"/>
  <c r="L156" i="1"/>
  <c r="G161" i="1"/>
  <c r="M161" i="1" s="1"/>
  <c r="I1364" i="2"/>
  <c r="I1365" i="2"/>
  <c r="I1326" i="2"/>
  <c r="I1327" i="2"/>
  <c r="H801" i="2"/>
  <c r="H800" i="2"/>
  <c r="I1306" i="2"/>
  <c r="I1305" i="2"/>
  <c r="H798" i="2"/>
  <c r="H797" i="2"/>
  <c r="I1292" i="2"/>
  <c r="I1291" i="2"/>
  <c r="H309" i="2"/>
  <c r="H308" i="2"/>
  <c r="H1824" i="2"/>
  <c r="H1823" i="2"/>
  <c r="H807" i="2"/>
  <c r="H806" i="2"/>
  <c r="H826" i="2"/>
  <c r="H827" i="2"/>
  <c r="I1280" i="2"/>
  <c r="I1279" i="2"/>
  <c r="I1263" i="2"/>
  <c r="I1264" i="2"/>
  <c r="H792" i="2"/>
  <c r="H791" i="2"/>
  <c r="G106" i="1"/>
  <c r="M106" i="1" s="1"/>
  <c r="L110" i="1"/>
  <c r="G107" i="1"/>
  <c r="M107" i="1" s="1"/>
  <c r="H1860" i="2"/>
  <c r="H1861" i="2"/>
  <c r="I1265" i="2"/>
  <c r="I1266" i="2"/>
  <c r="L152" i="1"/>
  <c r="G153" i="1"/>
  <c r="M153" i="1" s="1"/>
  <c r="G154" i="1"/>
  <c r="M154" i="1" s="1"/>
  <c r="H1863" i="2"/>
  <c r="H1862" i="2"/>
  <c r="G128" i="1"/>
  <c r="M128" i="1" s="1"/>
  <c r="G127" i="1"/>
  <c r="M127" i="1" s="1"/>
  <c r="L121" i="1" s="1"/>
  <c r="G143" i="1"/>
  <c r="M143" i="1" s="1"/>
  <c r="G142" i="1"/>
  <c r="M142" i="1" s="1"/>
  <c r="L146" i="1" s="1"/>
  <c r="I1268" i="2"/>
  <c r="I1267" i="2"/>
  <c r="G99" i="1"/>
  <c r="M99" i="1" s="1"/>
  <c r="L106" i="1" s="1"/>
  <c r="K109" i="1" s="1"/>
  <c r="G98" i="1"/>
  <c r="M98" i="1" s="1"/>
  <c r="H1827" i="2"/>
  <c r="H1828" i="2"/>
  <c r="G151" i="1"/>
  <c r="M151" i="1" s="1"/>
  <c r="L151" i="1" s="1"/>
  <c r="K152" i="1" s="1"/>
  <c r="G152" i="1"/>
  <c r="M152" i="1" s="1"/>
  <c r="H1855" i="2"/>
  <c r="H1854" i="2"/>
  <c r="H808" i="2"/>
  <c r="H809" i="2"/>
  <c r="I1293" i="2"/>
  <c r="I1294" i="2"/>
  <c r="G138" i="1"/>
  <c r="M138" i="1" s="1"/>
  <c r="L144" i="1"/>
  <c r="G139" i="1"/>
  <c r="M139" i="1" s="1"/>
  <c r="H1849" i="2"/>
  <c r="H1848" i="2"/>
  <c r="I1285" i="2"/>
  <c r="I1286" i="2"/>
  <c r="H1845" i="2"/>
  <c r="H1844" i="2"/>
  <c r="H296" i="2"/>
  <c r="H297" i="2"/>
  <c r="I1323" i="2"/>
  <c r="I1322" i="2"/>
  <c r="H1808" i="2"/>
  <c r="H1807" i="2"/>
  <c r="G159" i="1"/>
  <c r="M159" i="1" s="1"/>
  <c r="L155" i="1" s="1"/>
  <c r="K154" i="1" s="1"/>
  <c r="G160" i="1"/>
  <c r="M160" i="1" s="1"/>
  <c r="G124" i="1"/>
  <c r="M124" i="1" s="1"/>
  <c r="L119" i="1"/>
  <c r="G123" i="1"/>
  <c r="M123" i="1" s="1"/>
  <c r="I1281" i="2"/>
  <c r="I1282" i="2"/>
  <c r="H788" i="2"/>
  <c r="H787" i="2"/>
  <c r="G149" i="1"/>
  <c r="M149" i="1" s="1"/>
  <c r="G148" i="1"/>
  <c r="M148" i="1" s="1"/>
  <c r="H1857" i="2"/>
  <c r="H1856" i="2"/>
  <c r="I1358" i="2"/>
  <c r="I1359" i="2"/>
  <c r="H802" i="2"/>
  <c r="H803" i="2"/>
  <c r="I1261" i="2"/>
  <c r="I1262" i="2"/>
  <c r="H780" i="2"/>
  <c r="H779" i="2"/>
  <c r="H1822" i="2"/>
  <c r="H1821" i="2"/>
  <c r="I1330" i="2"/>
  <c r="I1331" i="2"/>
  <c r="I1345" i="2"/>
  <c r="I1344" i="2"/>
  <c r="H291" i="2"/>
  <c r="H290" i="2"/>
  <c r="H1814" i="2"/>
  <c r="H1813" i="2"/>
  <c r="I1272" i="2"/>
  <c r="I1271" i="2"/>
  <c r="H817" i="2"/>
  <c r="H816" i="2"/>
  <c r="H303" i="2"/>
  <c r="H302" i="2"/>
  <c r="H287" i="2"/>
  <c r="H286" i="2"/>
  <c r="H1825" i="2"/>
  <c r="H1826" i="2"/>
  <c r="I1378" i="2"/>
  <c r="I1379" i="2"/>
  <c r="I1333" i="2"/>
  <c r="I1332" i="2"/>
  <c r="H1810" i="2"/>
  <c r="H1809" i="2"/>
  <c r="H1806" i="2"/>
  <c r="H1805" i="2"/>
  <c r="I1337" i="2"/>
  <c r="I1336" i="2"/>
  <c r="I1283" i="2"/>
  <c r="I1284" i="2"/>
  <c r="H790" i="2"/>
  <c r="H789" i="2"/>
  <c r="I1301" i="2"/>
  <c r="I1302" i="2"/>
  <c r="H1858" i="2"/>
  <c r="H1859" i="2"/>
  <c r="I1361" i="2"/>
  <c r="I1360" i="2"/>
  <c r="J42" i="1"/>
  <c r="I1277" i="2"/>
  <c r="I1278" i="2"/>
  <c r="H1839" i="2"/>
  <c r="H1838" i="2"/>
  <c r="H280" i="2"/>
  <c r="H279" i="2"/>
  <c r="G117" i="1"/>
  <c r="M117" i="1" s="1"/>
  <c r="G118" i="1"/>
  <c r="M118" i="1" s="1"/>
  <c r="L116" i="1"/>
  <c r="I1304" i="2"/>
  <c r="I1303" i="2"/>
  <c r="H270" i="2"/>
  <c r="H269" i="2"/>
  <c r="H821" i="2"/>
  <c r="H820" i="2"/>
  <c r="H1818" i="2"/>
  <c r="H1817" i="2"/>
  <c r="H258" i="2"/>
  <c r="H257" i="2"/>
  <c r="H256" i="2"/>
  <c r="H255" i="2"/>
  <c r="I1316" i="2"/>
  <c r="I1315" i="2"/>
  <c r="H254" i="2"/>
  <c r="H253" i="2"/>
  <c r="G100" i="1"/>
  <c r="M100" i="1" s="1"/>
  <c r="G101" i="1"/>
  <c r="M101" i="1" s="1"/>
  <c r="L107" i="1" s="1"/>
  <c r="G122" i="1"/>
  <c r="M122" i="1" s="1"/>
  <c r="G121" i="1"/>
  <c r="M121" i="1" s="1"/>
  <c r="L118" i="1" s="1"/>
  <c r="H1836" i="2"/>
  <c r="H1837" i="2"/>
  <c r="I1312" i="2"/>
  <c r="I1311" i="2"/>
  <c r="I1354" i="2"/>
  <c r="I1355" i="2"/>
  <c r="G129" i="1"/>
  <c r="M129" i="1" s="1"/>
  <c r="L122" i="1" s="1"/>
  <c r="G130" i="1"/>
  <c r="M130" i="1" s="1"/>
  <c r="G145" i="1"/>
  <c r="M145" i="1" s="1"/>
  <c r="G144" i="1"/>
  <c r="M144" i="1" s="1"/>
  <c r="L147" i="1" s="1"/>
  <c r="I1273" i="2"/>
  <c r="I1274" i="2"/>
  <c r="G120" i="1"/>
  <c r="M120" i="1" s="1"/>
  <c r="L117" i="1" s="1"/>
  <c r="G119" i="1"/>
  <c r="M119" i="1" s="1"/>
  <c r="I1310" i="2"/>
  <c r="I1309" i="2"/>
  <c r="I1357" i="2"/>
  <c r="I1356" i="2"/>
  <c r="H795" i="2"/>
  <c r="H796" i="2"/>
  <c r="I1290" i="2"/>
  <c r="I1289" i="2"/>
  <c r="I1319" i="2"/>
  <c r="I1318" i="2"/>
  <c r="H304" i="2"/>
  <c r="H305" i="2"/>
  <c r="H307" i="2"/>
  <c r="H306" i="2"/>
  <c r="H1850" i="2"/>
  <c r="H1851" i="2"/>
  <c r="I1254" i="2"/>
  <c r="I1253" i="2"/>
  <c r="H1812" i="2"/>
  <c r="H1811" i="2"/>
  <c r="H1846" i="2"/>
  <c r="H1847" i="2"/>
  <c r="H277" i="2"/>
  <c r="H278" i="2"/>
  <c r="I1381" i="2"/>
  <c r="I1380" i="2"/>
  <c r="G125" i="1"/>
  <c r="M125" i="1" s="1"/>
  <c r="G126" i="1"/>
  <c r="M126" i="1" s="1"/>
  <c r="L120" i="1" s="1"/>
  <c r="H1843" i="2"/>
  <c r="H1842" i="2"/>
  <c r="J43" i="1"/>
  <c r="K147" i="1" l="1"/>
  <c r="J153" i="1"/>
  <c r="K119" i="1"/>
  <c r="K117" i="1"/>
  <c r="J116" i="1" s="1"/>
  <c r="I115" i="1" s="1"/>
  <c r="I298" i="2"/>
  <c r="I299" i="2"/>
  <c r="J1205" i="2"/>
  <c r="J1206" i="2"/>
  <c r="J1270" i="2"/>
  <c r="J1269" i="2"/>
  <c r="I225" i="2"/>
  <c r="I226" i="2"/>
  <c r="I782" i="2"/>
  <c r="I781" i="2"/>
  <c r="I1849" i="2"/>
  <c r="I1848" i="2"/>
  <c r="I331" i="2"/>
  <c r="I330" i="2"/>
  <c r="I1850" i="2"/>
  <c r="I1851" i="2"/>
  <c r="I275" i="2"/>
  <c r="I276" i="2"/>
  <c r="J1189" i="2"/>
  <c r="J1190" i="2"/>
  <c r="J1302" i="2"/>
  <c r="J1301" i="2"/>
  <c r="J1230" i="2"/>
  <c r="J1229" i="2"/>
  <c r="I258" i="2"/>
  <c r="I257" i="2"/>
  <c r="J1237" i="2"/>
  <c r="J1238" i="2"/>
  <c r="J1250" i="2"/>
  <c r="J1249" i="2"/>
  <c r="I1783" i="2"/>
  <c r="I1784" i="2"/>
  <c r="I324" i="2"/>
  <c r="I325" i="2"/>
  <c r="J1345" i="2"/>
  <c r="J1344" i="2"/>
  <c r="I778" i="2"/>
  <c r="I777" i="2"/>
  <c r="J1271" i="2"/>
  <c r="J1272" i="2"/>
  <c r="I273" i="2"/>
  <c r="I274" i="2"/>
  <c r="J1263" i="2"/>
  <c r="J1264" i="2"/>
  <c r="J1390" i="2"/>
  <c r="J1391" i="2"/>
  <c r="J1313" i="2"/>
  <c r="J1314" i="2"/>
  <c r="I1799" i="2"/>
  <c r="I1800" i="2"/>
  <c r="I260" i="2"/>
  <c r="I259" i="2"/>
  <c r="I280" i="2"/>
  <c r="I279" i="2"/>
  <c r="I41" i="1"/>
  <c r="H40" i="1" s="1"/>
  <c r="J1285" i="2"/>
  <c r="J1286" i="2"/>
  <c r="I1785" i="2"/>
  <c r="I1786" i="2"/>
  <c r="I1816" i="2"/>
  <c r="I1815" i="2"/>
  <c r="I1794" i="2"/>
  <c r="I1793" i="2"/>
  <c r="J1208" i="2"/>
  <c r="J1207" i="2"/>
  <c r="J1399" i="2"/>
  <c r="J1398" i="2"/>
  <c r="I312" i="2"/>
  <c r="I313" i="2"/>
  <c r="J1254" i="2"/>
  <c r="J1253" i="2"/>
  <c r="J1215" i="2"/>
  <c r="J1216" i="2"/>
  <c r="J1242" i="2"/>
  <c r="J1241" i="2"/>
  <c r="I1812" i="2"/>
  <c r="I1811" i="2"/>
  <c r="J1333" i="2"/>
  <c r="J1332" i="2"/>
  <c r="J1260" i="2"/>
  <c r="J1259" i="2"/>
  <c r="J1274" i="2"/>
  <c r="J1273" i="2"/>
  <c r="I1773" i="2"/>
  <c r="I1774" i="2"/>
  <c r="I757" i="2"/>
  <c r="I758" i="2"/>
  <c r="I304" i="2"/>
  <c r="I305" i="2"/>
  <c r="J1367" i="2"/>
  <c r="J1366" i="2"/>
  <c r="I268" i="2"/>
  <c r="I267" i="2"/>
  <c r="I838" i="2"/>
  <c r="I839" i="2"/>
  <c r="I765" i="2"/>
  <c r="I766" i="2"/>
  <c r="J1429" i="2"/>
  <c r="J1428" i="2"/>
  <c r="I829" i="2"/>
  <c r="I828" i="2"/>
  <c r="I1829" i="2"/>
  <c r="I1830" i="2"/>
  <c r="J1278" i="2"/>
  <c r="J1277" i="2"/>
  <c r="J1421" i="2"/>
  <c r="J1420" i="2"/>
  <c r="J1384" i="2"/>
  <c r="J1385" i="2"/>
  <c r="I789" i="2"/>
  <c r="I790" i="2"/>
  <c r="J1306" i="2"/>
  <c r="J1305" i="2"/>
  <c r="J1244" i="2"/>
  <c r="J1243" i="2"/>
  <c r="I795" i="2"/>
  <c r="I796" i="2"/>
  <c r="I802" i="2"/>
  <c r="I803" i="2"/>
  <c r="I826" i="2"/>
  <c r="I827" i="2"/>
  <c r="J1275" i="2"/>
  <c r="J1276" i="2"/>
  <c r="J1297" i="2"/>
  <c r="J1298" i="2"/>
  <c r="I341" i="2"/>
  <c r="I340" i="2"/>
  <c r="I808" i="2"/>
  <c r="I809" i="2"/>
  <c r="I1892" i="2"/>
  <c r="I1893" i="2"/>
  <c r="I1827" i="2"/>
  <c r="I1828" i="2"/>
  <c r="I270" i="2"/>
  <c r="I269" i="2"/>
  <c r="J1236" i="2"/>
  <c r="J1235" i="2"/>
  <c r="I1867" i="2"/>
  <c r="I1866" i="2"/>
  <c r="I792" i="2"/>
  <c r="I791" i="2"/>
  <c r="J1307" i="2"/>
  <c r="J1308" i="2"/>
  <c r="I229" i="2"/>
  <c r="I230" i="2"/>
  <c r="I1840" i="2"/>
  <c r="I1841" i="2"/>
  <c r="J1402" i="2"/>
  <c r="J1403" i="2"/>
  <c r="J1356" i="2"/>
  <c r="J1357" i="2"/>
  <c r="J1347" i="2"/>
  <c r="J1346" i="2"/>
  <c r="I291" i="2"/>
  <c r="I290" i="2"/>
  <c r="I834" i="2"/>
  <c r="I835" i="2"/>
  <c r="I300" i="2"/>
  <c r="I301" i="2"/>
  <c r="I1808" i="2"/>
  <c r="I1807" i="2"/>
  <c r="I1876" i="2"/>
  <c r="I1877" i="2"/>
  <c r="I310" i="2"/>
  <c r="I311" i="2"/>
  <c r="I1860" i="2"/>
  <c r="I1861" i="2"/>
  <c r="I819" i="2"/>
  <c r="I818" i="2"/>
  <c r="J1218" i="2"/>
  <c r="J1217" i="2"/>
  <c r="I784" i="2"/>
  <c r="I783" i="2"/>
  <c r="I855" i="2"/>
  <c r="I854" i="2"/>
  <c r="I1814" i="2"/>
  <c r="I1813" i="2"/>
  <c r="I798" i="2"/>
  <c r="I797" i="2"/>
  <c r="J1337" i="2"/>
  <c r="J1336" i="2"/>
  <c r="I752" i="2"/>
  <c r="I751" i="2"/>
  <c r="J1325" i="2"/>
  <c r="J1324" i="2"/>
  <c r="J1299" i="2"/>
  <c r="J1300" i="2"/>
  <c r="J1196" i="2"/>
  <c r="J1195" i="2"/>
  <c r="I861" i="2"/>
  <c r="I860" i="2"/>
  <c r="I339" i="2"/>
  <c r="I338" i="2"/>
  <c r="I1831" i="2"/>
  <c r="I1832" i="2"/>
  <c r="I823" i="2"/>
  <c r="I822" i="2"/>
  <c r="J1221" i="2"/>
  <c r="J1222" i="2"/>
  <c r="I266" i="2"/>
  <c r="I265" i="2"/>
  <c r="I250" i="2"/>
  <c r="I249" i="2"/>
  <c r="I811" i="2"/>
  <c r="I810" i="2"/>
  <c r="I220" i="2"/>
  <c r="I219" i="2"/>
  <c r="I320" i="2"/>
  <c r="I321" i="2"/>
  <c r="I830" i="2"/>
  <c r="I831" i="2"/>
  <c r="I221" i="2"/>
  <c r="I222" i="2"/>
  <c r="I768" i="2"/>
  <c r="I767" i="2"/>
  <c r="J1418" i="2"/>
  <c r="J1419" i="2"/>
  <c r="J1198" i="2"/>
  <c r="J1197" i="2"/>
  <c r="J1382" i="2"/>
  <c r="J1383" i="2"/>
  <c r="J1192" i="2"/>
  <c r="J1191" i="2"/>
  <c r="I329" i="2"/>
  <c r="I328" i="2"/>
  <c r="J1316" i="2"/>
  <c r="J1315" i="2"/>
  <c r="J1354" i="2"/>
  <c r="J1355" i="2"/>
  <c r="J1214" i="2"/>
  <c r="J1213" i="2"/>
  <c r="I1826" i="2"/>
  <c r="I1825" i="2"/>
  <c r="I254" i="2"/>
  <c r="I253" i="2"/>
  <c r="J1194" i="2"/>
  <c r="J1193" i="2"/>
  <c r="I863" i="2"/>
  <c r="I862" i="2"/>
  <c r="I821" i="2"/>
  <c r="I820" i="2"/>
  <c r="J1368" i="2"/>
  <c r="J1369" i="2"/>
  <c r="I217" i="2"/>
  <c r="I218" i="2"/>
  <c r="I285" i="2"/>
  <c r="I284" i="2"/>
  <c r="J1433" i="2"/>
  <c r="J1432" i="2"/>
  <c r="J1279" i="2"/>
  <c r="J1280" i="2"/>
  <c r="I1845" i="2"/>
  <c r="I1844" i="2"/>
  <c r="I327" i="2"/>
  <c r="I326" i="2"/>
  <c r="I1857" i="2"/>
  <c r="I1856" i="2"/>
  <c r="J1319" i="2"/>
  <c r="J1318" i="2"/>
  <c r="I1839" i="2"/>
  <c r="I1838" i="2"/>
  <c r="I232" i="2"/>
  <c r="I231" i="2"/>
  <c r="I840" i="2"/>
  <c r="I841" i="2"/>
  <c r="J1291" i="2"/>
  <c r="J1292" i="2"/>
  <c r="I1842" i="2"/>
  <c r="I1843" i="2"/>
  <c r="J1404" i="2"/>
  <c r="J1405" i="2"/>
  <c r="I780" i="2"/>
  <c r="I779" i="2"/>
  <c r="J1349" i="2"/>
  <c r="J1348" i="2"/>
  <c r="J1226" i="2"/>
  <c r="J1225" i="2"/>
  <c r="I1810" i="2"/>
  <c r="I1809" i="2"/>
  <c r="I807" i="2"/>
  <c r="I806" i="2"/>
  <c r="I1879" i="2"/>
  <c r="I1878" i="2"/>
  <c r="J1245" i="2"/>
  <c r="J1246" i="2"/>
  <c r="I1780" i="2"/>
  <c r="I1779" i="2"/>
  <c r="I1852" i="2"/>
  <c r="I1853" i="2"/>
  <c r="I1863" i="2"/>
  <c r="I1862" i="2"/>
  <c r="I1822" i="2"/>
  <c r="I1821" i="2"/>
  <c r="J1220" i="2"/>
  <c r="J1219" i="2"/>
  <c r="I1888" i="2"/>
  <c r="I1889" i="2"/>
  <c r="I1887" i="2"/>
  <c r="I1886" i="2"/>
  <c r="I785" i="2"/>
  <c r="I786" i="2"/>
  <c r="I853" i="2"/>
  <c r="I852" i="2"/>
  <c r="I335" i="2"/>
  <c r="I334" i="2"/>
  <c r="I289" i="2"/>
  <c r="I288" i="2"/>
  <c r="I824" i="2"/>
  <c r="I825" i="2"/>
  <c r="I753" i="2"/>
  <c r="I754" i="2"/>
  <c r="I1824" i="2"/>
  <c r="I1823" i="2"/>
  <c r="J1408" i="2"/>
  <c r="J1409" i="2"/>
  <c r="J1436" i="2"/>
  <c r="J1437" i="2"/>
  <c r="I1834" i="2"/>
  <c r="I1833" i="2"/>
  <c r="J1375" i="2"/>
  <c r="J1374" i="2"/>
  <c r="I252" i="2"/>
  <c r="I251" i="2"/>
  <c r="I344" i="2"/>
  <c r="I345" i="2"/>
  <c r="I1895" i="2"/>
  <c r="I1894" i="2"/>
  <c r="I319" i="2"/>
  <c r="I318" i="2"/>
  <c r="I245" i="2"/>
  <c r="I246" i="2"/>
  <c r="J1431" i="2"/>
  <c r="J1430" i="2"/>
  <c r="J1386" i="2"/>
  <c r="J1387" i="2"/>
  <c r="I224" i="2"/>
  <c r="I223" i="2"/>
  <c r="I770" i="2"/>
  <c r="I769" i="2"/>
  <c r="I748" i="2"/>
  <c r="I747" i="2"/>
  <c r="I1846" i="2"/>
  <c r="I1847" i="2"/>
  <c r="J1234" i="2"/>
  <c r="J1233" i="2"/>
  <c r="J1228" i="2"/>
  <c r="J1227" i="2"/>
  <c r="L149" i="1" a="1"/>
  <c r="L149" i="1" s="1"/>
  <c r="K148" i="1" s="1"/>
  <c r="I1781" i="2"/>
  <c r="I1782" i="2"/>
  <c r="I817" i="2"/>
  <c r="I816" i="2"/>
  <c r="I1891" i="2"/>
  <c r="I1890" i="2"/>
  <c r="I1884" i="2"/>
  <c r="I1885" i="2"/>
  <c r="J1293" i="2"/>
  <c r="J1294" i="2"/>
  <c r="J1335" i="2"/>
  <c r="J1334" i="2"/>
  <c r="I241" i="2"/>
  <c r="I242" i="2"/>
  <c r="J1379" i="2"/>
  <c r="J1378" i="2"/>
  <c r="J1323" i="2"/>
  <c r="J1322" i="2"/>
  <c r="I744" i="2"/>
  <c r="I743" i="2"/>
  <c r="J1407" i="2"/>
  <c r="J1406" i="2"/>
  <c r="I307" i="2"/>
  <c r="I306" i="2"/>
  <c r="J1434" i="2"/>
  <c r="J1435" i="2"/>
  <c r="J1376" i="2"/>
  <c r="J1377" i="2"/>
  <c r="J1282" i="2"/>
  <c r="J1281" i="2"/>
  <c r="J1224" i="2"/>
  <c r="J1223" i="2"/>
  <c r="J1363" i="2"/>
  <c r="J1362" i="2"/>
  <c r="I343" i="2"/>
  <c r="I342" i="2"/>
  <c r="J1415" i="2"/>
  <c r="J1414" i="2"/>
  <c r="I247" i="2"/>
  <c r="I248" i="2"/>
  <c r="J1388" i="2"/>
  <c r="J1389" i="2"/>
  <c r="I845" i="2"/>
  <c r="I844" i="2"/>
  <c r="I264" i="2"/>
  <c r="I263" i="2"/>
  <c r="I857" i="2"/>
  <c r="I856" i="2"/>
  <c r="J1199" i="2"/>
  <c r="J1200" i="2"/>
  <c r="J1350" i="2"/>
  <c r="J1351" i="2"/>
  <c r="J79" i="1"/>
  <c r="I78" i="1" s="1"/>
  <c r="H77" i="1" s="1"/>
  <c r="I1859" i="2"/>
  <c r="I1858" i="2"/>
  <c r="J1303" i="2"/>
  <c r="J1304" i="2"/>
  <c r="J1289" i="2"/>
  <c r="J1290" i="2"/>
  <c r="I1883" i="2"/>
  <c r="I1882" i="2"/>
  <c r="I1776" i="2"/>
  <c r="I1775" i="2"/>
  <c r="J1444" i="2"/>
  <c r="J1445" i="2"/>
  <c r="J1320" i="2"/>
  <c r="J1321" i="2"/>
  <c r="J1394" i="2"/>
  <c r="J1395" i="2"/>
  <c r="I1880" i="2"/>
  <c r="I1881" i="2"/>
  <c r="I1777" i="2"/>
  <c r="I1778" i="2"/>
  <c r="J1371" i="2"/>
  <c r="J1370" i="2"/>
  <c r="I805" i="2"/>
  <c r="I804" i="2"/>
  <c r="K118" i="1"/>
  <c r="J117" i="1" s="1"/>
  <c r="K146" i="1"/>
  <c r="J147" i="1" s="1"/>
  <c r="I1873" i="2"/>
  <c r="I1872" i="2"/>
  <c r="I1820" i="2"/>
  <c r="I1819" i="2"/>
  <c r="J1212" i="2"/>
  <c r="J1211" i="2"/>
  <c r="I337" i="2"/>
  <c r="I336" i="2"/>
  <c r="J1296" i="2"/>
  <c r="J1295" i="2"/>
  <c r="I287" i="2"/>
  <c r="I286" i="2"/>
  <c r="I243" i="2"/>
  <c r="I244" i="2"/>
  <c r="I295" i="2"/>
  <c r="I294" i="2"/>
  <c r="J1381" i="2"/>
  <c r="J1380" i="2"/>
  <c r="I772" i="2"/>
  <c r="I771" i="2"/>
  <c r="I740" i="2"/>
  <c r="I739" i="2"/>
  <c r="I745" i="2"/>
  <c r="I746" i="2"/>
  <c r="K153" i="1"/>
  <c r="J152" i="1" s="1"/>
  <c r="I151" i="1" s="1"/>
  <c r="J1339" i="2"/>
  <c r="J1338" i="2"/>
  <c r="I1795" i="2"/>
  <c r="I1796" i="2"/>
  <c r="J1283" i="2"/>
  <c r="J1284" i="2"/>
  <c r="J1364" i="2"/>
  <c r="J1365" i="2"/>
  <c r="J1425" i="2"/>
  <c r="J1424" i="2"/>
  <c r="K110" i="1"/>
  <c r="J111" i="1" s="1"/>
  <c r="I113" i="1" s="1"/>
  <c r="H114" i="1" s="1"/>
  <c r="J1204" i="2"/>
  <c r="J1203" i="2"/>
  <c r="I846" i="2"/>
  <c r="I847" i="2"/>
  <c r="J1358" i="2"/>
  <c r="J1359" i="2"/>
  <c r="I749" i="2"/>
  <c r="I750" i="2"/>
  <c r="I315" i="2"/>
  <c r="I314" i="2"/>
  <c r="J1353" i="2"/>
  <c r="J1352" i="2"/>
  <c r="I832" i="2"/>
  <c r="I833" i="2"/>
  <c r="J1247" i="2"/>
  <c r="J1248" i="2"/>
  <c r="J1442" i="2"/>
  <c r="J1443" i="2"/>
  <c r="I1865" i="2"/>
  <c r="I1864" i="2"/>
  <c r="I1836" i="2"/>
  <c r="I1837" i="2"/>
  <c r="I842" i="2"/>
  <c r="I843" i="2"/>
  <c r="I292" i="2"/>
  <c r="I293" i="2"/>
  <c r="I1787" i="2"/>
  <c r="I1788" i="2"/>
  <c r="I228" i="2"/>
  <c r="I227" i="2"/>
  <c r="I233" i="2"/>
  <c r="I234" i="2"/>
  <c r="J1240" i="2"/>
  <c r="J1239" i="2"/>
  <c r="J1441" i="2"/>
  <c r="J1440" i="2"/>
  <c r="I1855" i="2"/>
  <c r="I1854" i="2"/>
  <c r="I1789" i="2"/>
  <c r="I1790" i="2"/>
  <c r="J1262" i="2"/>
  <c r="J1261" i="2"/>
  <c r="J1396" i="2"/>
  <c r="J1397" i="2"/>
  <c r="J1231" i="2"/>
  <c r="J1232" i="2"/>
  <c r="J1392" i="2"/>
  <c r="J1393" i="2"/>
  <c r="I236" i="2"/>
  <c r="I235" i="2"/>
  <c r="J1251" i="2"/>
  <c r="J1252" i="2"/>
  <c r="J1439" i="2"/>
  <c r="J1438" i="2"/>
  <c r="I323" i="2"/>
  <c r="I322" i="2"/>
  <c r="J1373" i="2"/>
  <c r="J1372" i="2"/>
  <c r="I760" i="2"/>
  <c r="I759" i="2"/>
  <c r="J1400" i="2"/>
  <c r="J1401" i="2"/>
  <c r="I776" i="2"/>
  <c r="I775" i="2"/>
  <c r="J1326" i="2"/>
  <c r="J1327" i="2"/>
  <c r="J1210" i="2"/>
  <c r="J1209" i="2"/>
  <c r="I812" i="2"/>
  <c r="I813" i="2"/>
  <c r="J1266" i="2"/>
  <c r="J1265" i="2"/>
  <c r="J1412" i="2"/>
  <c r="J1413" i="2"/>
  <c r="I1870" i="2"/>
  <c r="I1871" i="2"/>
  <c r="I774" i="2"/>
  <c r="I773" i="2"/>
  <c r="I741" i="2"/>
  <c r="I742" i="2"/>
  <c r="I1899" i="2"/>
  <c r="I1898" i="2"/>
  <c r="I308" i="2"/>
  <c r="I309" i="2"/>
  <c r="I1797" i="2"/>
  <c r="I1798" i="2"/>
  <c r="J1310" i="2"/>
  <c r="J1309" i="2"/>
  <c r="J1417" i="2"/>
  <c r="J1416" i="2"/>
  <c r="I850" i="2"/>
  <c r="I851" i="2"/>
  <c r="J1426" i="2"/>
  <c r="J1427" i="2"/>
  <c r="J1202" i="2"/>
  <c r="J1201" i="2"/>
  <c r="I237" i="2"/>
  <c r="I238" i="2"/>
  <c r="I1804" i="2"/>
  <c r="I1803" i="2"/>
  <c r="I736" i="2"/>
  <c r="I735" i="2"/>
  <c r="I262" i="2"/>
  <c r="I261" i="2"/>
  <c r="J1361" i="2"/>
  <c r="J1360" i="2"/>
  <c r="I859" i="2"/>
  <c r="I858" i="2"/>
  <c r="I788" i="2"/>
  <c r="I787" i="2"/>
  <c r="I794" i="2"/>
  <c r="I793" i="2"/>
  <c r="I1802" i="2"/>
  <c r="I1801" i="2"/>
  <c r="J1343" i="2"/>
  <c r="J1342" i="2"/>
  <c r="I333" i="2"/>
  <c r="I332" i="2"/>
  <c r="I277" i="2"/>
  <c r="I278" i="2"/>
  <c r="J1288" i="2"/>
  <c r="J1287" i="2"/>
  <c r="I1818" i="2"/>
  <c r="I1817" i="2"/>
  <c r="I1791" i="2"/>
  <c r="I1792" i="2"/>
  <c r="I761" i="2"/>
  <c r="I762" i="2"/>
  <c r="J1329" i="2"/>
  <c r="J1328" i="2"/>
  <c r="J1255" i="2"/>
  <c r="J1256" i="2"/>
  <c r="I1875" i="2"/>
  <c r="I1874" i="2"/>
  <c r="K111" i="1"/>
  <c r="J112" i="1" s="1"/>
  <c r="I815" i="2"/>
  <c r="I814" i="2"/>
  <c r="J1267" i="2"/>
  <c r="J1268" i="2"/>
  <c r="I801" i="2"/>
  <c r="I800" i="2"/>
  <c r="J1410" i="2"/>
  <c r="J1411" i="2"/>
  <c r="J1331" i="2"/>
  <c r="J1330" i="2"/>
  <c r="J1258" i="2"/>
  <c r="J1257" i="2"/>
  <c r="I297" i="2"/>
  <c r="I296" i="2"/>
  <c r="I1869" i="2"/>
  <c r="I1868" i="2"/>
  <c r="I255" i="2"/>
  <c r="I256" i="2"/>
  <c r="I1772" i="2"/>
  <c r="I1771" i="2"/>
  <c r="J1341" i="2"/>
  <c r="J1340" i="2"/>
  <c r="I1896" i="2"/>
  <c r="I1897" i="2"/>
  <c r="I756" i="2"/>
  <c r="I755" i="2"/>
  <c r="I302" i="2"/>
  <c r="I303" i="2"/>
  <c r="J1312" i="2"/>
  <c r="J1311" i="2"/>
  <c r="I837" i="2"/>
  <c r="I836" i="2"/>
  <c r="J1423" i="2"/>
  <c r="J1422" i="2"/>
  <c r="I764" i="2"/>
  <c r="I763" i="2"/>
  <c r="I849" i="2"/>
  <c r="I848" i="2"/>
  <c r="I282" i="2"/>
  <c r="I283" i="2"/>
  <c r="I239" i="2"/>
  <c r="I240" i="2"/>
  <c r="I1806" i="2"/>
  <c r="I1805" i="2"/>
  <c r="I737" i="2"/>
  <c r="I738" i="2"/>
  <c r="I272" i="2"/>
  <c r="I271" i="2"/>
  <c r="I317" i="2"/>
  <c r="I316" i="2"/>
  <c r="D5" i="1" l="1"/>
  <c r="F8" i="1" s="1"/>
  <c r="D9" i="1" s="1"/>
  <c r="F5" i="1"/>
  <c r="F6" i="1"/>
  <c r="D6" i="1"/>
  <c r="K1537" i="2"/>
  <c r="U1537" i="2" s="1"/>
  <c r="K1536" i="2"/>
  <c r="U1536" i="2" s="1"/>
  <c r="K1428" i="2"/>
  <c r="U1428" i="2" s="1"/>
  <c r="K1429" i="2"/>
  <c r="U1429" i="2" s="1"/>
  <c r="J302" i="2"/>
  <c r="J303" i="2"/>
  <c r="J891" i="2"/>
  <c r="J890" i="2"/>
  <c r="K1353" i="2"/>
  <c r="U1353" i="2" s="1"/>
  <c r="K1352" i="2"/>
  <c r="U1352" i="2" s="1"/>
  <c r="K1431" i="2"/>
  <c r="U1431" i="2" s="1"/>
  <c r="K1430" i="2"/>
  <c r="U1430" i="2" s="1"/>
  <c r="J288" i="2"/>
  <c r="J289" i="2"/>
  <c r="K1112" i="2"/>
  <c r="U1112" i="2" s="1"/>
  <c r="K1111" i="2"/>
  <c r="U1111" i="2" s="1"/>
  <c r="J375" i="2"/>
  <c r="J374" i="2"/>
  <c r="K1447" i="2"/>
  <c r="U1447" i="2" s="1"/>
  <c r="K1446" i="2"/>
  <c r="U1446" i="2" s="1"/>
  <c r="J737" i="2"/>
  <c r="J738" i="2"/>
  <c r="J769" i="2"/>
  <c r="J770" i="2"/>
  <c r="J1885" i="2"/>
  <c r="J1884" i="2"/>
  <c r="J1780" i="2"/>
  <c r="J1779" i="2"/>
  <c r="J869" i="2"/>
  <c r="J868" i="2"/>
  <c r="J179" i="2"/>
  <c r="J180" i="2"/>
  <c r="J785" i="2"/>
  <c r="J786" i="2"/>
  <c r="J258" i="2"/>
  <c r="J257" i="2"/>
  <c r="J819" i="2"/>
  <c r="J818" i="2"/>
  <c r="K1278" i="2"/>
  <c r="U1278" i="2" s="1"/>
  <c r="K1277" i="2"/>
  <c r="U1277" i="2" s="1"/>
  <c r="K1451" i="2"/>
  <c r="U1451" i="2" s="1"/>
  <c r="K1450" i="2"/>
  <c r="U1450" i="2" s="1"/>
  <c r="J1823" i="2"/>
  <c r="J1824" i="2"/>
  <c r="J732" i="2"/>
  <c r="J731" i="2"/>
  <c r="K1414" i="2"/>
  <c r="U1414" i="2" s="1"/>
  <c r="K1415" i="2"/>
  <c r="U1415" i="2" s="1"/>
  <c r="K1204" i="2"/>
  <c r="U1204" i="2" s="1"/>
  <c r="K1203" i="2"/>
  <c r="U1203" i="2" s="1"/>
  <c r="K1166" i="2"/>
  <c r="U1166" i="2" s="1"/>
  <c r="K1165" i="2"/>
  <c r="U1165" i="2" s="1"/>
  <c r="J277" i="2"/>
  <c r="J278" i="2"/>
  <c r="J1764" i="2"/>
  <c r="J1763" i="2"/>
  <c r="K1210" i="2"/>
  <c r="U1210" i="2" s="1"/>
  <c r="K1209" i="2"/>
  <c r="U1209" i="2" s="1"/>
  <c r="J756" i="2"/>
  <c r="J755" i="2"/>
  <c r="J367" i="2"/>
  <c r="J366" i="2"/>
  <c r="K1286" i="2"/>
  <c r="U1286" i="2" s="1"/>
  <c r="K1285" i="2"/>
  <c r="U1285" i="2" s="1"/>
  <c r="J1867" i="2"/>
  <c r="J1866" i="2"/>
  <c r="J1863" i="2"/>
  <c r="J1862" i="2"/>
  <c r="J730" i="2"/>
  <c r="J729" i="2"/>
  <c r="K1404" i="2"/>
  <c r="U1404" i="2" s="1"/>
  <c r="K1405" i="2"/>
  <c r="U1405" i="2" s="1"/>
  <c r="J895" i="2"/>
  <c r="J894" i="2"/>
  <c r="J391" i="2"/>
  <c r="J390" i="2"/>
  <c r="K1264" i="2"/>
  <c r="U1264" i="2" s="1"/>
  <c r="K1263" i="2"/>
  <c r="U1263" i="2" s="1"/>
  <c r="K1435" i="2"/>
  <c r="U1435" i="2" s="1"/>
  <c r="K1434" i="2"/>
  <c r="U1434" i="2" s="1"/>
  <c r="J165" i="2"/>
  <c r="J166" i="2"/>
  <c r="J183" i="2"/>
  <c r="J184" i="2"/>
  <c r="J351" i="2"/>
  <c r="J350" i="2"/>
  <c r="J231" i="2"/>
  <c r="J232" i="2"/>
  <c r="J1745" i="2"/>
  <c r="J1746" i="2"/>
  <c r="J1955" i="2"/>
  <c r="J1954" i="2"/>
  <c r="J761" i="2"/>
  <c r="J762" i="2"/>
  <c r="J840" i="2"/>
  <c r="J841" i="2"/>
  <c r="J1792" i="2"/>
  <c r="J1791" i="2"/>
  <c r="J177" i="2"/>
  <c r="J178" i="2"/>
  <c r="K1236" i="2"/>
  <c r="U1236" i="2" s="1"/>
  <c r="K1235" i="2"/>
  <c r="U1235" i="2" s="1"/>
  <c r="J344" i="2"/>
  <c r="J345" i="2"/>
  <c r="J1737" i="2"/>
  <c r="J1738" i="2"/>
  <c r="J1776" i="2"/>
  <c r="J1775" i="2"/>
  <c r="K1527" i="2"/>
  <c r="U1527" i="2" s="1"/>
  <c r="K1526" i="2"/>
  <c r="U1526" i="2" s="1"/>
  <c r="J324" i="2"/>
  <c r="J325" i="2"/>
  <c r="J1957" i="2"/>
  <c r="J1956" i="2"/>
  <c r="J230" i="2"/>
  <c r="J229" i="2"/>
  <c r="K1198" i="2"/>
  <c r="U1198" i="2" s="1"/>
  <c r="K1197" i="2"/>
  <c r="U1197" i="2" s="1"/>
  <c r="J828" i="2"/>
  <c r="J829" i="2"/>
  <c r="J1750" i="2"/>
  <c r="J1749" i="2"/>
  <c r="K1368" i="2"/>
  <c r="U1368" i="2" s="1"/>
  <c r="K1369" i="2"/>
  <c r="U1369" i="2" s="1"/>
  <c r="J777" i="2"/>
  <c r="J778" i="2"/>
  <c r="J243" i="2"/>
  <c r="J244" i="2"/>
  <c r="J195" i="2"/>
  <c r="J196" i="2"/>
  <c r="J1961" i="2"/>
  <c r="J1960" i="2"/>
  <c r="K1336" i="2"/>
  <c r="U1336" i="2" s="1"/>
  <c r="K1337" i="2"/>
  <c r="U1337" i="2" s="1"/>
  <c r="J363" i="2"/>
  <c r="J362" i="2"/>
  <c r="J189" i="2"/>
  <c r="J190" i="2"/>
  <c r="J1743" i="2"/>
  <c r="J1744" i="2"/>
  <c r="K1161" i="2"/>
  <c r="U1161" i="2" s="1"/>
  <c r="K1162" i="2"/>
  <c r="U1162" i="2" s="1"/>
  <c r="J887" i="2"/>
  <c r="J886" i="2"/>
  <c r="K1569" i="2"/>
  <c r="U1569" i="2" s="1"/>
  <c r="K1568" i="2"/>
  <c r="U1568" i="2" s="1"/>
  <c r="J865" i="2"/>
  <c r="J864" i="2"/>
  <c r="J702" i="2"/>
  <c r="J701" i="2"/>
  <c r="J893" i="2"/>
  <c r="J892" i="2"/>
  <c r="J1756" i="2"/>
  <c r="J1755" i="2"/>
  <c r="J680" i="2"/>
  <c r="J679" i="2"/>
  <c r="K1444" i="2"/>
  <c r="U1444" i="2" s="1"/>
  <c r="K1445" i="2"/>
  <c r="U1445" i="2" s="1"/>
  <c r="K1105" i="2"/>
  <c r="U1105" i="2" s="1"/>
  <c r="K1106" i="2"/>
  <c r="U1106" i="2" s="1"/>
  <c r="J1910" i="2"/>
  <c r="J1911" i="2"/>
  <c r="K1425" i="2"/>
  <c r="U1425" i="2" s="1"/>
  <c r="K1424" i="2"/>
  <c r="U1424" i="2" s="1"/>
  <c r="J915" i="2"/>
  <c r="J914" i="2"/>
  <c r="K1461" i="2"/>
  <c r="U1461" i="2" s="1"/>
  <c r="K1460" i="2"/>
  <c r="U1460" i="2" s="1"/>
  <c r="J403" i="2"/>
  <c r="J402" i="2"/>
  <c r="K1551" i="2"/>
  <c r="U1551" i="2" s="1"/>
  <c r="K1550" i="2"/>
  <c r="U1550" i="2" s="1"/>
  <c r="J688" i="2"/>
  <c r="J687" i="2"/>
  <c r="K1440" i="2"/>
  <c r="U1440" i="2" s="1"/>
  <c r="K1441" i="2"/>
  <c r="U1441" i="2" s="1"/>
  <c r="K1270" i="2"/>
  <c r="U1270" i="2" s="1"/>
  <c r="K1269" i="2"/>
  <c r="U1269" i="2" s="1"/>
  <c r="K1139" i="2"/>
  <c r="U1139" i="2" s="1"/>
  <c r="K1140" i="2"/>
  <c r="U1140" i="2" s="1"/>
  <c r="J696" i="2"/>
  <c r="J695" i="2"/>
  <c r="J209" i="2"/>
  <c r="J210" i="2"/>
  <c r="K1432" i="2"/>
  <c r="U1432" i="2" s="1"/>
  <c r="K1433" i="2"/>
  <c r="U1433" i="2" s="1"/>
  <c r="J389" i="2"/>
  <c r="J388" i="2"/>
  <c r="J1808" i="2"/>
  <c r="J1807" i="2"/>
  <c r="J1921" i="2"/>
  <c r="J1920" i="2"/>
  <c r="K1134" i="2"/>
  <c r="U1134" i="2" s="1"/>
  <c r="K1133" i="2"/>
  <c r="U1133" i="2" s="1"/>
  <c r="K1266" i="2"/>
  <c r="U1266" i="2" s="1"/>
  <c r="K1265" i="2"/>
  <c r="U1265" i="2" s="1"/>
  <c r="K1242" i="2"/>
  <c r="U1242" i="2" s="1"/>
  <c r="K1241" i="2"/>
  <c r="U1241" i="2" s="1"/>
  <c r="J155" i="2"/>
  <c r="J156" i="2"/>
  <c r="J842" i="2"/>
  <c r="J843" i="2"/>
  <c r="J227" i="2"/>
  <c r="J228" i="2"/>
  <c r="J377" i="2"/>
  <c r="J376" i="2"/>
  <c r="K1080" i="2"/>
  <c r="U1080" i="2" s="1"/>
  <c r="K1079" i="2"/>
  <c r="U1079" i="2" s="1"/>
  <c r="J163" i="2"/>
  <c r="J164" i="2"/>
  <c r="J359" i="2"/>
  <c r="J358" i="2"/>
  <c r="J397" i="2"/>
  <c r="J396" i="2"/>
  <c r="K1282" i="2"/>
  <c r="U1282" i="2" s="1"/>
  <c r="K1281" i="2"/>
  <c r="U1281" i="2" s="1"/>
  <c r="J1793" i="2"/>
  <c r="J1794" i="2"/>
  <c r="K1119" i="2"/>
  <c r="U1119" i="2" s="1"/>
  <c r="K1120" i="2"/>
  <c r="U1120" i="2" s="1"/>
  <c r="J340" i="2"/>
  <c r="J341" i="2"/>
  <c r="J298" i="2"/>
  <c r="J299" i="2"/>
  <c r="K1489" i="2"/>
  <c r="U1489" i="2" s="1"/>
  <c r="K1488" i="2"/>
  <c r="U1488" i="2" s="1"/>
  <c r="J1898" i="2"/>
  <c r="J1899" i="2"/>
  <c r="J1821" i="2"/>
  <c r="J1822" i="2"/>
  <c r="K1234" i="2"/>
  <c r="U1234" i="2" s="1"/>
  <c r="K1233" i="2"/>
  <c r="U1233" i="2" s="1"/>
  <c r="K1296" i="2"/>
  <c r="U1296" i="2" s="1"/>
  <c r="K1295" i="2"/>
  <c r="U1295" i="2" s="1"/>
  <c r="K1523" i="2"/>
  <c r="U1523" i="2" s="1"/>
  <c r="K1522" i="2"/>
  <c r="U1522" i="2" s="1"/>
  <c r="J857" i="2"/>
  <c r="J856" i="2"/>
  <c r="K1417" i="2"/>
  <c r="U1417" i="2" s="1"/>
  <c r="K1416" i="2"/>
  <c r="U1416" i="2" s="1"/>
  <c r="J1711" i="2"/>
  <c r="J1712" i="2"/>
  <c r="K1100" i="2"/>
  <c r="U1100" i="2" s="1"/>
  <c r="K1099" i="2"/>
  <c r="U1099" i="2" s="1"/>
  <c r="J1735" i="2"/>
  <c r="J1736" i="2"/>
  <c r="K1311" i="2"/>
  <c r="U1311" i="2" s="1"/>
  <c r="K1312" i="2"/>
  <c r="U1312" i="2" s="1"/>
  <c r="J268" i="2"/>
  <c r="J267" i="2"/>
  <c r="J1734" i="2"/>
  <c r="J1733" i="2"/>
  <c r="J233" i="2"/>
  <c r="J234" i="2"/>
  <c r="K1288" i="2"/>
  <c r="U1288" i="2" s="1"/>
  <c r="K1287" i="2"/>
  <c r="U1287" i="2" s="1"/>
  <c r="J1865" i="2"/>
  <c r="J1864" i="2"/>
  <c r="J765" i="2"/>
  <c r="J766" i="2"/>
  <c r="K1095" i="2"/>
  <c r="U1095" i="2" s="1"/>
  <c r="K1096" i="2"/>
  <c r="U1096" i="2" s="1"/>
  <c r="J1710" i="2"/>
  <c r="J1709" i="2"/>
  <c r="K1258" i="2"/>
  <c r="U1258" i="2" s="1"/>
  <c r="K1257" i="2"/>
  <c r="U1257" i="2" s="1"/>
  <c r="K1516" i="2"/>
  <c r="U1516" i="2" s="1"/>
  <c r="K1517" i="2"/>
  <c r="U1517" i="2" s="1"/>
  <c r="K1186" i="2"/>
  <c r="U1186" i="2" s="1"/>
  <c r="K1185" i="2"/>
  <c r="U1185" i="2" s="1"/>
  <c r="J1894" i="2"/>
  <c r="J1895" i="2"/>
  <c r="J692" i="2"/>
  <c r="J691" i="2"/>
  <c r="J1925" i="2"/>
  <c r="J1924" i="2"/>
  <c r="K1510" i="2"/>
  <c r="U1510" i="2" s="1"/>
  <c r="K1511" i="2"/>
  <c r="U1511" i="2" s="1"/>
  <c r="J708" i="2"/>
  <c r="J707" i="2"/>
  <c r="J1784" i="2"/>
  <c r="J1783" i="2"/>
  <c r="J360" i="2"/>
  <c r="J361" i="2"/>
  <c r="J282" i="2"/>
  <c r="J283" i="2"/>
  <c r="K1194" i="2"/>
  <c r="U1194" i="2" s="1"/>
  <c r="K1193" i="2"/>
  <c r="U1193" i="2" s="1"/>
  <c r="J749" i="2"/>
  <c r="J750" i="2"/>
  <c r="K1496" i="2"/>
  <c r="U1496" i="2" s="1"/>
  <c r="K1497" i="2"/>
  <c r="U1497" i="2" s="1"/>
  <c r="J167" i="2"/>
  <c r="J168" i="2"/>
  <c r="J387" i="2"/>
  <c r="J386" i="2"/>
  <c r="K1268" i="2"/>
  <c r="U1268" i="2" s="1"/>
  <c r="K1267" i="2"/>
  <c r="U1267" i="2" s="1"/>
  <c r="K1126" i="2"/>
  <c r="U1126" i="2" s="1"/>
  <c r="K1125" i="2"/>
  <c r="U1125" i="2" s="1"/>
  <c r="K1294" i="2"/>
  <c r="U1294" i="2" s="1"/>
  <c r="K1293" i="2"/>
  <c r="U1293" i="2" s="1"/>
  <c r="K1157" i="2"/>
  <c r="U1157" i="2" s="1"/>
  <c r="K1158" i="2"/>
  <c r="U1158" i="2" s="1"/>
  <c r="J275" i="2"/>
  <c r="J276" i="2"/>
  <c r="J903" i="2"/>
  <c r="J902" i="2"/>
  <c r="K1303" i="2"/>
  <c r="U1303" i="2" s="1"/>
  <c r="K1304" i="2"/>
  <c r="U1304" i="2" s="1"/>
  <c r="K1334" i="2"/>
  <c r="U1334" i="2" s="1"/>
  <c r="K1335" i="2"/>
  <c r="U1335" i="2" s="1"/>
  <c r="J365" i="2"/>
  <c r="J364" i="2"/>
  <c r="J191" i="2"/>
  <c r="J192" i="2"/>
  <c r="K1164" i="2"/>
  <c r="U1164" i="2" s="1"/>
  <c r="K1163" i="2"/>
  <c r="U1163" i="2" s="1"/>
  <c r="J885" i="2"/>
  <c r="J884" i="2"/>
  <c r="K1567" i="2"/>
  <c r="U1567" i="2" s="1"/>
  <c r="K1566" i="2"/>
  <c r="U1566" i="2" s="1"/>
  <c r="J700" i="2"/>
  <c r="J699" i="2"/>
  <c r="K1089" i="2"/>
  <c r="U1089" i="2" s="1"/>
  <c r="K1090" i="2"/>
  <c r="U1090" i="2" s="1"/>
  <c r="K1413" i="2"/>
  <c r="U1413" i="2" s="1"/>
  <c r="K1412" i="2"/>
  <c r="U1412" i="2" s="1"/>
  <c r="J292" i="2"/>
  <c r="J293" i="2"/>
  <c r="K1107" i="2"/>
  <c r="U1107" i="2" s="1"/>
  <c r="K1108" i="2"/>
  <c r="U1108" i="2" s="1"/>
  <c r="J1721" i="2"/>
  <c r="J1722" i="2"/>
  <c r="K1470" i="2"/>
  <c r="U1470" i="2" s="1"/>
  <c r="K1471" i="2"/>
  <c r="U1471" i="2" s="1"/>
  <c r="J1716" i="2"/>
  <c r="J1715" i="2"/>
  <c r="K1291" i="2"/>
  <c r="U1291" i="2" s="1"/>
  <c r="K1292" i="2"/>
  <c r="U1292" i="2" s="1"/>
  <c r="K1385" i="2"/>
  <c r="U1385" i="2" s="1"/>
  <c r="K1384" i="2"/>
  <c r="U1384" i="2" s="1"/>
  <c r="J246" i="2"/>
  <c r="J245" i="2"/>
  <c r="K1459" i="2"/>
  <c r="U1459" i="2" s="1"/>
  <c r="K1458" i="2"/>
  <c r="U1458" i="2" s="1"/>
  <c r="K1246" i="2"/>
  <c r="U1246" i="2" s="1"/>
  <c r="K1245" i="2"/>
  <c r="U1245" i="2" s="1"/>
  <c r="J203" i="2"/>
  <c r="J204" i="2"/>
  <c r="J832" i="2"/>
  <c r="J833" i="2"/>
  <c r="K1457" i="2"/>
  <c r="U1457" i="2" s="1"/>
  <c r="K1456" i="2"/>
  <c r="U1456" i="2" s="1"/>
  <c r="J409" i="2"/>
  <c r="J408" i="2"/>
  <c r="J1832" i="2"/>
  <c r="J1831" i="2"/>
  <c r="K1499" i="2"/>
  <c r="U1499" i="2" s="1"/>
  <c r="K1498" i="2"/>
  <c r="U1498" i="2" s="1"/>
  <c r="J850" i="2"/>
  <c r="J851" i="2"/>
  <c r="J905" i="2"/>
  <c r="J904" i="2"/>
  <c r="J1939" i="2"/>
  <c r="J1938" i="2"/>
  <c r="J1810" i="2"/>
  <c r="J1809" i="2"/>
  <c r="J1923" i="2"/>
  <c r="J1922" i="2"/>
  <c r="K1136" i="2"/>
  <c r="U1136" i="2" s="1"/>
  <c r="K1135" i="2"/>
  <c r="U1135" i="2" s="1"/>
  <c r="J1840" i="2"/>
  <c r="J1841" i="2"/>
  <c r="J153" i="2"/>
  <c r="J154" i="2"/>
  <c r="K1393" i="2"/>
  <c r="U1393" i="2" s="1"/>
  <c r="K1392" i="2"/>
  <c r="U1392" i="2" s="1"/>
  <c r="K1066" i="2"/>
  <c r="U1066" i="2" s="1"/>
  <c r="K1065" i="2"/>
  <c r="U1065" i="2" s="1"/>
  <c r="J161" i="2"/>
  <c r="J162" i="2"/>
  <c r="J157" i="2"/>
  <c r="J158" i="2"/>
  <c r="J219" i="2"/>
  <c r="J220" i="2"/>
  <c r="J844" i="2"/>
  <c r="J845" i="2"/>
  <c r="K1354" i="2"/>
  <c r="U1354" i="2" s="1"/>
  <c r="K1355" i="2"/>
  <c r="U1355" i="2" s="1"/>
  <c r="J909" i="2"/>
  <c r="J908" i="2"/>
  <c r="J339" i="2"/>
  <c r="J338" i="2"/>
  <c r="J300" i="2"/>
  <c r="J301" i="2"/>
  <c r="K1487" i="2"/>
  <c r="U1487" i="2" s="1"/>
  <c r="K1486" i="2"/>
  <c r="U1486" i="2" s="1"/>
  <c r="K1299" i="2"/>
  <c r="U1299" i="2" s="1"/>
  <c r="K1300" i="2"/>
  <c r="U1300" i="2" s="1"/>
  <c r="J793" i="2"/>
  <c r="J794" i="2"/>
  <c r="J781" i="2"/>
  <c r="J782" i="2"/>
  <c r="K1525" i="2"/>
  <c r="U1525" i="2" s="1"/>
  <c r="K1524" i="2"/>
  <c r="U1524" i="2" s="1"/>
  <c r="J858" i="2"/>
  <c r="J859" i="2"/>
  <c r="J879" i="2"/>
  <c r="J878" i="2"/>
  <c r="K1346" i="2"/>
  <c r="U1346" i="2" s="1"/>
  <c r="K1347" i="2"/>
  <c r="U1347" i="2" s="1"/>
  <c r="K1116" i="2"/>
  <c r="U1116" i="2" s="1"/>
  <c r="K1115" i="2"/>
  <c r="U1115" i="2" s="1"/>
  <c r="J342" i="2"/>
  <c r="J343" i="2"/>
  <c r="J1751" i="2"/>
  <c r="J1752" i="2"/>
  <c r="K1309" i="2"/>
  <c r="U1309" i="2" s="1"/>
  <c r="K1310" i="2"/>
  <c r="U1310" i="2" s="1"/>
  <c r="J1732" i="2"/>
  <c r="J1731" i="2"/>
  <c r="K1063" i="2"/>
  <c r="U1063" i="2" s="1"/>
  <c r="K1064" i="2"/>
  <c r="U1064" i="2" s="1"/>
  <c r="J379" i="2"/>
  <c r="J378" i="2"/>
  <c r="K1094" i="2"/>
  <c r="U1094" i="2" s="1"/>
  <c r="K1093" i="2"/>
  <c r="U1093" i="2" s="1"/>
  <c r="J285" i="2"/>
  <c r="J284" i="2"/>
  <c r="J748" i="2"/>
  <c r="J747" i="2"/>
  <c r="K1555" i="2"/>
  <c r="U1555" i="2" s="1"/>
  <c r="K1554" i="2"/>
  <c r="U1554" i="2" s="1"/>
  <c r="J760" i="2"/>
  <c r="J759" i="2"/>
  <c r="K1503" i="2"/>
  <c r="U1503" i="2" s="1"/>
  <c r="K1502" i="2"/>
  <c r="U1502" i="2" s="1"/>
  <c r="K1367" i="2"/>
  <c r="U1367" i="2" s="1"/>
  <c r="K1366" i="2"/>
  <c r="U1366" i="2" s="1"/>
  <c r="K1302" i="2"/>
  <c r="U1302" i="2" s="1"/>
  <c r="K1301" i="2"/>
  <c r="U1301" i="2" s="1"/>
  <c r="J175" i="2"/>
  <c r="J176" i="2"/>
  <c r="K1533" i="2"/>
  <c r="U1533" i="2" s="1"/>
  <c r="K1532" i="2"/>
  <c r="U1532" i="2" s="1"/>
  <c r="J291" i="2"/>
  <c r="J290" i="2"/>
  <c r="K1571" i="2"/>
  <c r="U1571" i="2" s="1"/>
  <c r="K1570" i="2"/>
  <c r="U1570" i="2" s="1"/>
  <c r="K1132" i="2"/>
  <c r="U1132" i="2" s="1"/>
  <c r="K1131" i="2"/>
  <c r="U1131" i="2" s="1"/>
  <c r="K1137" i="2"/>
  <c r="U1137" i="2" s="1"/>
  <c r="K1138" i="2"/>
  <c r="U1138" i="2" s="1"/>
  <c r="J1869" i="2"/>
  <c r="J1868" i="2"/>
  <c r="J1878" i="2"/>
  <c r="J1879" i="2"/>
  <c r="J395" i="2"/>
  <c r="J394" i="2"/>
  <c r="J260" i="2"/>
  <c r="J259" i="2"/>
  <c r="K1224" i="2"/>
  <c r="U1224" i="2" s="1"/>
  <c r="K1223" i="2"/>
  <c r="U1223" i="2" s="1"/>
  <c r="J1748" i="2"/>
  <c r="J1747" i="2"/>
  <c r="J193" i="2"/>
  <c r="J194" i="2"/>
  <c r="K1216" i="2"/>
  <c r="U1216" i="2" s="1"/>
  <c r="K1215" i="2"/>
  <c r="U1215" i="2" s="1"/>
  <c r="J897" i="2"/>
  <c r="J896" i="2"/>
  <c r="J322" i="2"/>
  <c r="J323" i="2"/>
  <c r="K1362" i="2"/>
  <c r="U1362" i="2" s="1"/>
  <c r="K1363" i="2"/>
  <c r="U1363" i="2" s="1"/>
  <c r="J1900" i="2"/>
  <c r="J1901" i="2"/>
  <c r="K1200" i="2"/>
  <c r="U1200" i="2" s="1"/>
  <c r="K1199" i="2"/>
  <c r="U1199" i="2" s="1"/>
  <c r="K1338" i="2"/>
  <c r="U1338" i="2" s="1"/>
  <c r="K1339" i="2"/>
  <c r="U1339" i="2" s="1"/>
  <c r="J1800" i="2"/>
  <c r="J1799" i="2"/>
  <c r="J273" i="2"/>
  <c r="J274" i="2"/>
  <c r="J1769" i="2"/>
  <c r="J1770" i="2"/>
  <c r="J672" i="2"/>
  <c r="J671" i="2"/>
  <c r="J901" i="2"/>
  <c r="J900" i="2"/>
  <c r="J1761" i="2"/>
  <c r="J1762" i="2"/>
  <c r="J1963" i="2"/>
  <c r="J1962" i="2"/>
  <c r="J826" i="2"/>
  <c r="J827" i="2"/>
  <c r="K1477" i="2"/>
  <c r="U1477" i="2" s="1"/>
  <c r="K1476" i="2"/>
  <c r="U1476" i="2" s="1"/>
  <c r="J1873" i="2"/>
  <c r="J1872" i="2"/>
  <c r="J1742" i="2"/>
  <c r="J1741" i="2"/>
  <c r="K1091" i="2"/>
  <c r="U1091" i="2" s="1"/>
  <c r="K1092" i="2"/>
  <c r="U1092" i="2" s="1"/>
  <c r="K1411" i="2"/>
  <c r="U1411" i="2" s="1"/>
  <c r="K1410" i="2"/>
  <c r="U1410" i="2" s="1"/>
  <c r="K1358" i="2"/>
  <c r="U1358" i="2" s="1"/>
  <c r="K1359" i="2"/>
  <c r="U1359" i="2" s="1"/>
  <c r="J682" i="2"/>
  <c r="J681" i="2"/>
  <c r="J307" i="2"/>
  <c r="J306" i="2"/>
  <c r="K1274" i="2"/>
  <c r="U1274" i="2" s="1"/>
  <c r="K1273" i="2"/>
  <c r="U1273" i="2" s="1"/>
  <c r="J1719" i="2"/>
  <c r="J1720" i="2"/>
  <c r="K1325" i="2"/>
  <c r="U1325" i="2" s="1"/>
  <c r="K1324" i="2"/>
  <c r="U1324" i="2" s="1"/>
  <c r="J1718" i="2"/>
  <c r="J1717" i="2"/>
  <c r="K1383" i="2"/>
  <c r="U1383" i="2" s="1"/>
  <c r="K1382" i="2"/>
  <c r="U1382" i="2" s="1"/>
  <c r="J247" i="2"/>
  <c r="J248" i="2"/>
  <c r="J215" i="2"/>
  <c r="J216" i="2"/>
  <c r="J405" i="2"/>
  <c r="J404" i="2"/>
  <c r="J331" i="2"/>
  <c r="J330" i="2"/>
  <c r="J690" i="2"/>
  <c r="J689" i="2"/>
  <c r="J201" i="2"/>
  <c r="J202" i="2"/>
  <c r="J834" i="2"/>
  <c r="J835" i="2"/>
  <c r="K1149" i="2"/>
  <c r="U1149" i="2" s="1"/>
  <c r="K1150" i="2"/>
  <c r="U1150" i="2" s="1"/>
  <c r="J698" i="2"/>
  <c r="J697" i="2"/>
  <c r="J407" i="2"/>
  <c r="J406" i="2"/>
  <c r="J1834" i="2"/>
  <c r="J1833" i="2"/>
  <c r="J1812" i="2"/>
  <c r="J1811" i="2"/>
  <c r="J848" i="2"/>
  <c r="J849" i="2"/>
  <c r="J1724" i="2"/>
  <c r="J1723" i="2"/>
  <c r="K1492" i="2"/>
  <c r="U1492" i="2" s="1"/>
  <c r="K1493" i="2"/>
  <c r="U1493" i="2" s="1"/>
  <c r="J1842" i="2"/>
  <c r="J1843" i="2"/>
  <c r="J371" i="2"/>
  <c r="J370" i="2"/>
  <c r="J925" i="2"/>
  <c r="J924" i="2"/>
  <c r="J1816" i="2"/>
  <c r="J1815" i="2"/>
  <c r="K1391" i="2"/>
  <c r="U1391" i="2" s="1"/>
  <c r="K1390" i="2"/>
  <c r="U1390" i="2" s="1"/>
  <c r="K1068" i="2"/>
  <c r="U1068" i="2" s="1"/>
  <c r="K1067" i="2"/>
  <c r="U1067" i="2" s="1"/>
  <c r="K1521" i="2"/>
  <c r="U1521" i="2" s="1"/>
  <c r="K1520" i="2"/>
  <c r="U1520" i="2" s="1"/>
  <c r="J159" i="2"/>
  <c r="J160" i="2"/>
  <c r="J846" i="2"/>
  <c r="J847" i="2"/>
  <c r="J921" i="2"/>
  <c r="J920" i="2"/>
  <c r="K1331" i="2"/>
  <c r="U1331" i="2" s="1"/>
  <c r="K1330" i="2"/>
  <c r="U1330" i="2" s="1"/>
  <c r="K1357" i="2"/>
  <c r="U1357" i="2" s="1"/>
  <c r="K1356" i="2"/>
  <c r="U1356" i="2" s="1"/>
  <c r="J320" i="2"/>
  <c r="J321" i="2"/>
  <c r="K1154" i="2"/>
  <c r="U1154" i="2" s="1"/>
  <c r="K1153" i="2"/>
  <c r="U1153" i="2" s="1"/>
  <c r="J1820" i="2"/>
  <c r="J1819" i="2"/>
  <c r="J399" i="2"/>
  <c r="J398" i="2"/>
  <c r="J854" i="2"/>
  <c r="J855" i="2"/>
  <c r="J791" i="2"/>
  <c r="J792" i="2"/>
  <c r="K1237" i="2"/>
  <c r="U1237" i="2" s="1"/>
  <c r="K1238" i="2"/>
  <c r="U1238" i="2" s="1"/>
  <c r="J876" i="2"/>
  <c r="J877" i="2"/>
  <c r="J328" i="2"/>
  <c r="J329" i="2"/>
  <c r="K1230" i="2"/>
  <c r="U1230" i="2" s="1"/>
  <c r="K1229" i="2"/>
  <c r="U1229" i="2" s="1"/>
  <c r="K1348" i="2"/>
  <c r="U1348" i="2" s="1"/>
  <c r="K1349" i="2"/>
  <c r="U1349" i="2" s="1"/>
  <c r="K1114" i="2"/>
  <c r="U1114" i="2" s="1"/>
  <c r="K1113" i="2"/>
  <c r="U1113" i="2" s="1"/>
  <c r="J1753" i="2"/>
  <c r="J1754" i="2"/>
  <c r="K1255" i="2"/>
  <c r="U1255" i="2" s="1"/>
  <c r="K1256" i="2"/>
  <c r="U1256" i="2" s="1"/>
  <c r="J238" i="2"/>
  <c r="J237" i="2"/>
  <c r="J266" i="2"/>
  <c r="J265" i="2"/>
  <c r="K1370" i="2"/>
  <c r="U1370" i="2" s="1"/>
  <c r="K1371" i="2"/>
  <c r="U1371" i="2" s="1"/>
  <c r="K1182" i="2"/>
  <c r="U1182" i="2" s="1"/>
  <c r="K1181" i="2"/>
  <c r="U1181" i="2" s="1"/>
  <c r="J235" i="2"/>
  <c r="J236" i="2"/>
  <c r="K1062" i="2"/>
  <c r="U1062" i="2" s="1"/>
  <c r="K1061" i="2"/>
  <c r="U1061" i="2" s="1"/>
  <c r="J171" i="2"/>
  <c r="J172" i="2"/>
  <c r="J316" i="2"/>
  <c r="J317" i="2"/>
  <c r="K1195" i="2"/>
  <c r="U1195" i="2" s="1"/>
  <c r="K1196" i="2"/>
  <c r="U1196" i="2" s="1"/>
  <c r="J1773" i="2"/>
  <c r="J1774" i="2"/>
  <c r="K1104" i="2"/>
  <c r="U1104" i="2" s="1"/>
  <c r="K1103" i="2"/>
  <c r="U1103" i="2" s="1"/>
  <c r="K1208" i="2"/>
  <c r="U1208" i="2" s="1"/>
  <c r="K1207" i="2"/>
  <c r="U1207" i="2" s="1"/>
  <c r="K1443" i="2"/>
  <c r="U1443" i="2" s="1"/>
  <c r="K1442" i="2"/>
  <c r="U1442" i="2" s="1"/>
  <c r="K1573" i="2"/>
  <c r="U1573" i="2" s="1"/>
  <c r="K1572" i="2"/>
  <c r="U1572" i="2" s="1"/>
  <c r="K1130" i="2"/>
  <c r="U1130" i="2" s="1"/>
  <c r="K1129" i="2"/>
  <c r="U1129" i="2" s="1"/>
  <c r="J771" i="2"/>
  <c r="J772" i="2"/>
  <c r="K1307" i="2"/>
  <c r="U1307" i="2" s="1"/>
  <c r="K1308" i="2"/>
  <c r="U1308" i="2" s="1"/>
  <c r="J242" i="2"/>
  <c r="J241" i="2"/>
  <c r="K1214" i="2"/>
  <c r="U1214" i="2" s="1"/>
  <c r="K1213" i="2"/>
  <c r="U1213" i="2" s="1"/>
  <c r="K1146" i="2"/>
  <c r="U1146" i="2" s="1"/>
  <c r="K1145" i="2"/>
  <c r="U1145" i="2" s="1"/>
  <c r="J349" i="2"/>
  <c r="J348" i="2"/>
  <c r="J1758" i="2"/>
  <c r="J1757" i="2"/>
  <c r="K1422" i="2"/>
  <c r="U1422" i="2" s="1"/>
  <c r="K1423" i="2"/>
  <c r="U1423" i="2" s="1"/>
  <c r="K1272" i="2"/>
  <c r="U1272" i="2" s="1"/>
  <c r="K1271" i="2"/>
  <c r="U1271" i="2" s="1"/>
  <c r="J211" i="2"/>
  <c r="J212" i="2"/>
  <c r="J1937" i="2"/>
  <c r="J1936" i="2"/>
  <c r="J225" i="2"/>
  <c r="J226" i="2"/>
  <c r="J217" i="2"/>
  <c r="J218" i="2"/>
  <c r="K1118" i="2"/>
  <c r="U1118" i="2" s="1"/>
  <c r="K1117" i="2"/>
  <c r="U1117" i="2" s="1"/>
  <c r="J1897" i="2"/>
  <c r="J1896" i="2"/>
  <c r="J805" i="2"/>
  <c r="J804" i="2"/>
  <c r="K1168" i="2"/>
  <c r="U1168" i="2" s="1"/>
  <c r="K1167" i="2"/>
  <c r="U1167" i="2" s="1"/>
  <c r="K1098" i="2"/>
  <c r="U1098" i="2" s="1"/>
  <c r="K1097" i="2"/>
  <c r="U1097" i="2" s="1"/>
  <c r="J280" i="2"/>
  <c r="J279" i="2"/>
  <c r="J757" i="2"/>
  <c r="J758" i="2"/>
  <c r="J764" i="2"/>
  <c r="J763" i="2"/>
  <c r="K1528" i="2"/>
  <c r="U1528" i="2" s="1"/>
  <c r="K1529" i="2"/>
  <c r="U1529" i="2" s="1"/>
  <c r="J831" i="2"/>
  <c r="J830" i="2"/>
  <c r="J917" i="2"/>
  <c r="J916" i="2"/>
  <c r="J262" i="2"/>
  <c r="J261" i="2"/>
  <c r="J264" i="2"/>
  <c r="J263" i="2"/>
  <c r="J199" i="2"/>
  <c r="J200" i="2"/>
  <c r="J899" i="2"/>
  <c r="J898" i="2"/>
  <c r="J873" i="2"/>
  <c r="J872" i="2"/>
  <c r="J712" i="2"/>
  <c r="J711" i="2"/>
  <c r="K1365" i="2"/>
  <c r="U1365" i="2" s="1"/>
  <c r="K1364" i="2"/>
  <c r="U1364" i="2" s="1"/>
  <c r="T1342" i="2" s="1"/>
  <c r="K1342" i="2"/>
  <c r="U1342" i="2" s="1"/>
  <c r="K1343" i="2"/>
  <c r="U1343" i="2" s="1"/>
  <c r="J802" i="2"/>
  <c r="J803" i="2"/>
  <c r="K1340" i="2"/>
  <c r="U1340" i="2" s="1"/>
  <c r="K1341" i="2"/>
  <c r="U1341" i="2" s="1"/>
  <c r="J1801" i="2"/>
  <c r="J1802" i="2"/>
  <c r="J919" i="2"/>
  <c r="J918" i="2"/>
  <c r="K1086" i="2"/>
  <c r="U1086" i="2" s="1"/>
  <c r="K1085" i="2"/>
  <c r="U1085" i="2" s="1"/>
  <c r="J1759" i="2"/>
  <c r="J1760" i="2"/>
  <c r="J686" i="2"/>
  <c r="J685" i="2"/>
  <c r="J1904" i="2"/>
  <c r="J1905" i="2"/>
  <c r="J824" i="2"/>
  <c r="J825" i="2"/>
  <c r="J752" i="2"/>
  <c r="J751" i="2"/>
  <c r="J722" i="2"/>
  <c r="J721" i="2"/>
  <c r="K1559" i="2"/>
  <c r="U1559" i="2" s="1"/>
  <c r="K1558" i="2"/>
  <c r="U1558" i="2" s="1"/>
  <c r="K1469" i="2"/>
  <c r="U1469" i="2" s="1"/>
  <c r="K1468" i="2"/>
  <c r="U1468" i="2" s="1"/>
  <c r="K1475" i="2"/>
  <c r="U1475" i="2" s="1"/>
  <c r="K1474" i="2"/>
  <c r="U1474" i="2" s="1"/>
  <c r="J187" i="2"/>
  <c r="J188" i="2"/>
  <c r="J1740" i="2"/>
  <c r="J1739" i="2"/>
  <c r="J1838" i="2"/>
  <c r="J1839" i="2"/>
  <c r="K1386" i="2"/>
  <c r="U1386" i="2" s="1"/>
  <c r="K1387" i="2"/>
  <c r="U1387" i="2" s="1"/>
  <c r="K1252" i="2"/>
  <c r="U1252" i="2" s="1"/>
  <c r="K1251" i="2"/>
  <c r="U1251" i="2" s="1"/>
  <c r="K1361" i="2"/>
  <c r="U1361" i="2" s="1"/>
  <c r="K1360" i="2"/>
  <c r="U1360" i="2" s="1"/>
  <c r="J308" i="2"/>
  <c r="J309" i="2"/>
  <c r="J1804" i="2"/>
  <c r="J1803" i="2"/>
  <c r="J809" i="2"/>
  <c r="J808" i="2"/>
  <c r="J1929" i="2"/>
  <c r="J1928" i="2"/>
  <c r="K1290" i="2"/>
  <c r="U1290" i="2" s="1"/>
  <c r="K1289" i="2"/>
  <c r="U1289" i="2" s="1"/>
  <c r="K1084" i="2"/>
  <c r="U1084" i="2" s="1"/>
  <c r="K1083" i="2"/>
  <c r="U1083" i="2" s="1"/>
  <c r="J213" i="2"/>
  <c r="J214" i="2"/>
  <c r="K1248" i="2"/>
  <c r="U1248" i="2" s="1"/>
  <c r="K1247" i="2"/>
  <c r="U1247" i="2" s="1"/>
  <c r="K1326" i="2"/>
  <c r="U1326" i="2" s="1"/>
  <c r="K1327" i="2"/>
  <c r="U1327" i="2" s="1"/>
  <c r="J1935" i="2"/>
  <c r="J1934" i="2"/>
  <c r="J1729" i="2"/>
  <c r="J1730" i="2"/>
  <c r="K1152" i="2"/>
  <c r="U1152" i="2" s="1"/>
  <c r="K1151" i="2"/>
  <c r="U1151" i="2" s="1"/>
  <c r="J740" i="2"/>
  <c r="J739" i="2"/>
  <c r="K1454" i="2"/>
  <c r="U1454" i="2" s="1"/>
  <c r="K1455" i="2"/>
  <c r="U1455" i="2" s="1"/>
  <c r="J354" i="2"/>
  <c r="J355" i="2"/>
  <c r="J221" i="2"/>
  <c r="J222" i="2"/>
  <c r="J295" i="2"/>
  <c r="J294" i="2"/>
  <c r="J907" i="2"/>
  <c r="J906" i="2"/>
  <c r="J1943" i="2"/>
  <c r="J1942" i="2"/>
  <c r="J1726" i="2"/>
  <c r="J1725" i="2"/>
  <c r="J813" i="2"/>
  <c r="J812" i="2"/>
  <c r="K1491" i="2"/>
  <c r="U1491" i="2" s="1"/>
  <c r="K1490" i="2"/>
  <c r="U1490" i="2" s="1"/>
  <c r="J883" i="2"/>
  <c r="J882" i="2"/>
  <c r="K1319" i="2"/>
  <c r="U1319" i="2" s="1"/>
  <c r="K1318" i="2"/>
  <c r="U1318" i="2" s="1"/>
  <c r="J373" i="2"/>
  <c r="J372" i="2"/>
  <c r="K1546" i="2"/>
  <c r="U1546" i="2" s="1"/>
  <c r="K1547" i="2"/>
  <c r="U1547" i="2" s="1"/>
  <c r="K1421" i="2"/>
  <c r="U1421" i="2" s="1"/>
  <c r="K1420" i="2"/>
  <c r="U1420" i="2" s="1"/>
  <c r="J927" i="2"/>
  <c r="J926" i="2"/>
  <c r="J1818" i="2"/>
  <c r="J1817" i="2"/>
  <c r="K1519" i="2"/>
  <c r="U1519" i="2" s="1"/>
  <c r="K1518" i="2"/>
  <c r="U1518" i="2" s="1"/>
  <c r="J250" i="2"/>
  <c r="J249" i="2"/>
  <c r="J923" i="2"/>
  <c r="J922" i="2"/>
  <c r="J911" i="2"/>
  <c r="J910" i="2"/>
  <c r="J837" i="2"/>
  <c r="J836" i="2"/>
  <c r="J319" i="2"/>
  <c r="J318" i="2"/>
  <c r="K1374" i="2"/>
  <c r="U1374" i="2" s="1"/>
  <c r="K1375" i="2"/>
  <c r="U1375" i="2" s="1"/>
  <c r="J1846" i="2"/>
  <c r="J1847" i="2"/>
  <c r="K1298" i="2"/>
  <c r="U1298" i="2" s="1"/>
  <c r="K1297" i="2"/>
  <c r="U1297" i="2" s="1"/>
  <c r="K1156" i="2"/>
  <c r="U1156" i="2" s="1"/>
  <c r="K1155" i="2"/>
  <c r="U1155" i="2" s="1"/>
  <c r="J401" i="2"/>
  <c r="J400" i="2"/>
  <c r="J853" i="2"/>
  <c r="J852" i="2"/>
  <c r="K1170" i="2"/>
  <c r="U1170" i="2" s="1"/>
  <c r="K1169" i="2"/>
  <c r="U1169" i="2" s="1"/>
  <c r="J779" i="2"/>
  <c r="J780" i="2"/>
  <c r="K1539" i="2"/>
  <c r="U1539" i="2" s="1"/>
  <c r="K1538" i="2"/>
  <c r="U1538" i="2" s="1"/>
  <c r="J254" i="2"/>
  <c r="J253" i="2"/>
  <c r="J327" i="2"/>
  <c r="J326" i="2"/>
  <c r="J1788" i="2"/>
  <c r="J1787" i="2"/>
  <c r="K1478" i="2"/>
  <c r="U1478" i="2" s="1"/>
  <c r="K1479" i="2"/>
  <c r="U1479" i="2" s="1"/>
  <c r="K1254" i="2"/>
  <c r="U1254" i="2" s="1"/>
  <c r="K1253" i="2"/>
  <c r="U1253" i="2" s="1"/>
  <c r="J239" i="2"/>
  <c r="J240" i="2"/>
  <c r="K1465" i="2"/>
  <c r="U1465" i="2" s="1"/>
  <c r="K1464" i="2"/>
  <c r="U1464" i="2" s="1"/>
  <c r="K1227" i="2"/>
  <c r="U1227" i="2" s="1"/>
  <c r="K1228" i="2"/>
  <c r="U1228" i="2" s="1"/>
  <c r="K1373" i="2"/>
  <c r="U1373" i="2" s="1"/>
  <c r="K1372" i="2"/>
  <c r="U1372" i="2" s="1"/>
  <c r="K1184" i="2"/>
  <c r="U1184" i="2" s="1"/>
  <c r="K1183" i="2"/>
  <c r="U1183" i="2" s="1"/>
  <c r="K1141" i="2"/>
  <c r="U1141" i="2" s="1"/>
  <c r="K1142" i="2"/>
  <c r="U1142" i="2" s="1"/>
  <c r="J381" i="2"/>
  <c r="J380" i="2"/>
  <c r="J169" i="2"/>
  <c r="J170" i="2"/>
  <c r="J315" i="2"/>
  <c r="J314" i="2"/>
  <c r="J676" i="2"/>
  <c r="J675" i="2"/>
  <c r="K1505" i="2"/>
  <c r="U1505" i="2" s="1"/>
  <c r="K1504" i="2"/>
  <c r="U1504" i="2" s="1"/>
  <c r="J335" i="2"/>
  <c r="J334" i="2"/>
  <c r="K1148" i="2"/>
  <c r="U1148" i="2" s="1"/>
  <c r="K1147" i="2"/>
  <c r="U1147" i="2" s="1"/>
  <c r="J866" i="2"/>
  <c r="J867" i="2"/>
  <c r="K1495" i="2"/>
  <c r="U1495" i="2" s="1"/>
  <c r="K1494" i="2"/>
  <c r="U1494" i="2" s="1"/>
  <c r="J1870" i="2"/>
  <c r="J1871" i="2"/>
  <c r="J1877" i="2"/>
  <c r="J1876" i="2"/>
  <c r="J1959" i="2"/>
  <c r="J1958" i="2"/>
  <c r="K1259" i="2"/>
  <c r="U1259" i="2" s="1"/>
  <c r="K1260" i="2"/>
  <c r="U1260" i="2" s="1"/>
  <c r="K1261" i="2"/>
  <c r="U1261" i="2" s="1"/>
  <c r="K1262" i="2"/>
  <c r="U1262" i="2" s="1"/>
  <c r="K1553" i="2"/>
  <c r="U1553" i="2" s="1"/>
  <c r="K1552" i="2"/>
  <c r="U1552" i="2" s="1"/>
  <c r="J1857" i="2"/>
  <c r="J1856" i="2"/>
  <c r="J1785" i="2"/>
  <c r="J1786" i="2"/>
  <c r="J706" i="2"/>
  <c r="J705" i="2"/>
  <c r="K1394" i="2"/>
  <c r="U1394" i="2" s="1"/>
  <c r="K1395" i="2"/>
  <c r="U1395" i="2" s="1"/>
  <c r="J1778" i="2"/>
  <c r="J1777" i="2"/>
  <c r="J1906" i="2"/>
  <c r="J1907" i="2"/>
  <c r="J728" i="2"/>
  <c r="J727" i="2"/>
  <c r="J1902" i="2"/>
  <c r="J1903" i="2"/>
  <c r="K1220" i="2"/>
  <c r="U1220" i="2" s="1"/>
  <c r="K1219" i="2"/>
  <c r="U1219" i="2" s="1"/>
  <c r="J1912" i="2"/>
  <c r="J1913" i="2"/>
  <c r="J726" i="2"/>
  <c r="J725" i="2"/>
  <c r="J383" i="2"/>
  <c r="J382" i="2"/>
  <c r="J788" i="2"/>
  <c r="J787" i="2"/>
  <c r="J674" i="2"/>
  <c r="J673" i="2"/>
  <c r="K1088" i="2"/>
  <c r="U1088" i="2" s="1"/>
  <c r="K1087" i="2"/>
  <c r="U1087" i="2" s="1"/>
  <c r="K1514" i="2"/>
  <c r="U1514" i="2" s="1"/>
  <c r="K1515" i="2"/>
  <c r="U1515" i="2" s="1"/>
  <c r="J684" i="2"/>
  <c r="J683" i="2"/>
  <c r="K1508" i="2"/>
  <c r="U1508" i="2" s="1"/>
  <c r="K1509" i="2"/>
  <c r="U1509" i="2" s="1"/>
  <c r="J753" i="2"/>
  <c r="J754" i="2"/>
  <c r="K1426" i="2"/>
  <c r="U1426" i="2" s="1"/>
  <c r="K1427" i="2"/>
  <c r="U1427" i="2" s="1"/>
  <c r="K1560" i="2"/>
  <c r="U1560" i="2" s="1"/>
  <c r="K1561" i="2"/>
  <c r="U1561" i="2" s="1"/>
  <c r="K1205" i="2"/>
  <c r="U1205" i="2" s="1"/>
  <c r="K1206" i="2"/>
  <c r="U1206" i="2" s="1"/>
  <c r="J1874" i="2"/>
  <c r="J1875" i="2"/>
  <c r="J185" i="2"/>
  <c r="J186" i="2"/>
  <c r="J304" i="2"/>
  <c r="J305" i="2"/>
  <c r="J1837" i="2"/>
  <c r="J1836" i="2"/>
  <c r="K1180" i="2"/>
  <c r="U1180" i="2" s="1"/>
  <c r="K1179" i="2"/>
  <c r="U1179" i="2" s="1"/>
  <c r="K1389" i="2"/>
  <c r="U1389" i="2" s="1"/>
  <c r="K1388" i="2"/>
  <c r="U1388" i="2" s="1"/>
  <c r="K1400" i="2"/>
  <c r="U1400" i="2" s="1"/>
  <c r="K1401" i="2"/>
  <c r="U1401" i="2" s="1"/>
  <c r="K1250" i="2"/>
  <c r="U1250" i="2" s="1"/>
  <c r="K1249" i="2"/>
  <c r="U1249" i="2" s="1"/>
  <c r="J744" i="2"/>
  <c r="J743" i="2"/>
  <c r="J207" i="2"/>
  <c r="J208" i="2"/>
  <c r="K1276" i="2"/>
  <c r="U1276" i="2" s="1"/>
  <c r="K1275" i="2"/>
  <c r="U1275" i="2" s="1"/>
  <c r="J1806" i="2"/>
  <c r="J1805" i="2"/>
  <c r="K1323" i="2"/>
  <c r="U1323" i="2" s="1"/>
  <c r="K1322" i="2"/>
  <c r="U1322" i="2" s="1"/>
  <c r="J1881" i="2"/>
  <c r="J1880" i="2"/>
  <c r="K1407" i="2"/>
  <c r="U1407" i="2" s="1"/>
  <c r="K1406" i="2"/>
  <c r="U1406" i="2" s="1"/>
  <c r="K1436" i="2"/>
  <c r="U1436" i="2" s="1"/>
  <c r="K1437" i="2"/>
  <c r="U1437" i="2" s="1"/>
  <c r="J332" i="2"/>
  <c r="J333" i="2"/>
  <c r="J1933" i="2"/>
  <c r="J1932" i="2"/>
  <c r="J1727" i="2"/>
  <c r="J1728" i="2"/>
  <c r="J741" i="2"/>
  <c r="J742" i="2"/>
  <c r="J357" i="2"/>
  <c r="J356" i="2"/>
  <c r="J224" i="2"/>
  <c r="J223" i="2"/>
  <c r="K1557" i="2"/>
  <c r="U1557" i="2" s="1"/>
  <c r="K1556" i="2"/>
  <c r="U1556" i="2" s="1"/>
  <c r="J1814" i="2"/>
  <c r="J1813" i="2"/>
  <c r="J773" i="2"/>
  <c r="J774" i="2"/>
  <c r="J1941" i="2"/>
  <c r="J1940" i="2"/>
  <c r="J1888" i="2"/>
  <c r="J1889" i="2"/>
  <c r="K1176" i="2"/>
  <c r="U1176" i="2" s="1"/>
  <c r="K1175" i="2"/>
  <c r="U1175" i="2" s="1"/>
  <c r="J815" i="2"/>
  <c r="J814" i="2"/>
  <c r="K1379" i="2"/>
  <c r="U1379" i="2" s="1"/>
  <c r="K1378" i="2"/>
  <c r="U1378" i="2" s="1"/>
  <c r="J1850" i="2"/>
  <c r="J1851" i="2"/>
  <c r="J881" i="2"/>
  <c r="J880" i="2"/>
  <c r="K1548" i="2"/>
  <c r="U1548" i="2" s="1"/>
  <c r="K1549" i="2"/>
  <c r="U1549" i="2" s="1"/>
  <c r="K1070" i="2"/>
  <c r="U1070" i="2" s="1"/>
  <c r="K1069" i="2"/>
  <c r="U1069" i="2" s="1"/>
  <c r="K1313" i="2"/>
  <c r="U1313" i="2" s="1"/>
  <c r="K1314" i="2"/>
  <c r="U1314" i="2" s="1"/>
  <c r="J862" i="2"/>
  <c r="J863" i="2"/>
  <c r="J252" i="2"/>
  <c r="J251" i="2"/>
  <c r="J1829" i="2"/>
  <c r="J1830" i="2"/>
  <c r="K1073" i="2"/>
  <c r="U1073" i="2" s="1"/>
  <c r="K1074" i="2"/>
  <c r="U1074" i="2" s="1"/>
  <c r="K1333" i="2"/>
  <c r="U1333" i="2" s="1"/>
  <c r="K1332" i="2"/>
  <c r="U1332" i="2" s="1"/>
  <c r="J795" i="2"/>
  <c r="J796" i="2"/>
  <c r="J767" i="2"/>
  <c r="J768" i="2"/>
  <c r="J838" i="2"/>
  <c r="J839" i="2"/>
  <c r="J1919" i="2"/>
  <c r="J1918" i="2"/>
  <c r="K1376" i="2"/>
  <c r="U1376" i="2" s="1"/>
  <c r="K1377" i="2"/>
  <c r="U1377" i="2" s="1"/>
  <c r="J1845" i="2"/>
  <c r="J1844" i="2"/>
  <c r="J1951" i="2"/>
  <c r="J1950" i="2"/>
  <c r="K1280" i="2"/>
  <c r="U1280" i="2" s="1"/>
  <c r="K1279" i="2"/>
  <c r="U1279" i="2" s="1"/>
  <c r="K1172" i="2"/>
  <c r="U1172" i="2" s="1"/>
  <c r="K1171" i="2"/>
  <c r="U1171" i="2" s="1"/>
  <c r="K1453" i="2"/>
  <c r="U1453" i="2" s="1"/>
  <c r="K1452" i="2"/>
  <c r="U1452" i="2" s="1"/>
  <c r="K1240" i="2"/>
  <c r="U1240" i="2" s="1"/>
  <c r="K1239" i="2"/>
  <c r="U1239" i="2" s="1"/>
  <c r="K1541" i="2"/>
  <c r="U1541" i="2" s="1"/>
  <c r="K1540" i="2"/>
  <c r="U1540" i="2" s="1"/>
  <c r="J256" i="2"/>
  <c r="J255" i="2"/>
  <c r="J718" i="2"/>
  <c r="J717" i="2"/>
  <c r="K1232" i="2"/>
  <c r="U1232" i="2" s="1"/>
  <c r="K1231" i="2"/>
  <c r="U1231" i="2" s="1"/>
  <c r="J1789" i="2"/>
  <c r="J1790" i="2"/>
  <c r="K1189" i="2"/>
  <c r="U1189" i="2" s="1"/>
  <c r="K1190" i="2"/>
  <c r="U1190" i="2" s="1"/>
  <c r="K1481" i="2"/>
  <c r="U1481" i="2" s="1"/>
  <c r="K1480" i="2"/>
  <c r="U1480" i="2" s="1"/>
  <c r="J1796" i="2"/>
  <c r="J1795" i="2"/>
  <c r="K1463" i="2"/>
  <c r="U1463" i="2" s="1"/>
  <c r="K1462" i="2"/>
  <c r="U1462" i="2" s="1"/>
  <c r="K1226" i="2"/>
  <c r="U1226" i="2" s="1"/>
  <c r="K1225" i="2"/>
  <c r="U1225" i="2" s="1"/>
  <c r="K1144" i="2"/>
  <c r="U1144" i="2" s="1"/>
  <c r="K1143" i="2"/>
  <c r="U1143" i="2" s="1"/>
  <c r="J272" i="2"/>
  <c r="J271" i="2"/>
  <c r="J313" i="2"/>
  <c r="J312" i="2"/>
  <c r="J775" i="2"/>
  <c r="J776" i="2"/>
  <c r="K1484" i="2"/>
  <c r="U1484" i="2" s="1"/>
  <c r="K1485" i="2"/>
  <c r="U1485" i="2" s="1"/>
  <c r="J173" i="2"/>
  <c r="J174" i="2"/>
  <c r="J1908" i="2"/>
  <c r="J1909" i="2"/>
  <c r="J913" i="2"/>
  <c r="J912" i="2"/>
  <c r="K1439" i="2"/>
  <c r="U1439" i="2" s="1"/>
  <c r="K1438" i="2"/>
  <c r="U1438" i="2" s="1"/>
  <c r="K1544" i="2"/>
  <c r="U1544" i="2" s="1"/>
  <c r="K1545" i="2"/>
  <c r="U1545" i="2" s="1"/>
  <c r="K1123" i="2"/>
  <c r="U1123" i="2" s="1"/>
  <c r="K1124" i="2"/>
  <c r="U1124" i="2" s="1"/>
  <c r="J1855" i="2"/>
  <c r="J1854" i="2"/>
  <c r="J823" i="2"/>
  <c r="J822" i="2"/>
  <c r="K1535" i="2"/>
  <c r="U1535" i="2" s="1"/>
  <c r="K1534" i="2"/>
  <c r="U1534" i="2" s="1"/>
  <c r="K1482" i="2"/>
  <c r="U1482" i="2" s="1"/>
  <c r="K1483" i="2"/>
  <c r="U1483" i="2" s="1"/>
  <c r="K1565" i="2"/>
  <c r="U1565" i="2" s="1"/>
  <c r="K1564" i="2"/>
  <c r="U1564" i="2" s="1"/>
  <c r="J393" i="2"/>
  <c r="J392" i="2"/>
  <c r="K1473" i="2"/>
  <c r="U1473" i="2" s="1"/>
  <c r="K1472" i="2"/>
  <c r="U1472" i="2" s="1"/>
  <c r="K1512" i="2"/>
  <c r="U1512" i="2" s="1"/>
  <c r="K1513" i="2"/>
  <c r="U1513" i="2" s="1"/>
  <c r="J1947" i="2"/>
  <c r="J1946" i="2"/>
  <c r="K1501" i="2"/>
  <c r="U1501" i="2" s="1"/>
  <c r="K1500" i="2"/>
  <c r="U1500" i="2" s="1"/>
  <c r="K1243" i="2"/>
  <c r="U1243" i="2" s="1"/>
  <c r="K1244" i="2"/>
  <c r="U1244" i="2" s="1"/>
  <c r="K1077" i="2"/>
  <c r="U1077" i="2" s="1"/>
  <c r="K1078" i="2"/>
  <c r="U1078" i="2" s="1"/>
  <c r="K1283" i="2"/>
  <c r="U1283" i="2" s="1"/>
  <c r="K1284" i="2"/>
  <c r="U1284" i="2" s="1"/>
  <c r="J1782" i="2"/>
  <c r="J1781" i="2"/>
  <c r="J817" i="2"/>
  <c r="J816" i="2"/>
  <c r="J1713" i="2"/>
  <c r="J1714" i="2"/>
  <c r="J353" i="2"/>
  <c r="J352" i="2"/>
  <c r="J801" i="2"/>
  <c r="J800" i="2"/>
  <c r="J1767" i="2"/>
  <c r="J1768" i="2"/>
  <c r="J720" i="2"/>
  <c r="J719" i="2"/>
  <c r="J197" i="2"/>
  <c r="J198" i="2"/>
  <c r="J875" i="2"/>
  <c r="J874" i="2"/>
  <c r="K1344" i="2"/>
  <c r="U1344" i="2" s="1"/>
  <c r="K1345" i="2"/>
  <c r="U1345" i="2" s="1"/>
  <c r="J678" i="2"/>
  <c r="J677" i="2"/>
  <c r="K1305" i="2"/>
  <c r="U1305" i="2" s="1"/>
  <c r="K1306" i="2"/>
  <c r="U1306" i="2" s="1"/>
  <c r="J714" i="2"/>
  <c r="J713" i="2"/>
  <c r="J1708" i="2"/>
  <c r="J1707" i="2"/>
  <c r="J310" i="2"/>
  <c r="J311" i="2"/>
  <c r="K1218" i="2"/>
  <c r="U1218" i="2" s="1"/>
  <c r="K1217" i="2"/>
  <c r="U1217" i="2" s="1"/>
  <c r="J1914" i="2"/>
  <c r="J1915" i="2"/>
  <c r="J724" i="2"/>
  <c r="J723" i="2"/>
  <c r="J385" i="2"/>
  <c r="J384" i="2"/>
  <c r="J789" i="2"/>
  <c r="J790" i="2"/>
  <c r="K1403" i="2"/>
  <c r="U1403" i="2" s="1"/>
  <c r="K1402" i="2"/>
  <c r="U1402" i="2" s="1"/>
  <c r="J1772" i="2"/>
  <c r="J1771" i="2"/>
  <c r="J336" i="2"/>
  <c r="J337" i="2"/>
  <c r="K1506" i="2"/>
  <c r="U1506" i="2" s="1"/>
  <c r="K1507" i="2"/>
  <c r="U1507" i="2" s="1"/>
  <c r="K1101" i="2"/>
  <c r="U1101" i="2" s="1"/>
  <c r="K1102" i="2"/>
  <c r="U1102" i="2" s="1"/>
  <c r="K1188" i="2"/>
  <c r="U1188" i="2" s="1"/>
  <c r="K1187" i="2"/>
  <c r="U1187" i="2" s="1"/>
  <c r="K1467" i="2"/>
  <c r="U1467" i="2" s="1"/>
  <c r="K1466" i="2"/>
  <c r="U1466" i="2" s="1"/>
  <c r="K1562" i="2"/>
  <c r="U1562" i="2" s="1"/>
  <c r="K1563" i="2"/>
  <c r="U1563" i="2" s="1"/>
  <c r="J1892" i="2"/>
  <c r="J1893" i="2"/>
  <c r="K1177" i="2"/>
  <c r="U1177" i="2" s="1"/>
  <c r="K1178" i="2"/>
  <c r="U1178" i="2" s="1"/>
  <c r="J346" i="2"/>
  <c r="J347" i="2"/>
  <c r="K1399" i="2"/>
  <c r="U1399" i="2" s="1"/>
  <c r="K1398" i="2"/>
  <c r="U1398" i="2" s="1"/>
  <c r="K1530" i="2"/>
  <c r="U1530" i="2" s="1"/>
  <c r="K1531" i="2"/>
  <c r="U1531" i="2" s="1"/>
  <c r="J694" i="2"/>
  <c r="J693" i="2"/>
  <c r="J745" i="2"/>
  <c r="J746" i="2"/>
  <c r="J205" i="2"/>
  <c r="J206" i="2"/>
  <c r="J811" i="2"/>
  <c r="J810" i="2"/>
  <c r="J1927" i="2"/>
  <c r="J1926" i="2"/>
  <c r="J1931" i="2"/>
  <c r="J1930" i="2"/>
  <c r="J1882" i="2"/>
  <c r="J1883" i="2"/>
  <c r="K1082" i="2"/>
  <c r="U1082" i="2" s="1"/>
  <c r="K1081" i="2"/>
  <c r="U1081" i="2" s="1"/>
  <c r="J889" i="2"/>
  <c r="J888" i="2"/>
  <c r="K1409" i="2"/>
  <c r="U1409" i="2" s="1"/>
  <c r="K1408" i="2"/>
  <c r="U1408" i="2" s="1"/>
  <c r="K1329" i="2"/>
  <c r="U1329" i="2" s="1"/>
  <c r="K1328" i="2"/>
  <c r="U1328" i="2" s="1"/>
  <c r="K1350" i="2"/>
  <c r="U1350" i="2" s="1"/>
  <c r="K1351" i="2"/>
  <c r="U1351" i="2" s="1"/>
  <c r="J1945" i="2"/>
  <c r="J1944" i="2"/>
  <c r="J1859" i="2"/>
  <c r="J1858" i="2"/>
  <c r="K1542" i="2"/>
  <c r="U1542" i="2" s="1"/>
  <c r="K1543" i="2"/>
  <c r="U1543" i="2" s="1"/>
  <c r="J1953" i="2"/>
  <c r="J1952" i="2"/>
  <c r="J710" i="2"/>
  <c r="J709" i="2"/>
  <c r="J297" i="2"/>
  <c r="J296" i="2"/>
  <c r="K1121" i="2"/>
  <c r="U1121" i="2" s="1"/>
  <c r="K1122" i="2"/>
  <c r="U1122" i="2" s="1"/>
  <c r="J1890" i="2"/>
  <c r="J1891" i="2"/>
  <c r="K1174" i="2"/>
  <c r="U1174" i="2" s="1"/>
  <c r="K1173" i="2"/>
  <c r="U1173" i="2" s="1"/>
  <c r="K1380" i="2"/>
  <c r="U1380" i="2" s="1"/>
  <c r="K1381" i="2"/>
  <c r="U1381" i="2" s="1"/>
  <c r="J1849" i="2"/>
  <c r="J1848" i="2"/>
  <c r="J181" i="2"/>
  <c r="J182" i="2"/>
  <c r="K1320" i="2"/>
  <c r="U1320" i="2" s="1"/>
  <c r="K1321" i="2"/>
  <c r="U1321" i="2" s="1"/>
  <c r="J1853" i="2"/>
  <c r="J1852" i="2"/>
  <c r="J286" i="2"/>
  <c r="J287" i="2"/>
  <c r="K1418" i="2"/>
  <c r="U1418" i="2" s="1"/>
  <c r="K1419" i="2"/>
  <c r="U1419" i="2" s="1"/>
  <c r="K1072" i="2"/>
  <c r="U1072" i="2" s="1"/>
  <c r="K1071" i="2"/>
  <c r="U1071" i="2" s="1"/>
  <c r="K1109" i="2"/>
  <c r="U1109" i="2" s="1"/>
  <c r="K1110" i="2"/>
  <c r="U1110" i="2" s="1"/>
  <c r="K1316" i="2"/>
  <c r="U1316" i="2" s="1"/>
  <c r="K1315" i="2"/>
  <c r="U1315" i="2" s="1"/>
  <c r="K1449" i="2"/>
  <c r="U1449" i="2" s="1"/>
  <c r="K1448" i="2"/>
  <c r="U1448" i="2" s="1"/>
  <c r="J736" i="2"/>
  <c r="J735" i="2"/>
  <c r="J861" i="2"/>
  <c r="J860" i="2"/>
  <c r="J821" i="2"/>
  <c r="J820" i="2"/>
  <c r="K1127" i="2"/>
  <c r="U1127" i="2" s="1"/>
  <c r="K1128" i="2"/>
  <c r="U1128" i="2" s="1"/>
  <c r="J1827" i="2"/>
  <c r="J1828" i="2"/>
  <c r="K1075" i="2"/>
  <c r="U1075" i="2" s="1"/>
  <c r="K1076" i="2"/>
  <c r="U1076" i="2" s="1"/>
  <c r="J704" i="2"/>
  <c r="J703" i="2"/>
  <c r="J798" i="2"/>
  <c r="J797" i="2"/>
  <c r="J1886" i="2"/>
  <c r="J1887" i="2"/>
  <c r="J1917" i="2"/>
  <c r="J1916" i="2"/>
  <c r="J870" i="2"/>
  <c r="J871" i="2"/>
  <c r="K1397" i="2"/>
  <c r="U1397" i="2" s="1"/>
  <c r="K1396" i="2"/>
  <c r="U1396" i="2" s="1"/>
  <c r="J784" i="2"/>
  <c r="J783" i="2"/>
  <c r="J1949" i="2"/>
  <c r="J1948" i="2"/>
  <c r="J807" i="2"/>
  <c r="J806" i="2"/>
  <c r="J1826" i="2"/>
  <c r="J1825" i="2"/>
  <c r="J734" i="2"/>
  <c r="J733" i="2"/>
  <c r="J716" i="2"/>
  <c r="J715" i="2"/>
  <c r="K1202" i="2"/>
  <c r="U1202" i="2" s="1"/>
  <c r="K1201" i="2"/>
  <c r="U1201" i="2" s="1"/>
  <c r="K1192" i="2"/>
  <c r="U1192" i="2" s="1"/>
  <c r="K1191" i="2"/>
  <c r="U1191" i="2" s="1"/>
  <c r="J1797" i="2"/>
  <c r="J1798" i="2"/>
  <c r="J1766" i="2"/>
  <c r="J1765" i="2"/>
  <c r="K1211" i="2"/>
  <c r="U1211" i="2" s="1"/>
  <c r="K1212" i="2"/>
  <c r="U1212" i="2" s="1"/>
  <c r="J369" i="2"/>
  <c r="J368" i="2"/>
  <c r="K1160" i="2"/>
  <c r="U1160" i="2" s="1"/>
  <c r="K1159" i="2"/>
  <c r="U1159" i="2" s="1"/>
  <c r="J270" i="2"/>
  <c r="J269" i="2"/>
  <c r="J1861" i="2"/>
  <c r="J1860" i="2"/>
  <c r="K1221" i="2"/>
  <c r="U1221" i="2" s="1"/>
  <c r="K1222" i="2"/>
  <c r="U1222" i="2" s="1"/>
  <c r="J148" i="1"/>
  <c r="I149" i="1" s="1"/>
  <c r="H150" i="1" s="1"/>
  <c r="F7" i="1" s="1"/>
  <c r="T1390" i="2" l="1"/>
  <c r="T1306" i="2"/>
  <c r="T1404" i="2"/>
  <c r="T1293" i="2"/>
  <c r="T1415" i="2"/>
  <c r="T1263" i="2"/>
  <c r="T1375" i="2"/>
  <c r="T1419" i="2"/>
  <c r="T1433" i="2"/>
  <c r="T1420" i="2"/>
  <c r="T1303" i="2"/>
  <c r="T1339" i="2"/>
  <c r="T1216" i="2"/>
  <c r="T1422" i="2"/>
  <c r="T1352" i="2"/>
  <c r="T1251" i="2"/>
  <c r="T1260" i="2"/>
  <c r="T1233" i="2"/>
  <c r="T1313" i="2"/>
  <c r="T1382" i="2"/>
  <c r="T1239" i="2"/>
  <c r="T1327" i="2"/>
  <c r="T1435" i="2"/>
  <c r="T1372" i="2"/>
  <c r="T1344" i="2"/>
  <c r="T1405" i="2"/>
  <c r="T1428" i="2"/>
  <c r="T1367" i="2"/>
  <c r="T1325" i="2"/>
  <c r="T1246" i="2"/>
  <c r="T1283" i="2"/>
  <c r="T1407" i="2"/>
  <c r="T1412" i="2"/>
  <c r="T1347" i="2"/>
  <c r="T1340" i="2"/>
  <c r="T1439" i="2"/>
  <c r="T1330" i="2"/>
  <c r="T1332" i="2"/>
  <c r="T1212" i="2"/>
  <c r="T1221" i="2"/>
  <c r="T1418" i="2"/>
  <c r="T1222" i="2"/>
  <c r="T1199" i="2"/>
  <c r="T1410" i="2"/>
  <c r="T1278" i="2"/>
  <c r="T1338" i="2"/>
  <c r="T1193" i="2"/>
  <c r="T1323" i="2"/>
  <c r="T1359" i="2"/>
  <c r="T1328" i="2"/>
  <c r="T1437" i="2"/>
  <c r="T1356" i="2"/>
  <c r="T1349" i="2"/>
  <c r="T1357" i="2"/>
  <c r="T1258" i="2"/>
  <c r="T1270" i="2"/>
  <c r="T1409" i="2"/>
  <c r="T1366" i="2"/>
  <c r="T1326" i="2"/>
  <c r="T1255" i="2"/>
  <c r="T1368" i="2"/>
  <c r="T1289" i="2"/>
  <c r="T1285" i="2"/>
  <c r="T1247" i="2"/>
  <c r="T1280" i="2"/>
  <c r="T1291" i="2"/>
  <c r="T1194" i="2"/>
  <c r="T1245" i="2"/>
  <c r="T1197" i="2"/>
  <c r="T1202" i="2"/>
  <c r="T1424" i="2"/>
  <c r="T1209" i="2"/>
  <c r="T1391" i="2"/>
  <c r="S1354" i="2" s="1"/>
  <c r="T1298" i="2"/>
  <c r="T1282" i="2"/>
  <c r="T1394" i="2"/>
  <c r="T1201" i="2"/>
  <c r="T1262" i="2"/>
  <c r="T1286" i="2"/>
  <c r="T1235" i="2"/>
  <c r="T1192" i="2"/>
  <c r="T1312" i="2"/>
  <c r="T1264" i="2"/>
  <c r="T1267" i="2"/>
  <c r="T1360" i="2"/>
  <c r="T1440" i="2"/>
  <c r="T1268" i="2"/>
  <c r="T1362" i="2"/>
  <c r="T1301" i="2"/>
  <c r="T1214" i="2"/>
  <c r="T1207" i="2"/>
  <c r="T1364" i="2"/>
  <c r="T1413" i="2"/>
  <c r="T1400" i="2"/>
  <c r="T1386" i="2"/>
  <c r="T1354" i="2"/>
  <c r="T1250" i="2"/>
  <c r="T1243" i="2"/>
  <c r="T1307" i="2"/>
  <c r="T1279" i="2"/>
  <c r="T1276" i="2"/>
  <c r="T1290" i="2"/>
  <c r="T1238" i="2"/>
  <c r="T1229" i="2"/>
  <c r="T1277" i="2"/>
  <c r="T1308" i="2"/>
  <c r="T1319" i="2"/>
  <c r="T1402" i="2"/>
  <c r="T1195" i="2"/>
  <c r="T1315" i="2"/>
  <c r="T1438" i="2"/>
  <c r="T1261" i="2"/>
  <c r="T1232" i="2"/>
  <c r="T1198" i="2"/>
  <c r="T1385" i="2"/>
  <c r="T1392" i="2"/>
  <c r="T1333" i="2"/>
  <c r="T1314" i="2"/>
  <c r="T1269" i="2"/>
  <c r="T1442" i="2"/>
  <c r="T1271" i="2"/>
  <c r="T1200" i="2"/>
  <c r="T1284" i="2"/>
  <c r="T1371" i="2"/>
  <c r="T1223" i="2"/>
  <c r="T1355" i="2"/>
  <c r="T1227" i="2"/>
  <c r="T1337" i="2"/>
  <c r="T1310" i="2"/>
  <c r="T1305" i="2"/>
  <c r="S1311" i="2" s="1"/>
  <c r="T1206" i="2"/>
  <c r="T1380" i="2"/>
  <c r="T1297" i="2"/>
  <c r="T1274" i="2"/>
  <c r="T1237" i="2"/>
  <c r="T1334" i="2"/>
  <c r="T1253" i="2"/>
  <c r="T1244" i="2"/>
  <c r="T1189" i="2"/>
  <c r="T1365" i="2"/>
  <c r="S1341" i="2" s="1"/>
  <c r="T1224" i="2"/>
  <c r="T1208" i="2"/>
  <c r="T1234" i="2"/>
  <c r="T1431" i="2"/>
  <c r="T1335" i="2"/>
  <c r="T1220" i="2"/>
  <c r="T1430" i="2"/>
  <c r="T1434" i="2"/>
  <c r="T1320" i="2"/>
  <c r="T1373" i="2"/>
  <c r="T1288" i="2"/>
  <c r="T1272" i="2"/>
  <c r="T1399" i="2"/>
  <c r="T1429" i="2"/>
  <c r="T1318" i="2"/>
  <c r="T1322" i="2"/>
  <c r="T1381" i="2"/>
  <c r="T1256" i="2"/>
  <c r="T1406" i="2"/>
  <c r="T1445" i="2"/>
  <c r="T1309" i="2"/>
  <c r="S1313" i="2" s="1"/>
  <c r="T1292" i="2"/>
  <c r="S1304" i="2" s="1"/>
  <c r="T1218" i="2"/>
  <c r="T1257" i="2"/>
  <c r="T1379" i="2"/>
  <c r="T1230" i="2"/>
  <c r="T1370" i="2"/>
  <c r="T1210" i="2"/>
  <c r="T1249" i="2"/>
  <c r="T1351" i="2"/>
  <c r="T1295" i="2"/>
  <c r="T1266" i="2"/>
  <c r="T1426" i="2"/>
  <c r="T1443" i="2"/>
  <c r="T1408" i="2"/>
  <c r="T1299" i="2"/>
  <c r="T1225" i="2"/>
  <c r="T1377" i="2"/>
  <c r="T1219" i="2"/>
  <c r="T1252" i="2"/>
  <c r="T1273" i="2"/>
  <c r="T1324" i="2"/>
  <c r="T1398" i="2"/>
  <c r="T1411" i="2"/>
  <c r="T1395" i="2"/>
  <c r="T1376" i="2"/>
  <c r="T1423" i="2"/>
  <c r="T1336" i="2"/>
  <c r="T1254" i="2"/>
  <c r="T1259" i="2"/>
  <c r="T1358" i="2"/>
  <c r="T1384" i="2"/>
  <c r="T1425" i="2"/>
  <c r="T1331" i="2"/>
  <c r="T1416" i="2"/>
  <c r="T1401" i="2"/>
  <c r="T1378" i="2"/>
  <c r="T1248" i="2"/>
  <c r="T1346" i="2"/>
  <c r="T1353" i="2"/>
  <c r="T1329" i="2"/>
  <c r="T1217" i="2"/>
  <c r="T1345" i="2"/>
  <c r="T1204" i="2"/>
  <c r="T1341" i="2"/>
  <c r="T1205" i="2"/>
  <c r="T1403" i="2"/>
  <c r="T1287" i="2"/>
  <c r="T1421" i="2"/>
  <c r="T1444" i="2"/>
  <c r="T1441" i="2"/>
  <c r="T1316" i="2"/>
  <c r="T1369" i="2"/>
  <c r="T1396" i="2"/>
  <c r="T1427" i="2"/>
  <c r="T1363" i="2"/>
  <c r="T1417" i="2"/>
  <c r="T1436" i="2"/>
  <c r="T1387" i="2"/>
  <c r="T1242" i="2"/>
  <c r="T1294" i="2"/>
  <c r="T1231" i="2"/>
  <c r="T1215" i="2"/>
  <c r="T1321" i="2"/>
  <c r="T1191" i="2"/>
  <c r="T1226" i="2"/>
  <c r="T1281" i="2"/>
  <c r="T1304" i="2"/>
  <c r="T1203" i="2"/>
  <c r="T1240" i="2"/>
  <c r="T1302" i="2"/>
  <c r="T1211" i="2"/>
  <c r="T1241" i="2"/>
  <c r="T1213" i="2"/>
  <c r="T1393" i="2"/>
  <c r="T1311" i="2"/>
  <c r="T1300" i="2"/>
  <c r="T1432" i="2"/>
  <c r="T1348" i="2"/>
  <c r="T1296" i="2"/>
  <c r="T1236" i="2"/>
  <c r="T1265" i="2"/>
  <c r="T1343" i="2"/>
  <c r="S1330" i="2" s="1"/>
  <c r="T1190" i="2"/>
  <c r="T1388" i="2"/>
  <c r="T1389" i="2"/>
  <c r="T1275" i="2"/>
  <c r="T1228" i="2"/>
  <c r="T1383" i="2"/>
  <c r="T1374" i="2"/>
  <c r="F11" i="1"/>
  <c r="E11" i="1"/>
  <c r="G11" i="1"/>
  <c r="D11" i="1"/>
  <c r="C11" i="1"/>
  <c r="F9" i="1"/>
  <c r="B11" i="1"/>
  <c r="T1196" i="2"/>
  <c r="K622" i="2"/>
  <c r="U622" i="2" s="1"/>
  <c r="K621" i="2"/>
  <c r="U621" i="2" s="1"/>
  <c r="K2025" i="2"/>
  <c r="U2025" i="2" s="1"/>
  <c r="K2024" i="2"/>
  <c r="U2024" i="2" s="1"/>
  <c r="T1361" i="2"/>
  <c r="K1983" i="2"/>
  <c r="U1983" i="2" s="1"/>
  <c r="K1982" i="2"/>
  <c r="U1982" i="2" s="1"/>
  <c r="K686" i="2"/>
  <c r="U686" i="2" s="1"/>
  <c r="K685" i="2"/>
  <c r="U685" i="2" s="1"/>
  <c r="T1414" i="2"/>
  <c r="K1991" i="2"/>
  <c r="U1991" i="2" s="1"/>
  <c r="K1990" i="2"/>
  <c r="U1990" i="2" s="1"/>
  <c r="K412" i="2"/>
  <c r="U412" i="2" s="1"/>
  <c r="K413" i="2"/>
  <c r="U413" i="2" s="1"/>
  <c r="K1865" i="2"/>
  <c r="U1865" i="2" s="1"/>
  <c r="K1864" i="2"/>
  <c r="U1864" i="2" s="1"/>
  <c r="K89" i="2"/>
  <c r="U89" i="2" s="1"/>
  <c r="K90" i="2"/>
  <c r="U90" i="2" s="1"/>
  <c r="K1945" i="2"/>
  <c r="U1945" i="2" s="1"/>
  <c r="K1944" i="2"/>
  <c r="U1944" i="2" s="1"/>
  <c r="K1939" i="2"/>
  <c r="U1939" i="2" s="1"/>
  <c r="K1938" i="2"/>
  <c r="U1938" i="2" s="1"/>
  <c r="K590" i="2"/>
  <c r="U590" i="2" s="1"/>
  <c r="K589" i="2"/>
  <c r="U589" i="2" s="1"/>
  <c r="K340" i="2"/>
  <c r="U340" i="2" s="1"/>
  <c r="K341" i="2"/>
  <c r="U341" i="2" s="1"/>
  <c r="K640" i="2"/>
  <c r="U640" i="2" s="1"/>
  <c r="K639" i="2"/>
  <c r="U639" i="2" s="1"/>
  <c r="K846" i="2"/>
  <c r="U846" i="2" s="1"/>
  <c r="T824" i="2" s="1"/>
  <c r="K847" i="2"/>
  <c r="U847" i="2" s="1"/>
  <c r="K264" i="2"/>
  <c r="U264" i="2" s="1"/>
  <c r="K263" i="2"/>
  <c r="U263" i="2" s="1"/>
  <c r="K2047" i="2"/>
  <c r="U2047" i="2" s="1"/>
  <c r="K2046" i="2"/>
  <c r="U2046" i="2" s="1"/>
  <c r="K670" i="2"/>
  <c r="U670" i="2" s="1"/>
  <c r="K669" i="2"/>
  <c r="U669" i="2" s="1"/>
  <c r="T1350" i="2"/>
  <c r="K630" i="2"/>
  <c r="U630" i="2" s="1"/>
  <c r="K629" i="2"/>
  <c r="U629" i="2" s="1"/>
  <c r="K1881" i="2"/>
  <c r="U1881" i="2" s="1"/>
  <c r="K1880" i="2"/>
  <c r="U1880" i="2" s="1"/>
  <c r="K823" i="2"/>
  <c r="U823" i="2" s="1"/>
  <c r="K822" i="2"/>
  <c r="U822" i="2" s="1"/>
  <c r="K2031" i="2"/>
  <c r="U2031" i="2" s="1"/>
  <c r="K2030" i="2"/>
  <c r="U2030" i="2" s="1"/>
  <c r="K1837" i="2"/>
  <c r="U1837" i="2" s="1"/>
  <c r="K1836" i="2"/>
  <c r="U1836" i="2" s="1"/>
  <c r="K2061" i="2"/>
  <c r="U2061" i="2" s="1"/>
  <c r="K2060" i="2"/>
  <c r="U2060" i="2" s="1"/>
  <c r="K1949" i="2"/>
  <c r="U1949" i="2" s="1"/>
  <c r="K1948" i="2"/>
  <c r="U1948" i="2" s="1"/>
  <c r="K2001" i="2"/>
  <c r="U2001" i="2" s="1"/>
  <c r="K2000" i="2"/>
  <c r="U2000" i="2" s="1"/>
  <c r="K1969" i="2"/>
  <c r="U1969" i="2" s="1"/>
  <c r="K1968" i="2"/>
  <c r="U1968" i="2" s="1"/>
  <c r="K803" i="2"/>
  <c r="U803" i="2" s="1"/>
  <c r="K802" i="2"/>
  <c r="U802" i="2" s="1"/>
  <c r="K650" i="2"/>
  <c r="U650" i="2" s="1"/>
  <c r="K649" i="2"/>
  <c r="U649" i="2" s="1"/>
  <c r="K835" i="2"/>
  <c r="U835" i="2" s="1"/>
  <c r="K834" i="2"/>
  <c r="U834" i="2" s="1"/>
  <c r="K2065" i="2"/>
  <c r="U2065" i="2" s="1"/>
  <c r="K2064" i="2"/>
  <c r="U2064" i="2" s="1"/>
  <c r="K927" i="2"/>
  <c r="U927" i="2" s="1"/>
  <c r="K926" i="2"/>
  <c r="U926" i="2" s="1"/>
  <c r="K1737" i="2"/>
  <c r="U1737" i="2" s="1"/>
  <c r="K1738" i="2"/>
  <c r="U1738" i="2" s="1"/>
  <c r="K706" i="2"/>
  <c r="U706" i="2" s="1"/>
  <c r="K705" i="2"/>
  <c r="U705" i="2" s="1"/>
  <c r="K1788" i="2"/>
  <c r="U1788" i="2" s="1"/>
  <c r="K1787" i="2"/>
  <c r="U1787" i="2" s="1"/>
  <c r="K2091" i="2"/>
  <c r="U2091" i="2" s="1"/>
  <c r="K2090" i="2"/>
  <c r="U2090" i="2" s="1"/>
  <c r="K698" i="2"/>
  <c r="U698" i="2" s="1"/>
  <c r="K697" i="2"/>
  <c r="U697" i="2" s="1"/>
  <c r="K958" i="2"/>
  <c r="U958" i="2" s="1"/>
  <c r="K959" i="2"/>
  <c r="U959" i="2" s="1"/>
  <c r="K865" i="2"/>
  <c r="U865" i="2" s="1"/>
  <c r="K864" i="2"/>
  <c r="U864" i="2" s="1"/>
  <c r="K970" i="2"/>
  <c r="U970" i="2" s="1"/>
  <c r="K971" i="2"/>
  <c r="U971" i="2" s="1"/>
  <c r="K930" i="2"/>
  <c r="U930" i="2" s="1"/>
  <c r="K931" i="2"/>
  <c r="U931" i="2" s="1"/>
  <c r="K86" i="2"/>
  <c r="U86" i="2" s="1"/>
  <c r="K85" i="2"/>
  <c r="U85" i="2" s="1"/>
  <c r="K1889" i="2"/>
  <c r="U1889" i="2" s="1"/>
  <c r="K1888" i="2"/>
  <c r="U1888" i="2" s="1"/>
  <c r="K664" i="2"/>
  <c r="U664" i="2" s="1"/>
  <c r="K663" i="2"/>
  <c r="U663" i="2" s="1"/>
  <c r="K455" i="2"/>
  <c r="U455" i="2" s="1"/>
  <c r="K454" i="2"/>
  <c r="U454" i="2" s="1"/>
  <c r="K410" i="2"/>
  <c r="U410" i="2" s="1"/>
  <c r="K411" i="2"/>
  <c r="U411" i="2" s="1"/>
  <c r="K424" i="2"/>
  <c r="U424" i="2" s="1"/>
  <c r="K425" i="2"/>
  <c r="U425" i="2" s="1"/>
  <c r="K1873" i="2"/>
  <c r="U1873" i="2" s="1"/>
  <c r="K1872" i="2"/>
  <c r="U1872" i="2" s="1"/>
  <c r="K752" i="2"/>
  <c r="U752" i="2" s="1"/>
  <c r="K751" i="2"/>
  <c r="U751" i="2" s="1"/>
  <c r="K1826" i="2"/>
  <c r="U1826" i="2" s="1"/>
  <c r="K1825" i="2"/>
  <c r="U1825" i="2" s="1"/>
  <c r="K1915" i="2"/>
  <c r="U1915" i="2" s="1"/>
  <c r="K1914" i="2"/>
  <c r="U1914" i="2" s="1"/>
  <c r="K483" i="2"/>
  <c r="U483" i="2" s="1"/>
  <c r="K482" i="2"/>
  <c r="U482" i="2" s="1"/>
  <c r="K1771" i="2"/>
  <c r="U1771" i="2" s="1"/>
  <c r="K1772" i="2"/>
  <c r="U1772" i="2" s="1"/>
  <c r="K1039" i="2"/>
  <c r="U1039" i="2" s="1"/>
  <c r="K1038" i="2"/>
  <c r="U1038" i="2" s="1"/>
  <c r="K998" i="2"/>
  <c r="U998" i="2" s="1"/>
  <c r="K999" i="2"/>
  <c r="U999" i="2" s="1"/>
  <c r="K38" i="2"/>
  <c r="U38" i="2" s="1"/>
  <c r="K37" i="2"/>
  <c r="U37" i="2" s="1"/>
  <c r="K595" i="2"/>
  <c r="U595" i="2" s="1"/>
  <c r="K596" i="2"/>
  <c r="U596" i="2" s="1"/>
  <c r="K215" i="2"/>
  <c r="U215" i="2" s="1"/>
  <c r="K216" i="2"/>
  <c r="U216" i="2" s="1"/>
  <c r="K1602" i="2"/>
  <c r="U1602" i="2" s="1"/>
  <c r="K1601" i="2"/>
  <c r="U1601" i="2" s="1"/>
  <c r="K1766" i="2"/>
  <c r="U1766" i="2" s="1"/>
  <c r="K1765" i="2"/>
  <c r="U1765" i="2" s="1"/>
  <c r="K238" i="2"/>
  <c r="U238" i="2" s="1"/>
  <c r="K237" i="2"/>
  <c r="U237" i="2" s="1"/>
  <c r="K722" i="2"/>
  <c r="U722" i="2" s="1"/>
  <c r="K721" i="2"/>
  <c r="U721" i="2" s="1"/>
  <c r="K128" i="2"/>
  <c r="U128" i="2" s="1"/>
  <c r="K127" i="2"/>
  <c r="U127" i="2" s="1"/>
  <c r="K1584" i="2"/>
  <c r="U1584" i="2" s="1"/>
  <c r="K1583" i="2"/>
  <c r="U1583" i="2" s="1"/>
  <c r="K479" i="2"/>
  <c r="U479" i="2" s="1"/>
  <c r="K478" i="2"/>
  <c r="U478" i="2" s="1"/>
  <c r="K1859" i="2"/>
  <c r="U1859" i="2" s="1"/>
  <c r="K1858" i="2"/>
  <c r="U1858" i="2" s="1"/>
  <c r="K824" i="2"/>
  <c r="U824" i="2" s="1"/>
  <c r="K825" i="2"/>
  <c r="U825" i="2" s="1"/>
  <c r="K1037" i="2"/>
  <c r="U1037" i="2" s="1"/>
  <c r="K1036" i="2"/>
  <c r="U1036" i="2" s="1"/>
  <c r="K718" i="2"/>
  <c r="U718" i="2" s="1"/>
  <c r="K717" i="2"/>
  <c r="U717" i="2" s="1"/>
  <c r="K515" i="2"/>
  <c r="U515" i="2" s="1"/>
  <c r="K514" i="2"/>
  <c r="U514" i="2" s="1"/>
  <c r="K532" i="2"/>
  <c r="U532" i="2" s="1"/>
  <c r="K533" i="2"/>
  <c r="U533" i="2" s="1"/>
  <c r="K563" i="2"/>
  <c r="U563" i="2" s="1"/>
  <c r="K564" i="2"/>
  <c r="U564" i="2" s="1"/>
  <c r="K765" i="2"/>
  <c r="U765" i="2" s="1"/>
  <c r="K766" i="2"/>
  <c r="U766" i="2" s="1"/>
  <c r="K535" i="2"/>
  <c r="U535" i="2" s="1"/>
  <c r="K534" i="2"/>
  <c r="U534" i="2" s="1"/>
  <c r="K1005" i="2"/>
  <c r="U1005" i="2" s="1"/>
  <c r="K1004" i="2"/>
  <c r="U1004" i="2" s="1"/>
  <c r="K1752" i="2"/>
  <c r="U1752" i="2" s="1"/>
  <c r="K1751" i="2"/>
  <c r="U1751" i="2" s="1"/>
  <c r="K524" i="2"/>
  <c r="U524" i="2" s="1"/>
  <c r="K525" i="2"/>
  <c r="U525" i="2" s="1"/>
  <c r="K1678" i="2"/>
  <c r="U1678" i="2" s="1"/>
  <c r="K1677" i="2"/>
  <c r="U1677" i="2" s="1"/>
  <c r="K757" i="2"/>
  <c r="U757" i="2" s="1"/>
  <c r="K758" i="2"/>
  <c r="U758" i="2" s="1"/>
  <c r="K1698" i="2"/>
  <c r="U1698" i="2" s="1"/>
  <c r="K1697" i="2"/>
  <c r="U1697" i="2" s="1"/>
  <c r="K2063" i="2"/>
  <c r="U2063" i="2" s="1"/>
  <c r="K2062" i="2"/>
  <c r="U2062" i="2" s="1"/>
  <c r="K840" i="2"/>
  <c r="U840" i="2" s="1"/>
  <c r="K841" i="2"/>
  <c r="U841" i="2" s="1"/>
  <c r="K2027" i="2"/>
  <c r="U2027" i="2" s="1"/>
  <c r="K2026" i="2"/>
  <c r="U2026" i="2" s="1"/>
  <c r="K1995" i="2"/>
  <c r="U1995" i="2" s="1"/>
  <c r="K1994" i="2"/>
  <c r="U1994" i="2" s="1"/>
  <c r="K642" i="2"/>
  <c r="U642" i="2" s="1"/>
  <c r="K641" i="2"/>
  <c r="U641" i="2" s="1"/>
  <c r="K635" i="2"/>
  <c r="U635" i="2" s="1"/>
  <c r="K636" i="2"/>
  <c r="U636" i="2" s="1"/>
  <c r="K2003" i="2"/>
  <c r="U2003" i="2" s="1"/>
  <c r="K2002" i="2"/>
  <c r="U2002" i="2" s="1"/>
  <c r="K925" i="2"/>
  <c r="U925" i="2" s="1"/>
  <c r="K924" i="2"/>
  <c r="U924" i="2" s="1"/>
  <c r="K748" i="2"/>
  <c r="U748" i="2" s="1"/>
  <c r="K747" i="2"/>
  <c r="U747" i="2" s="1"/>
  <c r="K1925" i="2"/>
  <c r="U1925" i="2" s="1"/>
  <c r="K1924" i="2"/>
  <c r="U1924" i="2" s="1"/>
  <c r="K1838" i="2"/>
  <c r="U1838" i="2" s="1"/>
  <c r="K1839" i="2"/>
  <c r="U1839" i="2" s="1"/>
  <c r="K1989" i="2"/>
  <c r="U1989" i="2" s="1"/>
  <c r="K1988" i="2"/>
  <c r="U1988" i="2" s="1"/>
  <c r="K1917" i="2"/>
  <c r="U1917" i="2" s="1"/>
  <c r="K1916" i="2"/>
  <c r="U1916" i="2" s="1"/>
  <c r="K347" i="2"/>
  <c r="U347" i="2" s="1"/>
  <c r="K346" i="2"/>
  <c r="U346" i="2" s="1"/>
  <c r="K1842" i="2"/>
  <c r="U1842" i="2" s="1"/>
  <c r="K1843" i="2"/>
  <c r="U1843" i="2" s="1"/>
  <c r="K1686" i="2"/>
  <c r="U1686" i="2" s="1"/>
  <c r="K1685" i="2"/>
  <c r="U1685" i="2" s="1"/>
  <c r="K244" i="2"/>
  <c r="U244" i="2" s="1"/>
  <c r="K243" i="2"/>
  <c r="U243" i="2" s="1"/>
  <c r="K415" i="2"/>
  <c r="U415" i="2" s="1"/>
  <c r="K414" i="2"/>
  <c r="U414" i="2" s="1"/>
  <c r="K745" i="2"/>
  <c r="U745" i="2" s="1"/>
  <c r="K746" i="2"/>
  <c r="U746" i="2" s="1"/>
  <c r="K516" i="2"/>
  <c r="U516" i="2" s="1"/>
  <c r="K517" i="2"/>
  <c r="U517" i="2" s="1"/>
  <c r="K124" i="2"/>
  <c r="U124" i="2" s="1"/>
  <c r="K123" i="2"/>
  <c r="U123" i="2" s="1"/>
  <c r="K1706" i="2"/>
  <c r="U1706" i="2" s="1"/>
  <c r="K1705" i="2"/>
  <c r="U1705" i="2" s="1"/>
  <c r="K1901" i="2"/>
  <c r="U1901" i="2" s="1"/>
  <c r="K1900" i="2"/>
  <c r="U1900" i="2" s="1"/>
  <c r="K286" i="2"/>
  <c r="U286" i="2" s="1"/>
  <c r="K287" i="2"/>
  <c r="U287" i="2" s="1"/>
  <c r="K919" i="2"/>
  <c r="U919" i="2" s="1"/>
  <c r="K918" i="2"/>
  <c r="U918" i="2" s="1"/>
  <c r="K28" i="2"/>
  <c r="U28" i="2" s="1"/>
  <c r="K27" i="2"/>
  <c r="U27" i="2" s="1"/>
  <c r="K209" i="2"/>
  <c r="U209" i="2" s="1"/>
  <c r="K210" i="2"/>
  <c r="U210" i="2" s="1"/>
  <c r="K1006" i="2"/>
  <c r="U1006" i="2" s="1"/>
  <c r="K1007" i="2"/>
  <c r="U1007" i="2" s="1"/>
  <c r="K283" i="2"/>
  <c r="U283" i="2" s="1"/>
  <c r="K282" i="2"/>
  <c r="U282" i="2" s="1"/>
  <c r="K616" i="2"/>
  <c r="U616" i="2" s="1"/>
  <c r="K615" i="2"/>
  <c r="U615" i="2" s="1"/>
  <c r="K2015" i="2"/>
  <c r="U2015" i="2" s="1"/>
  <c r="K2014" i="2"/>
  <c r="U2014" i="2" s="1"/>
  <c r="K185" i="2"/>
  <c r="U185" i="2" s="1"/>
  <c r="K186" i="2"/>
  <c r="U186" i="2" s="1"/>
  <c r="K915" i="2"/>
  <c r="U915" i="2" s="1"/>
  <c r="K914" i="2"/>
  <c r="U914" i="2" s="1"/>
  <c r="K1961" i="2"/>
  <c r="U1961" i="2" s="1"/>
  <c r="K1960" i="2"/>
  <c r="U1960" i="2" s="1"/>
  <c r="K436" i="2"/>
  <c r="U436" i="2" s="1"/>
  <c r="K437" i="2"/>
  <c r="U437" i="2" s="1"/>
  <c r="K1781" i="2"/>
  <c r="U1781" i="2" s="1"/>
  <c r="K1782" i="2"/>
  <c r="U1782" i="2" s="1"/>
  <c r="K578" i="2"/>
  <c r="U578" i="2" s="1"/>
  <c r="K577" i="2"/>
  <c r="U577" i="2" s="1"/>
  <c r="K985" i="2"/>
  <c r="U985" i="2" s="1"/>
  <c r="K984" i="2"/>
  <c r="U984" i="2" s="1"/>
  <c r="K443" i="2"/>
  <c r="U443" i="2" s="1"/>
  <c r="K442" i="2"/>
  <c r="U442" i="2" s="1"/>
  <c r="K756" i="2"/>
  <c r="U756" i="2" s="1"/>
  <c r="K755" i="2"/>
  <c r="U755" i="2" s="1"/>
  <c r="K858" i="2"/>
  <c r="U858" i="2" s="1"/>
  <c r="K859" i="2"/>
  <c r="U859" i="2" s="1"/>
  <c r="K2077" i="2"/>
  <c r="U2077" i="2" s="1"/>
  <c r="K2076" i="2"/>
  <c r="U2076" i="2" s="1"/>
  <c r="K181" i="2"/>
  <c r="U181" i="2" s="1"/>
  <c r="K182" i="2"/>
  <c r="U182" i="2" s="1"/>
  <c r="K52" i="2"/>
  <c r="U52" i="2" s="1"/>
  <c r="K51" i="2"/>
  <c r="U51" i="2" s="1"/>
  <c r="K1897" i="2"/>
  <c r="U1897" i="2" s="1"/>
  <c r="K1896" i="2"/>
  <c r="U1896" i="2" s="1"/>
  <c r="K452" i="2"/>
  <c r="U452" i="2" s="1"/>
  <c r="K453" i="2"/>
  <c r="U453" i="2" s="1"/>
  <c r="K773" i="2"/>
  <c r="U773" i="2" s="1"/>
  <c r="K774" i="2"/>
  <c r="U774" i="2" s="1"/>
  <c r="K938" i="2"/>
  <c r="U938" i="2" s="1"/>
  <c r="K939" i="2"/>
  <c r="U939" i="2" s="1"/>
  <c r="K467" i="2"/>
  <c r="U467" i="2" s="1"/>
  <c r="K466" i="2"/>
  <c r="U466" i="2" s="1"/>
  <c r="K1886" i="2"/>
  <c r="U1886" i="2" s="1"/>
  <c r="K1887" i="2"/>
  <c r="U1887" i="2" s="1"/>
  <c r="K1761" i="2"/>
  <c r="U1761" i="2" s="1"/>
  <c r="K1762" i="2"/>
  <c r="U1762" i="2" s="1"/>
  <c r="K1816" i="2"/>
  <c r="U1816" i="2" s="1"/>
  <c r="K1815" i="2"/>
  <c r="U1815" i="2" s="1"/>
  <c r="K795" i="2"/>
  <c r="U795" i="2" s="1"/>
  <c r="K796" i="2"/>
  <c r="U796" i="2" s="1"/>
  <c r="K1821" i="2"/>
  <c r="U1821" i="2" s="1"/>
  <c r="K1822" i="2"/>
  <c r="U1822" i="2" s="1"/>
  <c r="K842" i="2"/>
  <c r="U842" i="2" s="1"/>
  <c r="K843" i="2"/>
  <c r="U843" i="2" s="1"/>
  <c r="K2069" i="2"/>
  <c r="U2069" i="2" s="1"/>
  <c r="K2068" i="2"/>
  <c r="U2068" i="2" s="1"/>
  <c r="K2017" i="2"/>
  <c r="U2017" i="2" s="1"/>
  <c r="K2016" i="2"/>
  <c r="U2016" i="2" s="1"/>
  <c r="K129" i="2"/>
  <c r="U129" i="2" s="1"/>
  <c r="K130" i="2"/>
  <c r="U130" i="2" s="1"/>
  <c r="K1707" i="2"/>
  <c r="U1707" i="2" s="1"/>
  <c r="K1708" i="2"/>
  <c r="U1708" i="2" s="1"/>
  <c r="K779" i="2"/>
  <c r="U779" i="2" s="1"/>
  <c r="K780" i="2"/>
  <c r="U780" i="2" s="1"/>
  <c r="K1580" i="2"/>
  <c r="U1580" i="2" s="1"/>
  <c r="K1579" i="2"/>
  <c r="U1579" i="2" s="1"/>
  <c r="K949" i="2"/>
  <c r="U949" i="2" s="1"/>
  <c r="K948" i="2"/>
  <c r="U948" i="2" s="1"/>
  <c r="K1702" i="2"/>
  <c r="U1702" i="2" s="1"/>
  <c r="K1701" i="2"/>
  <c r="U1701" i="2" s="1"/>
  <c r="K1729" i="2"/>
  <c r="U1729" i="2" s="1"/>
  <c r="K1730" i="2"/>
  <c r="U1730" i="2" s="1"/>
  <c r="K2059" i="2"/>
  <c r="U2059" i="2" s="1"/>
  <c r="K2058" i="2"/>
  <c r="U2058" i="2" s="1"/>
  <c r="K1874" i="2"/>
  <c r="U1874" i="2" s="1"/>
  <c r="K1875" i="2"/>
  <c r="U1875" i="2" s="1"/>
  <c r="K68" i="2"/>
  <c r="U68" i="2" s="1"/>
  <c r="K67" i="2"/>
  <c r="U67" i="2" s="1"/>
  <c r="K1755" i="2"/>
  <c r="U1755" i="2" s="1"/>
  <c r="K1756" i="2"/>
  <c r="U1756" i="2" s="1"/>
  <c r="K638" i="2"/>
  <c r="U638" i="2" s="1"/>
  <c r="K637" i="2"/>
  <c r="U637" i="2" s="1"/>
  <c r="K1853" i="2"/>
  <c r="U1853" i="2" s="1"/>
  <c r="K1852" i="2"/>
  <c r="U1852" i="2" s="1"/>
  <c r="K791" i="2"/>
  <c r="U791" i="2" s="1"/>
  <c r="K792" i="2"/>
  <c r="U792" i="2" s="1"/>
  <c r="K1943" i="2"/>
  <c r="U1943" i="2" s="1"/>
  <c r="K1942" i="2"/>
  <c r="U1942" i="2" s="1"/>
  <c r="K167" i="2"/>
  <c r="U167" i="2" s="1"/>
  <c r="K168" i="2"/>
  <c r="U168" i="2" s="1"/>
  <c r="K1622" i="2"/>
  <c r="U1622" i="2" s="1"/>
  <c r="K1621" i="2"/>
  <c r="U1621" i="2" s="1"/>
  <c r="K383" i="2"/>
  <c r="U383" i="2" s="1"/>
  <c r="K382" i="2"/>
  <c r="U382" i="2" s="1"/>
  <c r="K690" i="2"/>
  <c r="U690" i="2" s="1"/>
  <c r="K689" i="2"/>
  <c r="U689" i="2" s="1"/>
  <c r="K1913" i="2"/>
  <c r="U1913" i="2" s="1"/>
  <c r="K1912" i="2"/>
  <c r="U1912" i="2" s="1"/>
  <c r="K568" i="2"/>
  <c r="U568" i="2" s="1"/>
  <c r="K567" i="2"/>
  <c r="U567" i="2" s="1"/>
  <c r="K658" i="2"/>
  <c r="U658" i="2" s="1"/>
  <c r="K657" i="2"/>
  <c r="U657" i="2" s="1"/>
  <c r="K1877" i="2"/>
  <c r="U1877" i="2" s="1"/>
  <c r="K1876" i="2"/>
  <c r="U1876" i="2" s="1"/>
  <c r="K1919" i="2"/>
  <c r="U1919" i="2" s="1"/>
  <c r="K1918" i="2"/>
  <c r="U1918" i="2" s="1"/>
  <c r="K934" i="2"/>
  <c r="U934" i="2" s="1"/>
  <c r="K935" i="2"/>
  <c r="U935" i="2" s="1"/>
  <c r="K389" i="2"/>
  <c r="U389" i="2" s="1"/>
  <c r="K388" i="2"/>
  <c r="U388" i="2" s="1"/>
  <c r="K349" i="2"/>
  <c r="U349" i="2" s="1"/>
  <c r="K348" i="2"/>
  <c r="U348" i="2" s="1"/>
  <c r="K875" i="2"/>
  <c r="U875" i="2" s="1"/>
  <c r="K874" i="2"/>
  <c r="U874" i="2" s="1"/>
  <c r="K218" i="2"/>
  <c r="U218" i="2" s="1"/>
  <c r="K217" i="2"/>
  <c r="U217" i="2" s="1"/>
  <c r="K1053" i="2"/>
  <c r="U1053" i="2" s="1"/>
  <c r="K1052" i="2"/>
  <c r="U1052" i="2" s="1"/>
  <c r="K965" i="2"/>
  <c r="U965" i="2" s="1"/>
  <c r="K964" i="2"/>
  <c r="U964" i="2" s="1"/>
  <c r="K1616" i="2"/>
  <c r="U1616" i="2" s="1"/>
  <c r="K1615" i="2"/>
  <c r="U1615" i="2" s="1"/>
  <c r="K428" i="2"/>
  <c r="U428" i="2" s="1"/>
  <c r="K429" i="2"/>
  <c r="U429" i="2" s="1"/>
  <c r="K682" i="2"/>
  <c r="U682" i="2" s="1"/>
  <c r="K681" i="2"/>
  <c r="U681" i="2" s="1"/>
  <c r="K2033" i="2"/>
  <c r="U2033" i="2" s="1"/>
  <c r="K2032" i="2"/>
  <c r="U2032" i="2" s="1"/>
  <c r="K148" i="2"/>
  <c r="U148" i="2" s="1"/>
  <c r="K147" i="2"/>
  <c r="U147" i="2" s="1"/>
  <c r="K1773" i="2"/>
  <c r="U1773" i="2" s="1"/>
  <c r="K1774" i="2"/>
  <c r="U1774" i="2" s="1"/>
  <c r="K1840" i="2"/>
  <c r="U1840" i="2" s="1"/>
  <c r="K1841" i="2"/>
  <c r="U1841" i="2" s="1"/>
  <c r="T1397" i="2" a="1"/>
  <c r="T1397" i="2" s="1"/>
  <c r="K848" i="2"/>
  <c r="U848" i="2" s="1"/>
  <c r="K849" i="2"/>
  <c r="U849" i="2" s="1"/>
  <c r="K1683" i="2"/>
  <c r="U1683" i="2" s="1"/>
  <c r="K1684" i="2"/>
  <c r="U1684" i="2" s="1"/>
  <c r="K1769" i="2"/>
  <c r="U1769" i="2" s="1"/>
  <c r="K1770" i="2"/>
  <c r="U1770" i="2" s="1"/>
  <c r="K805" i="2"/>
  <c r="U805" i="2" s="1"/>
  <c r="K804" i="2"/>
  <c r="U804" i="2" s="1"/>
  <c r="K624" i="2"/>
  <c r="U624" i="2" s="1"/>
  <c r="K623" i="2"/>
  <c r="U623" i="2" s="1"/>
  <c r="K120" i="2"/>
  <c r="U120" i="2" s="1"/>
  <c r="K119" i="2"/>
  <c r="U119" i="2" s="1"/>
  <c r="K278" i="2"/>
  <c r="U278" i="2" s="1"/>
  <c r="K277" i="2"/>
  <c r="U277" i="2" s="1"/>
  <c r="K416" i="2"/>
  <c r="U416" i="2" s="1"/>
  <c r="K417" i="2"/>
  <c r="U417" i="2" s="1"/>
  <c r="K201" i="2"/>
  <c r="U201" i="2" s="1"/>
  <c r="K202" i="2"/>
  <c r="U202" i="2" s="1"/>
  <c r="K744" i="2"/>
  <c r="U744" i="2" s="1"/>
  <c r="K743" i="2"/>
  <c r="U743" i="2" s="1"/>
  <c r="K1713" i="2"/>
  <c r="U1713" i="2" s="1"/>
  <c r="K1714" i="2"/>
  <c r="U1714" i="2" s="1"/>
  <c r="K351" i="2"/>
  <c r="U351" i="2" s="1"/>
  <c r="K350" i="2"/>
  <c r="U350" i="2" s="1"/>
  <c r="K191" i="2"/>
  <c r="U191" i="2" s="1"/>
  <c r="K192" i="2"/>
  <c r="U192" i="2" s="1"/>
  <c r="K375" i="2"/>
  <c r="U375" i="2" s="1"/>
  <c r="K374" i="2"/>
  <c r="U374" i="2" s="1"/>
  <c r="K785" i="2"/>
  <c r="U785" i="2" s="1"/>
  <c r="K786" i="2"/>
  <c r="U786" i="2" s="1"/>
  <c r="K1804" i="2"/>
  <c r="U1804" i="2" s="1"/>
  <c r="K1803" i="2"/>
  <c r="U1803" i="2" s="1"/>
  <c r="K359" i="2"/>
  <c r="U359" i="2" s="1"/>
  <c r="K358" i="2"/>
  <c r="U358" i="2" s="1"/>
  <c r="K459" i="2"/>
  <c r="U459" i="2" s="1"/>
  <c r="K458" i="2"/>
  <c r="U458" i="2" s="1"/>
  <c r="K1612" i="2"/>
  <c r="U1612" i="2" s="1"/>
  <c r="K1611" i="2"/>
  <c r="U1611" i="2" s="1"/>
  <c r="K1832" i="2"/>
  <c r="U1832" i="2" s="1"/>
  <c r="K1831" i="2"/>
  <c r="U1831" i="2" s="1"/>
  <c r="K598" i="2"/>
  <c r="U598" i="2" s="1"/>
  <c r="K597" i="2"/>
  <c r="U597" i="2" s="1"/>
  <c r="K381" i="2"/>
  <c r="U381" i="2" s="1"/>
  <c r="K380" i="2"/>
  <c r="U380" i="2" s="1"/>
  <c r="K213" i="2"/>
  <c r="U213" i="2" s="1"/>
  <c r="K214" i="2"/>
  <c r="U214" i="2" s="1"/>
  <c r="K1648" i="2"/>
  <c r="U1648" i="2" s="1"/>
  <c r="K1647" i="2"/>
  <c r="U1647" i="2" s="1"/>
  <c r="K854" i="2"/>
  <c r="U854" i="2" s="1"/>
  <c r="K855" i="2"/>
  <c r="U855" i="2" s="1"/>
  <c r="K1704" i="2"/>
  <c r="U1704" i="2" s="1"/>
  <c r="K1703" i="2"/>
  <c r="U1703" i="2" s="1"/>
  <c r="K1965" i="2"/>
  <c r="U1965" i="2" s="1"/>
  <c r="K1964" i="2"/>
  <c r="U1964" i="2" s="1"/>
  <c r="K1660" i="2"/>
  <c r="U1660" i="2" s="1"/>
  <c r="K1659" i="2"/>
  <c r="U1659" i="2" s="1"/>
  <c r="K240" i="2"/>
  <c r="U240" i="2" s="1"/>
  <c r="K239" i="2"/>
  <c r="U239" i="2" s="1"/>
  <c r="K1903" i="2"/>
  <c r="U1903" i="2" s="1"/>
  <c r="K1902" i="2"/>
  <c r="U1902" i="2" s="1"/>
  <c r="K288" i="2"/>
  <c r="U288" i="2" s="1"/>
  <c r="K289" i="2"/>
  <c r="U289" i="2" s="1"/>
  <c r="K1670" i="2"/>
  <c r="U1670" i="2" s="1"/>
  <c r="K1669" i="2"/>
  <c r="U1669" i="2" s="1"/>
  <c r="K1016" i="2"/>
  <c r="U1016" i="2" s="1"/>
  <c r="K1017" i="2"/>
  <c r="U1017" i="2" s="1"/>
  <c r="K159" i="2"/>
  <c r="U159" i="2" s="1"/>
  <c r="K160" i="2"/>
  <c r="U160" i="2" s="1"/>
  <c r="K41" i="2"/>
  <c r="U41" i="2" s="1"/>
  <c r="K42" i="2"/>
  <c r="U42" i="2" s="1"/>
  <c r="K2009" i="2"/>
  <c r="U2009" i="2" s="1"/>
  <c r="K2008" i="2"/>
  <c r="U2008" i="2" s="1"/>
  <c r="K2043" i="2"/>
  <c r="U2043" i="2" s="1"/>
  <c r="K2042" i="2"/>
  <c r="U2042" i="2" s="1"/>
  <c r="K125" i="2"/>
  <c r="U125" i="2" s="1"/>
  <c r="K126" i="2"/>
  <c r="U126" i="2" s="1"/>
  <c r="K211" i="2"/>
  <c r="U211" i="2" s="1"/>
  <c r="K212" i="2"/>
  <c r="U212" i="2" s="1"/>
  <c r="K1596" i="2"/>
  <c r="U1596" i="2" s="1"/>
  <c r="K1595" i="2"/>
  <c r="U1595" i="2" s="1"/>
  <c r="K272" i="2"/>
  <c r="U272" i="2" s="1"/>
  <c r="K271" i="2"/>
  <c r="U271" i="2" s="1"/>
  <c r="K491" i="2"/>
  <c r="U491" i="2" s="1"/>
  <c r="K490" i="2"/>
  <c r="U490" i="2" s="1"/>
  <c r="K702" i="2"/>
  <c r="U702" i="2" s="1"/>
  <c r="K701" i="2"/>
  <c r="U701" i="2" s="1"/>
  <c r="K618" i="2"/>
  <c r="U618" i="2" s="1"/>
  <c r="K617" i="2"/>
  <c r="U617" i="2" s="1"/>
  <c r="K584" i="2"/>
  <c r="U584" i="2" s="1"/>
  <c r="K583" i="2"/>
  <c r="U583" i="2" s="1"/>
  <c r="K1893" i="2"/>
  <c r="U1893" i="2" s="1"/>
  <c r="K1892" i="2"/>
  <c r="U1892" i="2" s="1"/>
  <c r="K1590" i="2"/>
  <c r="U1590" i="2" s="1"/>
  <c r="K1589" i="2"/>
  <c r="U1589" i="2" s="1"/>
  <c r="K399" i="2"/>
  <c r="U399" i="2" s="1"/>
  <c r="K398" i="2"/>
  <c r="U398" i="2" s="1"/>
  <c r="K48" i="2"/>
  <c r="U48" i="2" s="1"/>
  <c r="K47" i="2"/>
  <c r="U47" i="2" s="1"/>
  <c r="K472" i="2"/>
  <c r="U472" i="2" s="1"/>
  <c r="K473" i="2"/>
  <c r="U473" i="2" s="1"/>
  <c r="K29" i="2"/>
  <c r="U29" i="2" s="1"/>
  <c r="K30" i="2"/>
  <c r="U30" i="2" s="1"/>
  <c r="K137" i="2"/>
  <c r="U137" i="2" s="1"/>
  <c r="K138" i="2"/>
  <c r="U138" i="2" s="1"/>
  <c r="K986" i="2"/>
  <c r="U986" i="2" s="1"/>
  <c r="K987" i="2"/>
  <c r="U987" i="2" s="1"/>
  <c r="K1654" i="2"/>
  <c r="U1654" i="2" s="1"/>
  <c r="K1653" i="2"/>
  <c r="U1653" i="2" s="1"/>
  <c r="K444" i="2"/>
  <c r="U444" i="2" s="1"/>
  <c r="K445" i="2"/>
  <c r="U445" i="2" s="1"/>
  <c r="K857" i="2"/>
  <c r="U857" i="2" s="1"/>
  <c r="K856" i="2"/>
  <c r="U856" i="2" s="1"/>
  <c r="K1716" i="2"/>
  <c r="U1716" i="2" s="1"/>
  <c r="K1715" i="2"/>
  <c r="U1715" i="2" s="1"/>
  <c r="K407" i="2"/>
  <c r="U407" i="2" s="1"/>
  <c r="K406" i="2"/>
  <c r="U406" i="2" s="1"/>
  <c r="K2073" i="2"/>
  <c r="U2073" i="2" s="1"/>
  <c r="K2072" i="2"/>
  <c r="U2072" i="2" s="1"/>
  <c r="K1898" i="2"/>
  <c r="U1898" i="2" s="1"/>
  <c r="K1899" i="2"/>
  <c r="U1899" i="2" s="1"/>
  <c r="K712" i="2"/>
  <c r="U712" i="2" s="1"/>
  <c r="K711" i="2"/>
  <c r="U711" i="2" s="1"/>
  <c r="K1694" i="2"/>
  <c r="U1694" i="2" s="1"/>
  <c r="K1693" i="2"/>
  <c r="U1693" i="2" s="1"/>
  <c r="K1814" i="2"/>
  <c r="U1814" i="2" s="1"/>
  <c r="K1813" i="2"/>
  <c r="U1813" i="2" s="1"/>
  <c r="K1723" i="2"/>
  <c r="U1723" i="2" s="1"/>
  <c r="K1724" i="2"/>
  <c r="U1724" i="2" s="1"/>
  <c r="K740" i="2"/>
  <c r="U740" i="2" s="1"/>
  <c r="K739" i="2"/>
  <c r="U739" i="2" s="1"/>
  <c r="K982" i="2"/>
  <c r="U982" i="2" s="1"/>
  <c r="K983" i="2"/>
  <c r="U983" i="2" s="1"/>
  <c r="K1800" i="2"/>
  <c r="U1800" i="2" s="1"/>
  <c r="K1799" i="2"/>
  <c r="U1799" i="2" s="1"/>
  <c r="K1624" i="2"/>
  <c r="U1624" i="2" s="1"/>
  <c r="K1623" i="2"/>
  <c r="U1623" i="2" s="1"/>
  <c r="K1049" i="2"/>
  <c r="U1049" i="2" s="1"/>
  <c r="K1048" i="2"/>
  <c r="U1048" i="2" s="1"/>
  <c r="K1764" i="2"/>
  <c r="U1764" i="2" s="1"/>
  <c r="K1763" i="2"/>
  <c r="U1763" i="2" s="1"/>
  <c r="K108" i="2"/>
  <c r="U108" i="2" s="1"/>
  <c r="K107" i="2"/>
  <c r="U107" i="2" s="1"/>
  <c r="K301" i="2"/>
  <c r="U301" i="2" s="1"/>
  <c r="K300" i="2"/>
  <c r="U300" i="2" s="1"/>
  <c r="K475" i="2"/>
  <c r="U475" i="2" s="1"/>
  <c r="K474" i="2"/>
  <c r="U474" i="2" s="1"/>
  <c r="K403" i="2"/>
  <c r="U403" i="2" s="1"/>
  <c r="K402" i="2"/>
  <c r="U402" i="2" s="1"/>
  <c r="K2013" i="2"/>
  <c r="U2013" i="2" s="1"/>
  <c r="K2012" i="2"/>
  <c r="U2012" i="2" s="1"/>
  <c r="K179" i="2"/>
  <c r="U179" i="2" s="1"/>
  <c r="K180" i="2"/>
  <c r="U180" i="2" s="1"/>
  <c r="K726" i="2"/>
  <c r="U726" i="2" s="1"/>
  <c r="K725" i="2"/>
  <c r="U725" i="2" s="1"/>
  <c r="K297" i="2"/>
  <c r="U297" i="2" s="1"/>
  <c r="K296" i="2"/>
  <c r="U296" i="2" s="1"/>
  <c r="K1937" i="2"/>
  <c r="U1937" i="2" s="1"/>
  <c r="K1936" i="2"/>
  <c r="U1936" i="2" s="1"/>
  <c r="K941" i="2"/>
  <c r="U941" i="2" s="1"/>
  <c r="K940" i="2"/>
  <c r="U940" i="2" s="1"/>
  <c r="K291" i="2"/>
  <c r="U291" i="2" s="1"/>
  <c r="K290" i="2"/>
  <c r="U290" i="2" s="1"/>
  <c r="K1728" i="2"/>
  <c r="U1728" i="2" s="1"/>
  <c r="K1727" i="2"/>
  <c r="U1727" i="2" s="1"/>
  <c r="K503" i="2"/>
  <c r="U503" i="2" s="1"/>
  <c r="K502" i="2"/>
  <c r="U502" i="2" s="1"/>
  <c r="K793" i="2"/>
  <c r="U793" i="2" s="1"/>
  <c r="K794" i="2"/>
  <c r="U794" i="2" s="1"/>
  <c r="K197" i="2"/>
  <c r="U197" i="2" s="1"/>
  <c r="K198" i="2"/>
  <c r="U198" i="2" s="1"/>
  <c r="K850" i="2"/>
  <c r="U850" i="2" s="1"/>
  <c r="K851" i="2"/>
  <c r="U851" i="2" s="1"/>
  <c r="K1040" i="2"/>
  <c r="U1040" i="2" s="1"/>
  <c r="K1041" i="2"/>
  <c r="U1041" i="2" s="1"/>
  <c r="K1688" i="2"/>
  <c r="U1688" i="2" s="1"/>
  <c r="K1687" i="2"/>
  <c r="U1687" i="2" s="1"/>
  <c r="K993" i="2"/>
  <c r="U993" i="2" s="1"/>
  <c r="K992" i="2"/>
  <c r="U992" i="2" s="1"/>
  <c r="K889" i="2"/>
  <c r="U889" i="2" s="1"/>
  <c r="K888" i="2"/>
  <c r="U888" i="2" s="1"/>
  <c r="K536" i="2"/>
  <c r="U536" i="2" s="1"/>
  <c r="K537" i="2"/>
  <c r="U537" i="2" s="1"/>
  <c r="K1608" i="2"/>
  <c r="U1608" i="2" s="1"/>
  <c r="K1607" i="2"/>
  <c r="U1607" i="2" s="1"/>
  <c r="K32" i="2"/>
  <c r="U32" i="2" s="1"/>
  <c r="K31" i="2"/>
  <c r="U31" i="2" s="1"/>
  <c r="K140" i="2"/>
  <c r="U140" i="2" s="1"/>
  <c r="K139" i="2"/>
  <c r="U139" i="2" s="1"/>
  <c r="K1987" i="2"/>
  <c r="U1987" i="2" s="1"/>
  <c r="K1986" i="2"/>
  <c r="U1986" i="2" s="1"/>
  <c r="K112" i="2"/>
  <c r="U112" i="2" s="1"/>
  <c r="K111" i="2"/>
  <c r="U111" i="2" s="1"/>
  <c r="K1748" i="2"/>
  <c r="U1748" i="2" s="1"/>
  <c r="K1747" i="2"/>
  <c r="U1747" i="2" s="1"/>
  <c r="K456" i="2"/>
  <c r="U456" i="2" s="1"/>
  <c r="K457" i="2"/>
  <c r="U457" i="2" s="1"/>
  <c r="K1760" i="2"/>
  <c r="U1760" i="2" s="1"/>
  <c r="K1759" i="2"/>
  <c r="U1759" i="2" s="1"/>
  <c r="K632" i="2"/>
  <c r="U632" i="2" s="1"/>
  <c r="K631" i="2"/>
  <c r="U631" i="2" s="1"/>
  <c r="K1818" i="2"/>
  <c r="U1818" i="2" s="1"/>
  <c r="K1817" i="2"/>
  <c r="U1817" i="2" s="1"/>
  <c r="K767" i="2"/>
  <c r="U767" i="2" s="1"/>
  <c r="K768" i="2"/>
  <c r="U768" i="2" s="1"/>
  <c r="K1997" i="2"/>
  <c r="U1997" i="2" s="1"/>
  <c r="K1996" i="2"/>
  <c r="U1996" i="2" s="1"/>
  <c r="K798" i="2"/>
  <c r="U798" i="2" s="1"/>
  <c r="K797" i="2"/>
  <c r="U797" i="2" s="1"/>
  <c r="K921" i="2"/>
  <c r="U921" i="2" s="1"/>
  <c r="K920" i="2"/>
  <c r="U920" i="2" s="1"/>
  <c r="K81" i="2"/>
  <c r="U81" i="2" s="1"/>
  <c r="K82" i="2"/>
  <c r="U82" i="2" s="1"/>
  <c r="K311" i="2"/>
  <c r="U311" i="2" s="1"/>
  <c r="K310" i="2"/>
  <c r="U310" i="2" s="1"/>
  <c r="K2071" i="2"/>
  <c r="U2071" i="2" s="1"/>
  <c r="K2070" i="2"/>
  <c r="U2070" i="2" s="1"/>
  <c r="K2053" i="2"/>
  <c r="U2053" i="2" s="1"/>
  <c r="K2052" i="2"/>
  <c r="U2052" i="2" s="1"/>
  <c r="K694" i="2"/>
  <c r="U694" i="2" s="1"/>
  <c r="K693" i="2"/>
  <c r="U693" i="2" s="1"/>
  <c r="K487" i="2"/>
  <c r="U487" i="2" s="1"/>
  <c r="K486" i="2"/>
  <c r="U486" i="2" s="1"/>
  <c r="K1993" i="2"/>
  <c r="U1993" i="2" s="1"/>
  <c r="K1992" i="2"/>
  <c r="U1992" i="2" s="1"/>
  <c r="K555" i="2"/>
  <c r="U555" i="2" s="1"/>
  <c r="K556" i="2"/>
  <c r="U556" i="2" s="1"/>
  <c r="K950" i="2"/>
  <c r="U950" i="2" s="1"/>
  <c r="K951" i="2"/>
  <c r="U951" i="2" s="1"/>
  <c r="K1699" i="2"/>
  <c r="U1699" i="2" s="1"/>
  <c r="K1700" i="2"/>
  <c r="U1700" i="2" s="1"/>
  <c r="K1594" i="2"/>
  <c r="U1594" i="2" s="1"/>
  <c r="K1593" i="2"/>
  <c r="U1593" i="2" s="1"/>
  <c r="K504" i="2"/>
  <c r="U504" i="2" s="1"/>
  <c r="K505" i="2"/>
  <c r="U505" i="2" s="1"/>
  <c r="K342" i="2"/>
  <c r="U342" i="2" s="1"/>
  <c r="K343" i="2"/>
  <c r="U343" i="2" s="1"/>
  <c r="K1745" i="2"/>
  <c r="U1745" i="2" s="1"/>
  <c r="K1746" i="2"/>
  <c r="U1746" i="2" s="1"/>
  <c r="K1855" i="2"/>
  <c r="U1855" i="2" s="1"/>
  <c r="K1854" i="2"/>
  <c r="U1854" i="2" s="1"/>
  <c r="K879" i="2"/>
  <c r="U879" i="2" s="1"/>
  <c r="K878" i="2"/>
  <c r="U878" i="2" s="1"/>
  <c r="K1823" i="2"/>
  <c r="U1823" i="2" s="1"/>
  <c r="K1824" i="2"/>
  <c r="U1824" i="2" s="1"/>
  <c r="K961" i="2"/>
  <c r="U961" i="2" s="1"/>
  <c r="K960" i="2"/>
  <c r="U960" i="2" s="1"/>
  <c r="K1792" i="2"/>
  <c r="U1792" i="2" s="1"/>
  <c r="K1791" i="2"/>
  <c r="U1791" i="2" s="1"/>
  <c r="K1619" i="2"/>
  <c r="U1619" i="2" s="1"/>
  <c r="K1620" i="2"/>
  <c r="U1620" i="2" s="1"/>
  <c r="K1927" i="2"/>
  <c r="U1927" i="2" s="1"/>
  <c r="K1926" i="2"/>
  <c r="U1926" i="2" s="1"/>
  <c r="K328" i="2"/>
  <c r="U328" i="2" s="1"/>
  <c r="T306" i="2" s="1"/>
  <c r="K329" i="2"/>
  <c r="U329" i="2" s="1"/>
  <c r="K570" i="2"/>
  <c r="U570" i="2" s="1"/>
  <c r="K569" i="2"/>
  <c r="U569" i="2" s="1"/>
  <c r="K484" i="2"/>
  <c r="U484" i="2" s="1"/>
  <c r="K485" i="2"/>
  <c r="U485" i="2" s="1"/>
  <c r="K1979" i="2"/>
  <c r="U1979" i="2" s="1"/>
  <c r="K1978" i="2"/>
  <c r="U1978" i="2" s="1"/>
  <c r="K1878" i="2"/>
  <c r="U1878" i="2" s="1"/>
  <c r="K1879" i="2"/>
  <c r="U1879" i="2" s="1"/>
  <c r="K1742" i="2"/>
  <c r="U1742" i="2" s="1"/>
  <c r="K1741" i="2"/>
  <c r="U1741" i="2" s="1"/>
  <c r="K905" i="2"/>
  <c r="U905" i="2" s="1"/>
  <c r="K904" i="2"/>
  <c r="U904" i="2" s="1"/>
  <c r="K1021" i="2"/>
  <c r="U1021" i="2" s="1"/>
  <c r="K1020" i="2"/>
  <c r="U1020" i="2" s="1"/>
  <c r="K219" i="2"/>
  <c r="U219" i="2" s="1"/>
  <c r="K220" i="2"/>
  <c r="U220" i="2" s="1"/>
  <c r="K966" i="2"/>
  <c r="U966" i="2" s="1"/>
  <c r="K967" i="2"/>
  <c r="U967" i="2" s="1"/>
  <c r="K1015" i="2"/>
  <c r="U1015" i="2" s="1"/>
  <c r="K1014" i="2"/>
  <c r="U1014" i="2" s="1"/>
  <c r="K2035" i="2"/>
  <c r="U2035" i="2" s="1"/>
  <c r="K2034" i="2"/>
  <c r="U2034" i="2" s="1"/>
  <c r="K1644" i="2"/>
  <c r="U1644" i="2" s="1"/>
  <c r="K1643" i="2"/>
  <c r="U1643" i="2" s="1"/>
  <c r="K643" i="2"/>
  <c r="U643" i="2" s="1"/>
  <c r="K644" i="2"/>
  <c r="U644" i="2" s="1"/>
  <c r="K1975" i="2"/>
  <c r="U1975" i="2" s="1"/>
  <c r="K1974" i="2"/>
  <c r="U1974" i="2" s="1"/>
  <c r="K1768" i="2"/>
  <c r="U1768" i="2" s="1"/>
  <c r="K1767" i="2"/>
  <c r="U1767" i="2" s="1"/>
  <c r="K626" i="2"/>
  <c r="U626" i="2" s="1"/>
  <c r="K625" i="2"/>
  <c r="U625" i="2" s="1"/>
  <c r="K118" i="2"/>
  <c r="U118" i="2" s="1"/>
  <c r="K117" i="2"/>
  <c r="U117" i="2" s="1"/>
  <c r="K280" i="2"/>
  <c r="U280" i="2" s="1"/>
  <c r="K279" i="2"/>
  <c r="U279" i="2" s="1"/>
  <c r="K809" i="2"/>
  <c r="U809" i="2" s="1"/>
  <c r="K808" i="2"/>
  <c r="U808" i="2" s="1"/>
  <c r="K2037" i="2"/>
  <c r="U2037" i="2" s="1"/>
  <c r="K2036" i="2"/>
  <c r="U2036" i="2" s="1"/>
  <c r="K203" i="2"/>
  <c r="U203" i="2" s="1"/>
  <c r="K204" i="2"/>
  <c r="U204" i="2" s="1"/>
  <c r="K1712" i="2"/>
  <c r="U1712" i="2" s="1"/>
  <c r="K1711" i="2"/>
  <c r="U1711" i="2" s="1"/>
  <c r="K189" i="2"/>
  <c r="U189" i="2" s="1"/>
  <c r="K190" i="2"/>
  <c r="U190" i="2" s="1"/>
  <c r="K954" i="2"/>
  <c r="U954" i="2" s="1"/>
  <c r="K955" i="2"/>
  <c r="U955" i="2" s="1"/>
  <c r="K784" i="2"/>
  <c r="U784" i="2" s="1"/>
  <c r="K783" i="2"/>
  <c r="U783" i="2" s="1"/>
  <c r="K1806" i="2"/>
  <c r="U1806" i="2" s="1"/>
  <c r="K1805" i="2"/>
  <c r="U1805" i="2" s="1"/>
  <c r="K1042" i="2"/>
  <c r="U1042" i="2" s="1"/>
  <c r="K1043" i="2"/>
  <c r="U1043" i="2" s="1"/>
  <c r="K1796" i="2"/>
  <c r="U1796" i="2" s="1"/>
  <c r="K1795" i="2"/>
  <c r="U1795" i="2" s="1"/>
  <c r="K460" i="2"/>
  <c r="U460" i="2" s="1"/>
  <c r="K461" i="2"/>
  <c r="U461" i="2" s="1"/>
  <c r="K1614" i="2"/>
  <c r="U1614" i="2" s="1"/>
  <c r="K1613" i="2"/>
  <c r="U1613" i="2" s="1"/>
  <c r="K1834" i="2"/>
  <c r="U1834" i="2" s="1"/>
  <c r="K1833" i="2"/>
  <c r="U1833" i="2" s="1"/>
  <c r="K121" i="2"/>
  <c r="U121" i="2" s="1"/>
  <c r="K122" i="2"/>
  <c r="U122" i="2" s="1"/>
  <c r="K331" i="2"/>
  <c r="U331" i="2" s="1"/>
  <c r="K330" i="2"/>
  <c r="U330" i="2" s="1"/>
  <c r="K852" i="2"/>
  <c r="U852" i="2" s="1"/>
  <c r="K853" i="2"/>
  <c r="U853" i="2" s="1"/>
  <c r="K1001" i="2"/>
  <c r="U1001" i="2" s="1"/>
  <c r="K1000" i="2"/>
  <c r="U1000" i="2" s="1"/>
  <c r="K994" i="2"/>
  <c r="U994" i="2" s="1"/>
  <c r="K995" i="2"/>
  <c r="U995" i="2" s="1"/>
  <c r="K72" i="2"/>
  <c r="U72" i="2" s="1"/>
  <c r="K71" i="2"/>
  <c r="U71" i="2" s="1"/>
  <c r="K1667" i="2"/>
  <c r="U1667" i="2" s="1"/>
  <c r="K1668" i="2"/>
  <c r="U1668" i="2" s="1"/>
  <c r="K917" i="2"/>
  <c r="U917" i="2" s="1"/>
  <c r="K916" i="2"/>
  <c r="U916" i="2" s="1"/>
  <c r="K789" i="2"/>
  <c r="U789" i="2" s="1"/>
  <c r="K790" i="2"/>
  <c r="U790" i="2" s="1"/>
  <c r="K1019" i="2"/>
  <c r="U1019" i="2" s="1"/>
  <c r="K1018" i="2"/>
  <c r="U1018" i="2" s="1"/>
  <c r="K157" i="2"/>
  <c r="U157" i="2" s="1"/>
  <c r="K158" i="2"/>
  <c r="U158" i="2" s="1"/>
  <c r="K25" i="2"/>
  <c r="U25" i="2" s="1"/>
  <c r="K26" i="2"/>
  <c r="U26" i="2" s="1"/>
  <c r="K1009" i="2"/>
  <c r="U1009" i="2" s="1"/>
  <c r="K1008" i="2"/>
  <c r="U1008" i="2" s="1"/>
  <c r="K104" i="2"/>
  <c r="U104" i="2" s="1"/>
  <c r="K103" i="2"/>
  <c r="U103" i="2" s="1"/>
  <c r="K492" i="2"/>
  <c r="U492" i="2" s="1"/>
  <c r="K493" i="2"/>
  <c r="U493" i="2" s="1"/>
  <c r="K700" i="2"/>
  <c r="U700" i="2" s="1"/>
  <c r="K699" i="2"/>
  <c r="U699" i="2" s="1"/>
  <c r="K440" i="2"/>
  <c r="U440" i="2" s="1"/>
  <c r="K441" i="2"/>
  <c r="U441" i="2" s="1"/>
  <c r="K586" i="2"/>
  <c r="U586" i="2" s="1"/>
  <c r="K585" i="2"/>
  <c r="U585" i="2" s="1"/>
  <c r="K1586" i="2"/>
  <c r="U1586" i="2" s="1"/>
  <c r="K1585" i="2"/>
  <c r="U1585" i="2" s="1"/>
  <c r="K1894" i="2"/>
  <c r="U1894" i="2" s="1"/>
  <c r="K1895" i="2"/>
  <c r="U1895" i="2" s="1"/>
  <c r="K1587" i="2"/>
  <c r="U1587" i="2" s="1"/>
  <c r="K1588" i="2"/>
  <c r="U1588" i="2" s="1"/>
  <c r="K45" i="2"/>
  <c r="U45" i="2" s="1"/>
  <c r="K46" i="2"/>
  <c r="U46" i="2" s="1"/>
  <c r="K175" i="2"/>
  <c r="U175" i="2" s="1"/>
  <c r="K176" i="2"/>
  <c r="U176" i="2" s="1"/>
  <c r="K495" i="2"/>
  <c r="U495" i="2" s="1"/>
  <c r="K494" i="2"/>
  <c r="U494" i="2" s="1"/>
  <c r="K1985" i="2"/>
  <c r="U1985" i="2" s="1"/>
  <c r="K1984" i="2"/>
  <c r="U1984" i="2" s="1"/>
  <c r="K560" i="2"/>
  <c r="U560" i="2" s="1"/>
  <c r="K559" i="2"/>
  <c r="U559" i="2" s="1"/>
  <c r="K603" i="2"/>
  <c r="U603" i="2" s="1"/>
  <c r="K604" i="2"/>
  <c r="U604" i="2" s="1"/>
  <c r="K1651" i="2"/>
  <c r="U1651" i="2" s="1"/>
  <c r="K1652" i="2"/>
  <c r="U1652" i="2" s="1"/>
  <c r="K109" i="2"/>
  <c r="U109" i="2" s="1"/>
  <c r="K110" i="2"/>
  <c r="U110" i="2" s="1"/>
  <c r="K2079" i="2"/>
  <c r="U2079" i="2" s="1"/>
  <c r="K2078" i="2"/>
  <c r="U2078" i="2" s="1"/>
  <c r="K1750" i="2"/>
  <c r="U1750" i="2" s="1"/>
  <c r="K1749" i="2"/>
  <c r="U1749" i="2" s="1"/>
  <c r="K49" i="2"/>
  <c r="U49" i="2" s="1"/>
  <c r="K50" i="2"/>
  <c r="U50" i="2" s="1"/>
  <c r="K499" i="2"/>
  <c r="U499" i="2" s="1"/>
  <c r="K498" i="2"/>
  <c r="U498" i="2" s="1"/>
  <c r="K1812" i="2"/>
  <c r="U1812" i="2" s="1"/>
  <c r="K1811" i="2"/>
  <c r="U1811" i="2" s="1"/>
  <c r="K836" i="2"/>
  <c r="U836" i="2" s="1"/>
  <c r="K837" i="2"/>
  <c r="U837" i="2" s="1"/>
  <c r="K771" i="2"/>
  <c r="U771" i="2" s="1"/>
  <c r="K772" i="2"/>
  <c r="U772" i="2" s="1"/>
  <c r="K678" i="2"/>
  <c r="U678" i="2" s="1"/>
  <c r="K677" i="2"/>
  <c r="U677" i="2" s="1"/>
  <c r="K468" i="2"/>
  <c r="U468" i="2" s="1"/>
  <c r="K469" i="2"/>
  <c r="U469" i="2" s="1"/>
  <c r="K324" i="2"/>
  <c r="U324" i="2" s="1"/>
  <c r="K325" i="2"/>
  <c r="U325" i="2" s="1"/>
  <c r="K554" i="2"/>
  <c r="U554" i="2" s="1"/>
  <c r="K553" i="2"/>
  <c r="U553" i="2" s="1"/>
  <c r="K574" i="2"/>
  <c r="U574" i="2" s="1"/>
  <c r="K573" i="2"/>
  <c r="U573" i="2" s="1"/>
  <c r="K861" i="2"/>
  <c r="U861" i="2" s="1"/>
  <c r="K860" i="2"/>
  <c r="U860" i="2" s="1"/>
  <c r="K582" i="2"/>
  <c r="U582" i="2" s="1"/>
  <c r="K581" i="2"/>
  <c r="U581" i="2" s="1"/>
  <c r="K720" i="2"/>
  <c r="U720" i="2" s="1"/>
  <c r="K719" i="2"/>
  <c r="U719" i="2" s="1"/>
  <c r="K33" i="2"/>
  <c r="U33" i="2" s="1"/>
  <c r="K34" i="2"/>
  <c r="U34" i="2" s="1"/>
  <c r="K447" i="2"/>
  <c r="U447" i="2" s="1"/>
  <c r="K446" i="2"/>
  <c r="U446" i="2" s="1"/>
  <c r="K2007" i="2"/>
  <c r="U2007" i="2" s="1"/>
  <c r="K2006" i="2"/>
  <c r="U2006" i="2" s="1"/>
  <c r="K990" i="2"/>
  <c r="U990" i="2" s="1"/>
  <c r="K991" i="2"/>
  <c r="U991" i="2" s="1"/>
  <c r="K1935" i="2"/>
  <c r="U1935" i="2" s="1"/>
  <c r="K1934" i="2"/>
  <c r="U1934" i="2" s="1"/>
  <c r="K1695" i="2"/>
  <c r="U1695" i="2" s="1"/>
  <c r="K1696" i="2"/>
  <c r="U1696" i="2" s="1"/>
  <c r="K942" i="2"/>
  <c r="U942" i="2" s="1"/>
  <c r="K943" i="2"/>
  <c r="U943" i="2" s="1"/>
  <c r="K674" i="2"/>
  <c r="U674" i="2" s="1"/>
  <c r="K673" i="2"/>
  <c r="U673" i="2" s="1"/>
  <c r="K1885" i="2"/>
  <c r="U1885" i="2" s="1"/>
  <c r="K1884" i="2"/>
  <c r="U1884" i="2" s="1"/>
  <c r="K84" i="2"/>
  <c r="U84" i="2" s="1"/>
  <c r="K83" i="2"/>
  <c r="U83" i="2" s="1"/>
  <c r="K391" i="2"/>
  <c r="U391" i="2" s="1"/>
  <c r="K390" i="2"/>
  <c r="U390" i="2" s="1"/>
  <c r="K1981" i="2"/>
  <c r="U1981" i="2" s="1"/>
  <c r="K1980" i="2"/>
  <c r="U1980" i="2" s="1"/>
  <c r="K165" i="2"/>
  <c r="U165" i="2" s="1"/>
  <c r="K166" i="2"/>
  <c r="U166" i="2" s="1"/>
  <c r="K1777" i="2"/>
  <c r="U1777" i="2" s="1"/>
  <c r="K1778" i="2"/>
  <c r="U1778" i="2" s="1"/>
  <c r="K656" i="2"/>
  <c r="U656" i="2" s="1"/>
  <c r="K655" i="2"/>
  <c r="U655" i="2" s="1"/>
  <c r="K1739" i="2"/>
  <c r="U1739" i="2" s="1"/>
  <c r="K1740" i="2"/>
  <c r="U1740" i="2" s="1"/>
  <c r="K1013" i="2"/>
  <c r="U1013" i="2" s="1"/>
  <c r="K1012" i="2"/>
  <c r="U1012" i="2" s="1"/>
  <c r="K258" i="2"/>
  <c r="U258" i="2" s="1"/>
  <c r="K257" i="2"/>
  <c r="U257" i="2" s="1"/>
  <c r="K634" i="2"/>
  <c r="U634" i="2" s="1"/>
  <c r="K633" i="2"/>
  <c r="U633" i="2" s="1"/>
  <c r="K813" i="2"/>
  <c r="U813" i="2" s="1"/>
  <c r="K812" i="2"/>
  <c r="U812" i="2" s="1"/>
  <c r="K769" i="2"/>
  <c r="U769" i="2" s="1"/>
  <c r="K770" i="2"/>
  <c r="U770" i="2" s="1"/>
  <c r="K608" i="2"/>
  <c r="U608" i="2" s="1"/>
  <c r="K607" i="2"/>
  <c r="U607" i="2" s="1"/>
  <c r="K1820" i="2"/>
  <c r="U1820" i="2" s="1"/>
  <c r="K1819" i="2"/>
  <c r="U1819" i="2" s="1"/>
  <c r="K923" i="2"/>
  <c r="U923" i="2" s="1"/>
  <c r="K922" i="2"/>
  <c r="U922" i="2" s="1"/>
  <c r="K1868" i="2"/>
  <c r="U1868" i="2" s="1"/>
  <c r="K1869" i="2"/>
  <c r="U1869" i="2" s="1"/>
  <c r="K313" i="2"/>
  <c r="U313" i="2" s="1"/>
  <c r="K312" i="2"/>
  <c r="U312" i="2" s="1"/>
  <c r="K2055" i="2"/>
  <c r="U2055" i="2" s="1"/>
  <c r="K2054" i="2"/>
  <c r="U2054" i="2" s="1"/>
  <c r="K2019" i="2"/>
  <c r="U2019" i="2" s="1"/>
  <c r="K2018" i="2"/>
  <c r="U2018" i="2" s="1"/>
  <c r="K692" i="2"/>
  <c r="U692" i="2" s="1"/>
  <c r="K691" i="2"/>
  <c r="U691" i="2" s="1"/>
  <c r="K1710" i="2"/>
  <c r="U1710" i="2" s="1"/>
  <c r="K1709" i="2"/>
  <c r="U1709" i="2" s="1"/>
  <c r="K1582" i="2"/>
  <c r="U1582" i="2" s="1"/>
  <c r="K1581" i="2"/>
  <c r="U1581" i="2" s="1"/>
  <c r="K558" i="2"/>
  <c r="U558" i="2" s="1"/>
  <c r="K557" i="2"/>
  <c r="U557" i="2" s="1"/>
  <c r="K116" i="2"/>
  <c r="U116" i="2" s="1"/>
  <c r="K115" i="2"/>
  <c r="U115" i="2" s="1"/>
  <c r="K1024" i="2"/>
  <c r="U1024" i="2" s="1"/>
  <c r="K1025" i="2"/>
  <c r="U1025" i="2" s="1"/>
  <c r="K65" i="2"/>
  <c r="U65" i="2" s="1"/>
  <c r="K66" i="2"/>
  <c r="U66" i="2" s="1"/>
  <c r="K344" i="2"/>
  <c r="U344" i="2" s="1"/>
  <c r="K345" i="2"/>
  <c r="U345" i="2" s="1"/>
  <c r="K1758" i="2"/>
  <c r="U1758" i="2" s="1"/>
  <c r="K1757" i="2"/>
  <c r="U1757" i="2" s="1"/>
  <c r="K1744" i="2"/>
  <c r="U1744" i="2" s="1"/>
  <c r="K1743" i="2"/>
  <c r="U1743" i="2" s="1"/>
  <c r="K230" i="2"/>
  <c r="U230" i="2" s="1"/>
  <c r="K229" i="2"/>
  <c r="U229" i="2" s="1"/>
  <c r="K877" i="2"/>
  <c r="U877" i="2" s="1"/>
  <c r="K876" i="2"/>
  <c r="U876" i="2" s="1"/>
  <c r="K1941" i="2"/>
  <c r="U1941" i="2" s="1"/>
  <c r="K1940" i="2"/>
  <c r="U1940" i="2" s="1"/>
  <c r="K1793" i="2"/>
  <c r="U1793" i="2" s="1"/>
  <c r="K1794" i="2"/>
  <c r="U1794" i="2" s="1"/>
  <c r="K431" i="2"/>
  <c r="U431" i="2" s="1"/>
  <c r="K430" i="2"/>
  <c r="U430" i="2" s="1"/>
  <c r="K326" i="2"/>
  <c r="U326" i="2" s="1"/>
  <c r="K327" i="2"/>
  <c r="U327" i="2" s="1"/>
  <c r="K710" i="2"/>
  <c r="U710" i="2" s="1"/>
  <c r="K709" i="2"/>
  <c r="U709" i="2" s="1"/>
  <c r="K547" i="2"/>
  <c r="U547" i="2" s="1"/>
  <c r="K548" i="2"/>
  <c r="U548" i="2" s="1"/>
  <c r="K651" i="2"/>
  <c r="U651" i="2" s="1"/>
  <c r="K652" i="2"/>
  <c r="U652" i="2" s="1"/>
  <c r="K1907" i="2"/>
  <c r="U1907" i="2" s="1"/>
  <c r="K1906" i="2"/>
  <c r="U1906" i="2" s="1"/>
  <c r="K933" i="2"/>
  <c r="U933" i="2" s="1"/>
  <c r="K932" i="2"/>
  <c r="U932" i="2" s="1"/>
  <c r="K60" i="2"/>
  <c r="U60" i="2" s="1"/>
  <c r="K59" i="2"/>
  <c r="U59" i="2" s="1"/>
  <c r="K371" i="2"/>
  <c r="U371" i="2" s="1"/>
  <c r="K370" i="2"/>
  <c r="U370" i="2" s="1"/>
  <c r="K907" i="2"/>
  <c r="U907" i="2" s="1"/>
  <c r="K906" i="2"/>
  <c r="U906" i="2" s="1"/>
  <c r="K1054" i="2"/>
  <c r="U1054" i="2" s="1"/>
  <c r="K1055" i="2"/>
  <c r="U1055" i="2" s="1"/>
  <c r="K463" i="2"/>
  <c r="U463" i="2" s="1"/>
  <c r="K462" i="2"/>
  <c r="U462" i="2" s="1"/>
  <c r="K1618" i="2"/>
  <c r="U1618" i="2" s="1"/>
  <c r="K1617" i="2"/>
  <c r="U1617" i="2" s="1"/>
  <c r="K426" i="2"/>
  <c r="U426" i="2" s="1"/>
  <c r="K427" i="2"/>
  <c r="U427" i="2" s="1"/>
  <c r="K145" i="2"/>
  <c r="U145" i="2" s="1"/>
  <c r="K146" i="2"/>
  <c r="U146" i="2" s="1"/>
  <c r="K2021" i="2"/>
  <c r="U2021" i="2" s="1"/>
  <c r="K2020" i="2"/>
  <c r="U2020" i="2" s="1"/>
  <c r="K336" i="2"/>
  <c r="U336" i="2" s="1"/>
  <c r="K337" i="2"/>
  <c r="U337" i="2" s="1"/>
  <c r="K646" i="2"/>
  <c r="U646" i="2" s="1"/>
  <c r="K645" i="2"/>
  <c r="U645" i="2" s="1"/>
  <c r="K1033" i="2"/>
  <c r="U1033" i="2" s="1"/>
  <c r="K1032" i="2"/>
  <c r="U1032" i="2" s="1"/>
  <c r="K728" i="2"/>
  <c r="U728" i="2" s="1"/>
  <c r="K727" i="2"/>
  <c r="U727" i="2" s="1"/>
  <c r="K155" i="2"/>
  <c r="U155" i="2" s="1"/>
  <c r="K156" i="2"/>
  <c r="U156" i="2" s="1"/>
  <c r="K2039" i="2"/>
  <c r="U2039" i="2" s="1"/>
  <c r="K2038" i="2"/>
  <c r="U2038" i="2" s="1"/>
  <c r="K64" i="2"/>
  <c r="U64" i="2" s="1"/>
  <c r="K63" i="2"/>
  <c r="U63" i="2" s="1"/>
  <c r="K250" i="2"/>
  <c r="U250" i="2" s="1"/>
  <c r="K249" i="2"/>
  <c r="U249" i="2" s="1"/>
  <c r="K1674" i="2"/>
  <c r="U1674" i="2" s="1"/>
  <c r="K1673" i="2"/>
  <c r="U1673" i="2" s="1"/>
  <c r="K911" i="2"/>
  <c r="U911" i="2" s="1"/>
  <c r="K910" i="2"/>
  <c r="U910" i="2" s="1"/>
  <c r="K895" i="2"/>
  <c r="U895" i="2" s="1"/>
  <c r="K894" i="2"/>
  <c r="U894" i="2" s="1"/>
  <c r="K1797" i="2"/>
  <c r="U1797" i="2" s="1"/>
  <c r="K1798" i="2"/>
  <c r="U1798" i="2" s="1"/>
  <c r="K1851" i="2"/>
  <c r="U1851" i="2" s="1"/>
  <c r="K1850" i="2"/>
  <c r="U1850" i="2" s="1"/>
  <c r="K899" i="2"/>
  <c r="U899" i="2" s="1"/>
  <c r="K898" i="2"/>
  <c r="U898" i="2" s="1"/>
  <c r="K527" i="2"/>
  <c r="U527" i="2" s="1"/>
  <c r="K526" i="2"/>
  <c r="U526" i="2" s="1"/>
  <c r="K1650" i="2"/>
  <c r="U1650" i="2" s="1"/>
  <c r="K1649" i="2"/>
  <c r="U1649" i="2" s="1"/>
  <c r="K268" i="2"/>
  <c r="U268" i="2" s="1"/>
  <c r="K267" i="2"/>
  <c r="U267" i="2" s="1"/>
  <c r="K1662" i="2"/>
  <c r="U1662" i="2" s="1"/>
  <c r="K1661" i="2"/>
  <c r="U1661" i="2" s="1"/>
  <c r="K507" i="2"/>
  <c r="U507" i="2" s="1"/>
  <c r="K506" i="2"/>
  <c r="U506" i="2" s="1"/>
  <c r="K69" i="2"/>
  <c r="U69" i="2" s="1"/>
  <c r="K70" i="2"/>
  <c r="U70" i="2" s="1"/>
  <c r="K788" i="2"/>
  <c r="U788" i="2" s="1"/>
  <c r="K787" i="2"/>
  <c r="U787" i="2" s="1"/>
  <c r="K320" i="2"/>
  <c r="U320" i="2" s="1"/>
  <c r="K321" i="2"/>
  <c r="U321" i="2" s="1"/>
  <c r="K1847" i="2"/>
  <c r="U1847" i="2" s="1"/>
  <c r="K1846" i="2"/>
  <c r="U1846" i="2" s="1"/>
  <c r="K2011" i="2"/>
  <c r="U2011" i="2" s="1"/>
  <c r="K2010" i="2"/>
  <c r="U2010" i="2" s="1"/>
  <c r="K1828" i="2"/>
  <c r="U1828" i="2" s="1"/>
  <c r="K1827" i="2"/>
  <c r="U1827" i="2" s="1"/>
  <c r="K1598" i="2"/>
  <c r="U1598" i="2" s="1"/>
  <c r="K1597" i="2"/>
  <c r="U1597" i="2" s="1"/>
  <c r="K101" i="2"/>
  <c r="U101" i="2" s="1"/>
  <c r="K102" i="2"/>
  <c r="U102" i="2" s="1"/>
  <c r="K269" i="2"/>
  <c r="U269" i="2" s="1"/>
  <c r="K270" i="2"/>
  <c r="U270" i="2" s="1"/>
  <c r="K56" i="2"/>
  <c r="U56" i="2" s="1"/>
  <c r="K55" i="2"/>
  <c r="U55" i="2" s="1"/>
  <c r="K439" i="2"/>
  <c r="U439" i="2" s="1"/>
  <c r="K438" i="2"/>
  <c r="U438" i="2" s="1"/>
  <c r="T361" i="2" s="1" a="1"/>
  <c r="K1631" i="2"/>
  <c r="U1631" i="2" s="1"/>
  <c r="K1632" i="2"/>
  <c r="U1632" i="2" s="1"/>
  <c r="K1638" i="2"/>
  <c r="U1638" i="2" s="1"/>
  <c r="K1637" i="2"/>
  <c r="U1637" i="2" s="1"/>
  <c r="K173" i="2"/>
  <c r="U173" i="2" s="1"/>
  <c r="K174" i="2"/>
  <c r="U174" i="2" s="1"/>
  <c r="K1028" i="2"/>
  <c r="U1028" i="2" s="1"/>
  <c r="K1029" i="2"/>
  <c r="U1029" i="2" s="1"/>
  <c r="K562" i="2"/>
  <c r="U562" i="2" s="1"/>
  <c r="K561" i="2"/>
  <c r="U561" i="2" s="1"/>
  <c r="K606" i="2"/>
  <c r="U606" i="2" s="1"/>
  <c r="K605" i="2"/>
  <c r="U605" i="2" s="1"/>
  <c r="K973" i="2"/>
  <c r="U973" i="2" s="1"/>
  <c r="K972" i="2"/>
  <c r="U972" i="2" s="1"/>
  <c r="K207" i="2"/>
  <c r="U207" i="2" s="1"/>
  <c r="K208" i="2"/>
  <c r="U208" i="2" s="1"/>
  <c r="K369" i="2"/>
  <c r="U369" i="2" s="1"/>
  <c r="K368" i="2"/>
  <c r="U368" i="2" s="1"/>
  <c r="K1718" i="2"/>
  <c r="U1718" i="2" s="1"/>
  <c r="K1717" i="2"/>
  <c r="U1717" i="2" s="1"/>
  <c r="K883" i="2"/>
  <c r="U883" i="2" s="1"/>
  <c r="K882" i="2"/>
  <c r="U882" i="2" s="1"/>
  <c r="K2075" i="2"/>
  <c r="U2075" i="2" s="1"/>
  <c r="K2074" i="2"/>
  <c r="U2074" i="2" s="1"/>
  <c r="K419" i="2"/>
  <c r="U419" i="2" s="1"/>
  <c r="K418" i="2"/>
  <c r="U418" i="2" s="1"/>
  <c r="K500" i="2"/>
  <c r="U500" i="2" s="1"/>
  <c r="K501" i="2"/>
  <c r="U501" i="2" s="1"/>
  <c r="K659" i="2"/>
  <c r="U659" i="2" s="1"/>
  <c r="K660" i="2"/>
  <c r="U660" i="2" s="1"/>
  <c r="K714" i="2"/>
  <c r="U714" i="2" s="1"/>
  <c r="K713" i="2"/>
  <c r="U713" i="2" s="1"/>
  <c r="K275" i="2"/>
  <c r="U275" i="2" s="1"/>
  <c r="K276" i="2"/>
  <c r="U276" i="2" s="1"/>
  <c r="K838" i="2"/>
  <c r="U838" i="2" s="1"/>
  <c r="K839" i="2"/>
  <c r="U839" i="2" s="1"/>
  <c r="K80" i="2"/>
  <c r="U80" i="2" s="1"/>
  <c r="K79" i="2"/>
  <c r="U79" i="2" s="1"/>
  <c r="K1726" i="2"/>
  <c r="U1726" i="2" s="1"/>
  <c r="K1725" i="2"/>
  <c r="U1725" i="2" s="1"/>
  <c r="K676" i="2"/>
  <c r="U676" i="2" s="1"/>
  <c r="K675" i="2"/>
  <c r="U675" i="2" s="1"/>
  <c r="K225" i="2"/>
  <c r="U225" i="2" s="1"/>
  <c r="K226" i="2"/>
  <c r="U226" i="2" s="1"/>
  <c r="K163" i="2"/>
  <c r="U163" i="2" s="1"/>
  <c r="K164" i="2"/>
  <c r="U164" i="2" s="1"/>
  <c r="K819" i="2"/>
  <c r="U819" i="2" s="1"/>
  <c r="K818" i="2"/>
  <c r="U818" i="2" s="1"/>
  <c r="K1959" i="2"/>
  <c r="U1959" i="2" s="1"/>
  <c r="K1958" i="2"/>
  <c r="U1958" i="2" s="1"/>
  <c r="K40" i="2"/>
  <c r="U40" i="2" s="1"/>
  <c r="K39" i="2"/>
  <c r="U39" i="2" s="1"/>
  <c r="K149" i="2"/>
  <c r="U149" i="2" s="1"/>
  <c r="K150" i="2"/>
  <c r="U150" i="2" s="1"/>
  <c r="K363" i="2"/>
  <c r="U363" i="2" s="1"/>
  <c r="K362" i="2"/>
  <c r="U362" i="2" s="1"/>
  <c r="K1953" i="2"/>
  <c r="U1953" i="2" s="1"/>
  <c r="K1952" i="2"/>
  <c r="U1952" i="2" s="1"/>
  <c r="K260" i="2"/>
  <c r="U260" i="2" s="1"/>
  <c r="K259" i="2"/>
  <c r="U259" i="2" s="1"/>
  <c r="K1861" i="2"/>
  <c r="U1861" i="2" s="1"/>
  <c r="K1860" i="2"/>
  <c r="U1860" i="2" s="1"/>
  <c r="K1931" i="2"/>
  <c r="U1931" i="2" s="1"/>
  <c r="K1930" i="2"/>
  <c r="U1930" i="2" s="1"/>
  <c r="K1951" i="2"/>
  <c r="U1951" i="2" s="1"/>
  <c r="K1950" i="2"/>
  <c r="U1950" i="2" s="1"/>
  <c r="K800" i="2"/>
  <c r="U800" i="2" s="1"/>
  <c r="K801" i="2"/>
  <c r="U801" i="2" s="1"/>
  <c r="K844" i="2"/>
  <c r="U844" i="2" s="1"/>
  <c r="K845" i="2"/>
  <c r="U845" i="2" s="1"/>
  <c r="K737" i="2"/>
  <c r="U737" i="2" s="1"/>
  <c r="K738" i="2"/>
  <c r="U738" i="2" s="1"/>
  <c r="K222" i="2"/>
  <c r="U222" i="2" s="1"/>
  <c r="K221" i="2"/>
  <c r="U221" i="2" s="1"/>
  <c r="K962" i="2"/>
  <c r="U962" i="2" s="1"/>
  <c r="K963" i="2"/>
  <c r="U963" i="2" s="1"/>
  <c r="K2045" i="2"/>
  <c r="U2045" i="2" s="1"/>
  <c r="K2044" i="2"/>
  <c r="U2044" i="2" s="1"/>
  <c r="K432" i="2"/>
  <c r="U432" i="2" s="1"/>
  <c r="K433" i="2"/>
  <c r="U433" i="2" s="1"/>
  <c r="K708" i="2"/>
  <c r="U708" i="2" s="1"/>
  <c r="K707" i="2"/>
  <c r="U707" i="2" s="1"/>
  <c r="K550" i="2"/>
  <c r="U550" i="2" s="1"/>
  <c r="K549" i="2"/>
  <c r="U549" i="2" s="1"/>
  <c r="K611" i="2"/>
  <c r="U611" i="2" s="1"/>
  <c r="K612" i="2"/>
  <c r="U612" i="2" s="1"/>
  <c r="K307" i="2"/>
  <c r="U307" i="2" s="1"/>
  <c r="K306" i="2"/>
  <c r="U306" i="2" s="1"/>
  <c r="K2023" i="2"/>
  <c r="U2023" i="2" s="1"/>
  <c r="K2022" i="2"/>
  <c r="U2022" i="2" s="1"/>
  <c r="K1973" i="2"/>
  <c r="U1973" i="2" s="1"/>
  <c r="K1972" i="2"/>
  <c r="U1972" i="2" s="1"/>
  <c r="K246" i="2"/>
  <c r="U246" i="2" s="1"/>
  <c r="K245" i="2"/>
  <c r="U245" i="2" s="1"/>
  <c r="K810" i="2"/>
  <c r="U810" i="2" s="1"/>
  <c r="K811" i="2"/>
  <c r="U811" i="2" s="1"/>
  <c r="K144" i="2"/>
  <c r="U144" i="2" s="1"/>
  <c r="K143" i="2"/>
  <c r="U143" i="2" s="1"/>
  <c r="K252" i="2"/>
  <c r="U252" i="2" s="1"/>
  <c r="K251" i="2"/>
  <c r="U251" i="2" s="1"/>
  <c r="K528" i="2"/>
  <c r="U528" i="2" s="1"/>
  <c r="K529" i="2"/>
  <c r="U529" i="2" s="1"/>
  <c r="K2089" i="2"/>
  <c r="U2089" i="2" s="1"/>
  <c r="K2088" i="2"/>
  <c r="U2088" i="2" s="1"/>
  <c r="K696" i="2"/>
  <c r="U696" i="2" s="1"/>
  <c r="K695" i="2"/>
  <c r="U695" i="2" s="1"/>
  <c r="K319" i="2"/>
  <c r="U319" i="2" s="1"/>
  <c r="K318" i="2"/>
  <c r="U318" i="2" s="1"/>
  <c r="K36" i="2"/>
  <c r="U36" i="2" s="1"/>
  <c r="K35" i="2"/>
  <c r="U35" i="2" s="1"/>
  <c r="K1010" i="2"/>
  <c r="U1010" i="2" s="1"/>
  <c r="K1011" i="2"/>
  <c r="U1011" i="2" s="1"/>
  <c r="K53" i="2"/>
  <c r="U53" i="2" s="1"/>
  <c r="K54" i="2"/>
  <c r="U54" i="2" s="1"/>
  <c r="K1634" i="2"/>
  <c r="U1634" i="2" s="1"/>
  <c r="K1633" i="2"/>
  <c r="U1633" i="2" s="1"/>
  <c r="K511" i="2"/>
  <c r="U511" i="2" s="1"/>
  <c r="K510" i="2"/>
  <c r="U510" i="2" s="1"/>
  <c r="K496" i="2"/>
  <c r="U496" i="2" s="1"/>
  <c r="K497" i="2"/>
  <c r="U497" i="2" s="1"/>
  <c r="K592" i="2"/>
  <c r="U592" i="2" s="1"/>
  <c r="K591" i="2"/>
  <c r="U591" i="2" s="1"/>
  <c r="K1031" i="2"/>
  <c r="U1031" i="2" s="1"/>
  <c r="K1030" i="2"/>
  <c r="U1030" i="2" s="1"/>
  <c r="K1676" i="2"/>
  <c r="U1676" i="2" s="1"/>
  <c r="K1675" i="2"/>
  <c r="U1675" i="2" s="1"/>
  <c r="K100" i="2"/>
  <c r="U100" i="2" s="1"/>
  <c r="K99" i="2"/>
  <c r="U99" i="2" s="1"/>
  <c r="K1658" i="2"/>
  <c r="U1658" i="2" s="1"/>
  <c r="K1657" i="2"/>
  <c r="U1657" i="2" s="1"/>
  <c r="K989" i="2"/>
  <c r="U989" i="2" s="1"/>
  <c r="K988" i="2"/>
  <c r="U988" i="2" s="1"/>
  <c r="K662" i="2"/>
  <c r="U662" i="2" s="1"/>
  <c r="K661" i="2"/>
  <c r="U661" i="2" s="1"/>
  <c r="K273" i="2"/>
  <c r="U273" i="2" s="1"/>
  <c r="K274" i="2"/>
  <c r="U274" i="2" s="1"/>
  <c r="K77" i="2"/>
  <c r="U77" i="2" s="1"/>
  <c r="K78" i="2"/>
  <c r="U78" i="2" s="1"/>
  <c r="K1933" i="2"/>
  <c r="U1933" i="2" s="1"/>
  <c r="K1932" i="2"/>
  <c r="U1932" i="2" s="1"/>
  <c r="K323" i="2"/>
  <c r="U323" i="2" s="1"/>
  <c r="K322" i="2"/>
  <c r="U322" i="2" s="1"/>
  <c r="K775" i="2"/>
  <c r="U775" i="2" s="1"/>
  <c r="K776" i="2"/>
  <c r="U776" i="2" s="1"/>
  <c r="K195" i="2"/>
  <c r="U195" i="2" s="1"/>
  <c r="K196" i="2"/>
  <c r="U196" i="2" s="1"/>
  <c r="K734" i="2"/>
  <c r="U734" i="2" s="1"/>
  <c r="K733" i="2"/>
  <c r="U733" i="2" s="1"/>
  <c r="K1999" i="2"/>
  <c r="U1999" i="2" s="1"/>
  <c r="K1998" i="2"/>
  <c r="U1998" i="2" s="1"/>
  <c r="K1870" i="2"/>
  <c r="U1870" i="2" s="1"/>
  <c r="K1871" i="2"/>
  <c r="U1871" i="2" s="1"/>
  <c r="K488" i="2"/>
  <c r="U488" i="2" s="1"/>
  <c r="K489" i="2"/>
  <c r="U489" i="2" s="1"/>
  <c r="K1592" i="2"/>
  <c r="U1592" i="2" s="1"/>
  <c r="K1591" i="2"/>
  <c r="U1591" i="2" s="1"/>
  <c r="K231" i="2"/>
  <c r="U231" i="2" s="1"/>
  <c r="K232" i="2"/>
  <c r="U232" i="2" s="1"/>
  <c r="K828" i="2"/>
  <c r="U828" i="2" s="1"/>
  <c r="K829" i="2"/>
  <c r="U829" i="2" s="1"/>
  <c r="K2029" i="2"/>
  <c r="U2029" i="2" s="1"/>
  <c r="K2028" i="2"/>
  <c r="U2028" i="2" s="1"/>
  <c r="K136" i="2"/>
  <c r="U136" i="2" s="1"/>
  <c r="K135" i="2"/>
  <c r="U135" i="2" s="1"/>
  <c r="K92" i="2"/>
  <c r="U92" i="2" s="1"/>
  <c r="K91" i="2"/>
  <c r="U91" i="2" s="1"/>
  <c r="K654" i="2"/>
  <c r="U654" i="2" s="1"/>
  <c r="K653" i="2"/>
  <c r="U653" i="2" s="1"/>
  <c r="K1977" i="2"/>
  <c r="U1977" i="2" s="1"/>
  <c r="K1976" i="2"/>
  <c r="U1976" i="2" s="1"/>
  <c r="K57" i="2"/>
  <c r="U57" i="2" s="1"/>
  <c r="K58" i="2"/>
  <c r="U58" i="2" s="1"/>
  <c r="K761" i="2"/>
  <c r="U761" i="2" s="1"/>
  <c r="K762" i="2"/>
  <c r="U762" i="2" s="1"/>
  <c r="K355" i="2"/>
  <c r="U355" i="2" s="1"/>
  <c r="K354" i="2"/>
  <c r="U354" i="2" s="1"/>
  <c r="K1022" i="2"/>
  <c r="U1022" i="2" s="1"/>
  <c r="K1023" i="2"/>
  <c r="U1023" i="2" s="1"/>
  <c r="K464" i="2"/>
  <c r="U464" i="2" s="1"/>
  <c r="K465" i="2"/>
  <c r="U465" i="2" s="1"/>
  <c r="K1646" i="2"/>
  <c r="U1646" i="2" s="1"/>
  <c r="K1645" i="2"/>
  <c r="U1645" i="2" s="1"/>
  <c r="K704" i="2"/>
  <c r="U704" i="2" s="1"/>
  <c r="K703" i="2"/>
  <c r="U703" i="2" s="1"/>
  <c r="K945" i="2"/>
  <c r="U945" i="2" s="1"/>
  <c r="K944" i="2"/>
  <c r="U944" i="2" s="1"/>
  <c r="K1035" i="2"/>
  <c r="U1035" i="2" s="1"/>
  <c r="K1034" i="2"/>
  <c r="U1034" i="2" s="1"/>
  <c r="K153" i="2"/>
  <c r="U153" i="2" s="1"/>
  <c r="K154" i="2"/>
  <c r="U154" i="2" s="1"/>
  <c r="K1672" i="2"/>
  <c r="U1672" i="2" s="1"/>
  <c r="K1671" i="2"/>
  <c r="U1671" i="2" s="1"/>
  <c r="K953" i="2"/>
  <c r="U953" i="2" s="1"/>
  <c r="K952" i="2"/>
  <c r="U952" i="2" s="1"/>
  <c r="K1849" i="2"/>
  <c r="U1849" i="2" s="1"/>
  <c r="K1848" i="2"/>
  <c r="U1848" i="2" s="1"/>
  <c r="K897" i="2"/>
  <c r="U897" i="2" s="1"/>
  <c r="K896" i="2"/>
  <c r="U896" i="2" s="1"/>
  <c r="K531" i="2"/>
  <c r="U531" i="2" s="1"/>
  <c r="K530" i="2"/>
  <c r="U530" i="2" s="1"/>
  <c r="K1606" i="2"/>
  <c r="U1606" i="2" s="1"/>
  <c r="K1605" i="2"/>
  <c r="U1605" i="2" s="1"/>
  <c r="K332" i="2"/>
  <c r="U332" i="2" s="1"/>
  <c r="K333" i="2"/>
  <c r="U333" i="2" s="1"/>
  <c r="K1909" i="2"/>
  <c r="U1909" i="2" s="1"/>
  <c r="K1908" i="2"/>
  <c r="U1908" i="2" s="1"/>
  <c r="K1002" i="2"/>
  <c r="U1002" i="2" s="1"/>
  <c r="K1003" i="2"/>
  <c r="U1003" i="2" s="1"/>
  <c r="K508" i="2"/>
  <c r="U508" i="2" s="1"/>
  <c r="K509" i="2"/>
  <c r="U509" i="2" s="1"/>
  <c r="K1628" i="2"/>
  <c r="U1628" i="2" s="1"/>
  <c r="K1627" i="2"/>
  <c r="U1627" i="2" s="1"/>
  <c r="K405" i="2"/>
  <c r="U405" i="2" s="1"/>
  <c r="K404" i="2"/>
  <c r="U404" i="2" s="1"/>
  <c r="K1784" i="2"/>
  <c r="U1784" i="2" s="1"/>
  <c r="K1783" i="2"/>
  <c r="U1783" i="2" s="1"/>
  <c r="K867" i="2"/>
  <c r="U867" i="2" s="1"/>
  <c r="K866" i="2"/>
  <c r="U866" i="2" s="1"/>
  <c r="K969" i="2"/>
  <c r="U969" i="2" s="1"/>
  <c r="K968" i="2"/>
  <c r="U968" i="2" s="1"/>
  <c r="K1635" i="2"/>
  <c r="U1635" i="2" s="1"/>
  <c r="K1636" i="2"/>
  <c r="U1636" i="2" s="1"/>
  <c r="K1810" i="2"/>
  <c r="U1810" i="2" s="1"/>
  <c r="K1809" i="2"/>
  <c r="U1809" i="2" s="1"/>
  <c r="K316" i="2"/>
  <c r="U316" i="2" s="1"/>
  <c r="K317" i="2"/>
  <c r="U317" i="2" s="1"/>
  <c r="K205" i="2"/>
  <c r="U205" i="2" s="1"/>
  <c r="K206" i="2"/>
  <c r="U206" i="2" s="1"/>
  <c r="K1642" i="2"/>
  <c r="U1642" i="2" s="1"/>
  <c r="K1641" i="2"/>
  <c r="U1641" i="2" s="1"/>
  <c r="K420" i="2"/>
  <c r="U420" i="2" s="1"/>
  <c r="K421" i="2"/>
  <c r="U421" i="2" s="1"/>
  <c r="K667" i="2"/>
  <c r="U667" i="2" s="1"/>
  <c r="K668" i="2"/>
  <c r="U668" i="2" s="1"/>
  <c r="K814" i="2"/>
  <c r="U814" i="2" s="1"/>
  <c r="K815" i="2"/>
  <c r="U815" i="2" s="1"/>
  <c r="K610" i="2"/>
  <c r="U610" i="2" s="1"/>
  <c r="K609" i="2"/>
  <c r="U609" i="2" s="1"/>
  <c r="K672" i="2"/>
  <c r="U672" i="2" s="1"/>
  <c r="K671" i="2"/>
  <c r="U671" i="2" s="1"/>
  <c r="K1863" i="2"/>
  <c r="U1863" i="2" s="1"/>
  <c r="K1862" i="2"/>
  <c r="U1862" i="2" s="1"/>
  <c r="K1947" i="2"/>
  <c r="U1947" i="2" s="1"/>
  <c r="K1946" i="2"/>
  <c r="U1946" i="2" s="1"/>
  <c r="K619" i="2"/>
  <c r="U619" i="2" s="1"/>
  <c r="K620" i="2"/>
  <c r="U620" i="2" s="1"/>
  <c r="K977" i="2"/>
  <c r="U977" i="2" s="1"/>
  <c r="K976" i="2"/>
  <c r="U976" i="2" s="1"/>
  <c r="K1929" i="2"/>
  <c r="U1929" i="2" s="1"/>
  <c r="K1928" i="2"/>
  <c r="U1928" i="2" s="1"/>
  <c r="K821" i="2"/>
  <c r="U821" i="2" s="1"/>
  <c r="K820" i="2"/>
  <c r="U820" i="2" s="1"/>
  <c r="K587" i="2"/>
  <c r="U587" i="2" s="1"/>
  <c r="K588" i="2"/>
  <c r="U588" i="2" s="1"/>
  <c r="K648" i="2"/>
  <c r="U648" i="2" s="1"/>
  <c r="K647" i="2"/>
  <c r="U647" i="2" s="1"/>
  <c r="K627" i="2"/>
  <c r="U627" i="2" s="1"/>
  <c r="K628" i="2"/>
  <c r="U628" i="2" s="1"/>
  <c r="K113" i="2"/>
  <c r="U113" i="2" s="1"/>
  <c r="K114" i="2"/>
  <c r="U114" i="2" s="1"/>
  <c r="K832" i="2"/>
  <c r="U832" i="2" s="1"/>
  <c r="K833" i="2"/>
  <c r="U833" i="2" s="1"/>
  <c r="K1027" i="2"/>
  <c r="U1027" i="2" s="1"/>
  <c r="K1026" i="2"/>
  <c r="U1026" i="2" s="1"/>
  <c r="K262" i="2"/>
  <c r="U262" i="2" s="1"/>
  <c r="K261" i="2"/>
  <c r="U261" i="2" s="1"/>
  <c r="K736" i="2"/>
  <c r="U736" i="2" s="1"/>
  <c r="K735" i="2"/>
  <c r="U735" i="2" s="1"/>
  <c r="K223" i="2"/>
  <c r="U223" i="2" s="1"/>
  <c r="K224" i="2"/>
  <c r="U224" i="2" s="1"/>
  <c r="K1867" i="2"/>
  <c r="U1867" i="2" s="1"/>
  <c r="K1866" i="2"/>
  <c r="U1866" i="2" s="1"/>
  <c r="K831" i="2"/>
  <c r="U831" i="2" s="1"/>
  <c r="K830" i="2"/>
  <c r="U830" i="2" s="1"/>
  <c r="K133" i="2"/>
  <c r="U133" i="2" s="1"/>
  <c r="K134" i="2"/>
  <c r="U134" i="2" s="1"/>
  <c r="K1971" i="2"/>
  <c r="U1971" i="2" s="1"/>
  <c r="K1970" i="2"/>
  <c r="U1970" i="2" s="1"/>
  <c r="K1720" i="2"/>
  <c r="U1720" i="2" s="1"/>
  <c r="K1719" i="2"/>
  <c r="U1719" i="2" s="1"/>
  <c r="K614" i="2"/>
  <c r="U614" i="2" s="1"/>
  <c r="K613" i="2"/>
  <c r="U613" i="2" s="1"/>
  <c r="K2081" i="2"/>
  <c r="U2081" i="2" s="1"/>
  <c r="K2080" i="2"/>
  <c r="U2080" i="2" s="1"/>
  <c r="K1905" i="2"/>
  <c r="U1905" i="2" s="1"/>
  <c r="K1904" i="2"/>
  <c r="U1904" i="2" s="1"/>
  <c r="K552" i="2"/>
  <c r="U552" i="2" s="1"/>
  <c r="K551" i="2"/>
  <c r="U551" i="2" s="1"/>
  <c r="K373" i="2"/>
  <c r="U373" i="2" s="1"/>
  <c r="K372" i="2"/>
  <c r="U372" i="2" s="1"/>
  <c r="K760" i="2"/>
  <c r="U760" i="2" s="1"/>
  <c r="K759" i="2"/>
  <c r="U759" i="2" s="1"/>
  <c r="K519" i="2"/>
  <c r="U519" i="2" s="1"/>
  <c r="K518" i="2"/>
  <c r="U518" i="2" s="1"/>
  <c r="K357" i="2"/>
  <c r="U357" i="2" s="1"/>
  <c r="K356" i="2"/>
  <c r="U356" i="2" s="1"/>
  <c r="K1045" i="2"/>
  <c r="U1045" i="2" s="1"/>
  <c r="K1044" i="2"/>
  <c r="U1044" i="2" s="1"/>
  <c r="K2049" i="2"/>
  <c r="U2049" i="2" s="1"/>
  <c r="K2048" i="2"/>
  <c r="U2048" i="2" s="1"/>
  <c r="K309" i="2"/>
  <c r="U309" i="2" s="1"/>
  <c r="K308" i="2"/>
  <c r="U308" i="2" s="1"/>
  <c r="K1626" i="2"/>
  <c r="U1626" i="2" s="1"/>
  <c r="K1625" i="2"/>
  <c r="U1625" i="2" s="1"/>
  <c r="K817" i="2"/>
  <c r="U817" i="2" s="1"/>
  <c r="K816" i="2"/>
  <c r="U816" i="2" s="1"/>
  <c r="K335" i="2"/>
  <c r="U335" i="2" s="1"/>
  <c r="K334" i="2"/>
  <c r="U334" i="2" s="1"/>
  <c r="K96" i="2"/>
  <c r="U96" i="2" s="1"/>
  <c r="K95" i="2"/>
  <c r="U95" i="2" s="1"/>
  <c r="K571" i="2"/>
  <c r="U571" i="2" s="1"/>
  <c r="K572" i="2"/>
  <c r="U572" i="2" s="1"/>
  <c r="K946" i="2"/>
  <c r="U946" i="2" s="1"/>
  <c r="K947" i="2"/>
  <c r="U947" i="2" s="1"/>
  <c r="K248" i="2"/>
  <c r="U248" i="2" s="1"/>
  <c r="K247" i="2"/>
  <c r="U247" i="2" s="1"/>
  <c r="K730" i="2"/>
  <c r="U730" i="2" s="1"/>
  <c r="K729" i="2"/>
  <c r="U729" i="2" s="1"/>
  <c r="K1957" i="2"/>
  <c r="U1957" i="2" s="1"/>
  <c r="K1956" i="2"/>
  <c r="U1956" i="2" s="1"/>
  <c r="K142" i="2"/>
  <c r="U142" i="2" s="1"/>
  <c r="K141" i="2"/>
  <c r="U141" i="2" s="1"/>
  <c r="K1680" i="2"/>
  <c r="U1680" i="2" s="1"/>
  <c r="K1679" i="2"/>
  <c r="U1679" i="2" s="1"/>
  <c r="K62" i="2"/>
  <c r="U62" i="2" s="1"/>
  <c r="K61" i="2"/>
  <c r="U61" i="2" s="1"/>
  <c r="K193" i="2"/>
  <c r="U193" i="2" s="1"/>
  <c r="K194" i="2"/>
  <c r="U194" i="2" s="1"/>
  <c r="K909" i="2"/>
  <c r="U909" i="2" s="1"/>
  <c r="K908" i="2"/>
  <c r="U908" i="2" s="1"/>
  <c r="K893" i="2"/>
  <c r="U893" i="2" s="1"/>
  <c r="K892" i="2"/>
  <c r="U892" i="2" s="1"/>
  <c r="K579" i="2"/>
  <c r="U579" i="2" s="1"/>
  <c r="K580" i="2"/>
  <c r="U580" i="2" s="1"/>
  <c r="K152" i="2"/>
  <c r="U152" i="2" s="1"/>
  <c r="K151" i="2"/>
  <c r="U151" i="2" s="1"/>
  <c r="K1603" i="2"/>
  <c r="U1603" i="2" s="1"/>
  <c r="K1604" i="2"/>
  <c r="U1604" i="2" s="1"/>
  <c r="K1911" i="2"/>
  <c r="U1911" i="2" s="1"/>
  <c r="K1910" i="2"/>
  <c r="U1910" i="2" s="1"/>
  <c r="K544" i="2"/>
  <c r="U544" i="2" s="1"/>
  <c r="K543" i="2"/>
  <c r="U543" i="2" s="1"/>
  <c r="K265" i="2"/>
  <c r="U265" i="2" s="1"/>
  <c r="K266" i="2"/>
  <c r="U266" i="2" s="1"/>
  <c r="K365" i="2"/>
  <c r="U365" i="2" s="1"/>
  <c r="K364" i="2"/>
  <c r="U364" i="2" s="1"/>
  <c r="K299" i="2"/>
  <c r="U299" i="2" s="1"/>
  <c r="K298" i="2"/>
  <c r="U298" i="2" s="1"/>
  <c r="K1630" i="2"/>
  <c r="U1630" i="2" s="1"/>
  <c r="K1629" i="2"/>
  <c r="U1629" i="2" s="1"/>
  <c r="K957" i="2"/>
  <c r="U957" i="2" s="1"/>
  <c r="K956" i="2"/>
  <c r="U956" i="2" s="1"/>
  <c r="K395" i="2"/>
  <c r="U395" i="2" s="1"/>
  <c r="K394" i="2"/>
  <c r="U394" i="2" s="1"/>
  <c r="K1845" i="2"/>
  <c r="U1845" i="2" s="1"/>
  <c r="K1844" i="2"/>
  <c r="U1844" i="2" s="1"/>
  <c r="K1785" i="2"/>
  <c r="U1785" i="2" s="1"/>
  <c r="K1786" i="2"/>
  <c r="U1786" i="2" s="1"/>
  <c r="K903" i="2"/>
  <c r="U903" i="2" s="1"/>
  <c r="K902" i="2"/>
  <c r="U902" i="2" s="1"/>
  <c r="K1830" i="2"/>
  <c r="U1830" i="2" s="1"/>
  <c r="K1829" i="2"/>
  <c r="U1829" i="2" s="1"/>
  <c r="K305" i="2"/>
  <c r="U305" i="2" s="1"/>
  <c r="K304" i="2"/>
  <c r="U304" i="2" s="1"/>
  <c r="K1732" i="2"/>
  <c r="U1732" i="2" s="1"/>
  <c r="K1731" i="2"/>
  <c r="U1731" i="2" s="1"/>
  <c r="K1955" i="2"/>
  <c r="U1955" i="2" s="1"/>
  <c r="K1954" i="2"/>
  <c r="U1954" i="2" s="1"/>
  <c r="K254" i="2"/>
  <c r="U254" i="2" s="1"/>
  <c r="K253" i="2"/>
  <c r="U253" i="2" s="1"/>
  <c r="K1808" i="2"/>
  <c r="U1808" i="2" s="1"/>
  <c r="K1807" i="2"/>
  <c r="U1807" i="2" s="1"/>
  <c r="K315" i="2"/>
  <c r="U315" i="2" s="1"/>
  <c r="K314" i="2"/>
  <c r="U314" i="2" s="1"/>
  <c r="K1753" i="2"/>
  <c r="U1753" i="2" s="1"/>
  <c r="K1754" i="2"/>
  <c r="U1754" i="2" s="1"/>
  <c r="K512" i="2"/>
  <c r="U512" i="2" s="1"/>
  <c r="K513" i="2"/>
  <c r="U513" i="2" s="1"/>
  <c r="K2005" i="2"/>
  <c r="U2005" i="2" s="1"/>
  <c r="K2004" i="2"/>
  <c r="U2004" i="2" s="1"/>
  <c r="K594" i="2"/>
  <c r="U594" i="2" s="1"/>
  <c r="K593" i="2"/>
  <c r="U593" i="2" s="1"/>
  <c r="K523" i="2"/>
  <c r="U523" i="2" s="1"/>
  <c r="K522" i="2"/>
  <c r="U522" i="2" s="1"/>
  <c r="K929" i="2"/>
  <c r="U929" i="2" s="1"/>
  <c r="K928" i="2"/>
  <c r="U928" i="2" s="1"/>
  <c r="K974" i="2"/>
  <c r="U974" i="2" s="1"/>
  <c r="K975" i="2"/>
  <c r="U975" i="2" s="1"/>
  <c r="K97" i="2"/>
  <c r="U97" i="2" s="1"/>
  <c r="K98" i="2"/>
  <c r="U98" i="2" s="1"/>
  <c r="K2085" i="2"/>
  <c r="U2085" i="2" s="1"/>
  <c r="K2084" i="2"/>
  <c r="U2084" i="2" s="1"/>
  <c r="K1663" i="2"/>
  <c r="U1663" i="2" s="1"/>
  <c r="K1664" i="2"/>
  <c r="U1664" i="2" s="1"/>
  <c r="K177" i="2"/>
  <c r="U177" i="2" s="1"/>
  <c r="K178" i="2"/>
  <c r="U178" i="2" s="1"/>
  <c r="K367" i="2"/>
  <c r="U367" i="2" s="1"/>
  <c r="K366" i="2"/>
  <c r="U366" i="2" s="1"/>
  <c r="K1640" i="2"/>
  <c r="U1640" i="2" s="1"/>
  <c r="K1639" i="2"/>
  <c r="U1639" i="2" s="1"/>
  <c r="K76" i="2"/>
  <c r="U76" i="2" s="1"/>
  <c r="K75" i="2"/>
  <c r="U75" i="2" s="1"/>
  <c r="K881" i="2"/>
  <c r="U881" i="2" s="1"/>
  <c r="K880" i="2"/>
  <c r="U880" i="2" s="1"/>
  <c r="K1656" i="2"/>
  <c r="U1656" i="2" s="1"/>
  <c r="K1655" i="2"/>
  <c r="U1655" i="2" s="1"/>
  <c r="K88" i="2"/>
  <c r="U88" i="2" s="1"/>
  <c r="K87" i="2"/>
  <c r="U87" i="2" s="1"/>
  <c r="K1721" i="2"/>
  <c r="U1721" i="2" s="1"/>
  <c r="K1722" i="2"/>
  <c r="U1722" i="2" s="1"/>
  <c r="K171" i="2"/>
  <c r="U171" i="2" s="1"/>
  <c r="K172" i="2"/>
  <c r="U172" i="2" s="1"/>
  <c r="K871" i="2"/>
  <c r="U871" i="2" s="1"/>
  <c r="K870" i="2"/>
  <c r="U870" i="2" s="1"/>
  <c r="K1923" i="2"/>
  <c r="U1923" i="2" s="1"/>
  <c r="K1922" i="2"/>
  <c r="U1922" i="2" s="1"/>
  <c r="K600" i="2"/>
  <c r="U600" i="2" s="1"/>
  <c r="K599" i="2"/>
  <c r="U599" i="2" s="1"/>
  <c r="K256" i="2"/>
  <c r="U256" i="2" s="1"/>
  <c r="K255" i="2"/>
  <c r="U255" i="2" s="1"/>
  <c r="K887" i="2"/>
  <c r="U887" i="2" s="1"/>
  <c r="K886" i="2"/>
  <c r="U886" i="2" s="1"/>
  <c r="K1666" i="2"/>
  <c r="U1666" i="2" s="1"/>
  <c r="K1665" i="2"/>
  <c r="U1665" i="2" s="1"/>
  <c r="K234" i="2"/>
  <c r="U234" i="2" s="1"/>
  <c r="K233" i="2"/>
  <c r="U233" i="2" s="1"/>
  <c r="K293" i="2"/>
  <c r="U293" i="2" s="1"/>
  <c r="K292" i="2"/>
  <c r="U292" i="2" s="1"/>
  <c r="K1882" i="2"/>
  <c r="U1882" i="2" s="1"/>
  <c r="T1860" i="2" s="1"/>
  <c r="K1883" i="2"/>
  <c r="U1883" i="2" s="1"/>
  <c r="K978" i="2"/>
  <c r="U978" i="2" s="1"/>
  <c r="K979" i="2"/>
  <c r="U979" i="2" s="1"/>
  <c r="K132" i="2"/>
  <c r="U132" i="2" s="1"/>
  <c r="K131" i="2"/>
  <c r="U131" i="2" s="1"/>
  <c r="K393" i="2"/>
  <c r="U393" i="2" s="1"/>
  <c r="K392" i="2"/>
  <c r="U392" i="2" s="1"/>
  <c r="K781" i="2"/>
  <c r="U781" i="2" s="1"/>
  <c r="K782" i="2"/>
  <c r="U782" i="2" s="1"/>
  <c r="K339" i="2"/>
  <c r="U339" i="2" s="1"/>
  <c r="K338" i="2"/>
  <c r="U338" i="2" s="1"/>
  <c r="K423" i="2"/>
  <c r="U423" i="2" s="1"/>
  <c r="K422" i="2"/>
  <c r="U422" i="2" s="1"/>
  <c r="K2057" i="2"/>
  <c r="U2057" i="2" s="1"/>
  <c r="K2056" i="2"/>
  <c r="U2056" i="2" s="1"/>
  <c r="K753" i="2"/>
  <c r="U753" i="2" s="1"/>
  <c r="K754" i="2"/>
  <c r="U754" i="2" s="1"/>
  <c r="K2067" i="2"/>
  <c r="U2067" i="2" s="1"/>
  <c r="K2066" i="2"/>
  <c r="U2066" i="2" s="1"/>
  <c r="K749" i="2"/>
  <c r="U749" i="2" s="1"/>
  <c r="K750" i="2"/>
  <c r="U750" i="2" s="1"/>
  <c r="K684" i="2"/>
  <c r="U684" i="2" s="1"/>
  <c r="K683" i="2"/>
  <c r="U683" i="2" s="1"/>
  <c r="K385" i="2"/>
  <c r="U385" i="2" s="1"/>
  <c r="K384" i="2"/>
  <c r="U384" i="2" s="1"/>
  <c r="K1775" i="2"/>
  <c r="U1775" i="2" s="1"/>
  <c r="K1776" i="2"/>
  <c r="U1776" i="2" s="1"/>
  <c r="K688" i="2"/>
  <c r="U688" i="2" s="1"/>
  <c r="K687" i="2"/>
  <c r="U687" i="2" s="1"/>
  <c r="K777" i="2"/>
  <c r="U777" i="2" s="1"/>
  <c r="K778" i="2"/>
  <c r="U778" i="2" s="1"/>
  <c r="K1736" i="2"/>
  <c r="U1736" i="2" s="1"/>
  <c r="K1735" i="2"/>
  <c r="U1735" i="2" s="1"/>
  <c r="K2083" i="2"/>
  <c r="U2083" i="2" s="1"/>
  <c r="K2082" i="2"/>
  <c r="U2082" i="2" s="1"/>
  <c r="K387" i="2"/>
  <c r="U387" i="2" s="1"/>
  <c r="K386" i="2"/>
  <c r="U386" i="2" s="1"/>
  <c r="K480" i="2"/>
  <c r="U480" i="2" s="1"/>
  <c r="K481" i="2"/>
  <c r="U481" i="2" s="1"/>
  <c r="K199" i="2"/>
  <c r="U199" i="2" s="1"/>
  <c r="K200" i="2"/>
  <c r="U200" i="2" s="1"/>
  <c r="K228" i="2"/>
  <c r="U228" i="2" s="1"/>
  <c r="K227" i="2"/>
  <c r="U227" i="2" s="1"/>
  <c r="K520" i="2"/>
  <c r="U520" i="2" s="1"/>
  <c r="K521" i="2"/>
  <c r="U521" i="2" s="1"/>
  <c r="K1857" i="2"/>
  <c r="U1857" i="2" s="1"/>
  <c r="K1856" i="2"/>
  <c r="U1856" i="2" s="1"/>
  <c r="K873" i="2"/>
  <c r="U873" i="2" s="1"/>
  <c r="K872" i="2"/>
  <c r="U872" i="2" s="1"/>
  <c r="K1047" i="2"/>
  <c r="U1047" i="2" s="1"/>
  <c r="K1046" i="2"/>
  <c r="U1046" i="2" s="1"/>
  <c r="K1801" i="2"/>
  <c r="U1801" i="2" s="1"/>
  <c r="K1802" i="2"/>
  <c r="U1802" i="2" s="1"/>
  <c r="K826" i="2"/>
  <c r="U826" i="2" s="1"/>
  <c r="K827" i="2"/>
  <c r="U827" i="2" s="1"/>
  <c r="K2051" i="2"/>
  <c r="U2051" i="2" s="1"/>
  <c r="K2050" i="2"/>
  <c r="U2050" i="2" s="1"/>
  <c r="K161" i="2"/>
  <c r="U161" i="2" s="1"/>
  <c r="K162" i="2"/>
  <c r="U162" i="2" s="1"/>
  <c r="K680" i="2"/>
  <c r="U680" i="2" s="1"/>
  <c r="K679" i="2"/>
  <c r="U679" i="2" s="1"/>
  <c r="K93" i="2"/>
  <c r="U93" i="2" s="1"/>
  <c r="K94" i="2"/>
  <c r="U94" i="2" s="1"/>
  <c r="K807" i="2"/>
  <c r="U807" i="2" s="1"/>
  <c r="K806" i="2"/>
  <c r="U806" i="2" s="1"/>
  <c r="K997" i="2"/>
  <c r="U997" i="2" s="1"/>
  <c r="K996" i="2"/>
  <c r="U996" i="2" s="1"/>
  <c r="K242" i="2"/>
  <c r="U242" i="2" s="1"/>
  <c r="K241" i="2"/>
  <c r="U241" i="2" s="1"/>
  <c r="K862" i="2"/>
  <c r="U862" i="2" s="1"/>
  <c r="K863" i="2"/>
  <c r="U863" i="2" s="1"/>
  <c r="K716" i="2"/>
  <c r="U716" i="2" s="1"/>
  <c r="K715" i="2"/>
  <c r="U715" i="2" s="1"/>
  <c r="K169" i="2"/>
  <c r="U169" i="2" s="1"/>
  <c r="K170" i="2"/>
  <c r="U170" i="2" s="1"/>
  <c r="K1682" i="2"/>
  <c r="U1682" i="2" s="1"/>
  <c r="K1681" i="2"/>
  <c r="U1681" i="2" s="1"/>
  <c r="K353" i="2"/>
  <c r="U353" i="2" s="1"/>
  <c r="K352" i="2"/>
  <c r="U352" i="2" s="1"/>
  <c r="K377" i="2"/>
  <c r="U377" i="2" s="1"/>
  <c r="K376" i="2"/>
  <c r="U376" i="2" s="1"/>
  <c r="K361" i="2"/>
  <c r="U361" i="2" s="1"/>
  <c r="K360" i="2"/>
  <c r="U360" i="2" s="1"/>
  <c r="K1051" i="2"/>
  <c r="U1051" i="2" s="1"/>
  <c r="K1050" i="2"/>
  <c r="U1050" i="2" s="1"/>
  <c r="K1789" i="2"/>
  <c r="U1789" i="2" s="1"/>
  <c r="K1790" i="2"/>
  <c r="U1790" i="2" s="1"/>
  <c r="K869" i="2"/>
  <c r="U869" i="2" s="1"/>
  <c r="K868" i="2"/>
  <c r="U868" i="2" s="1"/>
  <c r="K379" i="2"/>
  <c r="U379" i="2" s="1"/>
  <c r="K378" i="2"/>
  <c r="U378" i="2" s="1"/>
  <c r="K1599" i="2"/>
  <c r="U1599" i="2" s="1"/>
  <c r="K1600" i="2"/>
  <c r="U1600" i="2" s="1"/>
  <c r="K566" i="2"/>
  <c r="U566" i="2" s="1"/>
  <c r="K565" i="2"/>
  <c r="U565" i="2" s="1"/>
  <c r="K1690" i="2"/>
  <c r="U1690" i="2" s="1"/>
  <c r="K1689" i="2"/>
  <c r="U1689" i="2" s="1"/>
  <c r="K546" i="2"/>
  <c r="U546" i="2" s="1"/>
  <c r="K545" i="2"/>
  <c r="U545" i="2" s="1"/>
  <c r="K1967" i="2"/>
  <c r="U1967" i="2" s="1"/>
  <c r="K1966" i="2"/>
  <c r="U1966" i="2" s="1"/>
  <c r="K105" i="2"/>
  <c r="U105" i="2" s="1"/>
  <c r="K106" i="2"/>
  <c r="U106" i="2" s="1"/>
  <c r="K1921" i="2"/>
  <c r="U1921" i="2" s="1"/>
  <c r="K1920" i="2"/>
  <c r="U1920" i="2" s="1"/>
  <c r="K476" i="2"/>
  <c r="U476" i="2" s="1"/>
  <c r="K477" i="2"/>
  <c r="U477" i="2" s="1"/>
  <c r="K764" i="2"/>
  <c r="U764" i="2" s="1"/>
  <c r="K763" i="2"/>
  <c r="U763" i="2" s="1"/>
  <c r="K397" i="2"/>
  <c r="U397" i="2" s="1"/>
  <c r="K396" i="2"/>
  <c r="U396" i="2" s="1"/>
  <c r="K891" i="2"/>
  <c r="U891" i="2" s="1"/>
  <c r="K890" i="2"/>
  <c r="U890" i="2" s="1"/>
  <c r="K44" i="2"/>
  <c r="U44" i="2" s="1"/>
  <c r="K43" i="2"/>
  <c r="U43" i="2" s="1"/>
  <c r="K2041" i="2"/>
  <c r="U2041" i="2" s="1"/>
  <c r="K2040" i="2"/>
  <c r="U2040" i="2" s="1"/>
  <c r="K901" i="2"/>
  <c r="U901" i="2" s="1"/>
  <c r="K900" i="2"/>
  <c r="U900" i="2" s="1"/>
  <c r="K1610" i="2"/>
  <c r="U1610" i="2" s="1"/>
  <c r="K1609" i="2"/>
  <c r="U1609" i="2" s="1"/>
  <c r="K303" i="2"/>
  <c r="U303" i="2" s="1"/>
  <c r="K302" i="2"/>
  <c r="U302" i="2" s="1"/>
  <c r="K602" i="2"/>
  <c r="U602" i="2" s="1"/>
  <c r="K601" i="2"/>
  <c r="U601" i="2" s="1"/>
  <c r="K448" i="2"/>
  <c r="U448" i="2" s="1"/>
  <c r="K449" i="2"/>
  <c r="U449" i="2" s="1"/>
  <c r="K284" i="2"/>
  <c r="U284" i="2" s="1"/>
  <c r="K285" i="2"/>
  <c r="U285" i="2" s="1"/>
  <c r="K1734" i="2"/>
  <c r="U1734" i="2" s="1"/>
  <c r="K1733" i="2"/>
  <c r="U1733" i="2" s="1"/>
  <c r="K732" i="2"/>
  <c r="U732" i="2" s="1"/>
  <c r="K731" i="2"/>
  <c r="U731" i="2" s="1"/>
  <c r="K187" i="2"/>
  <c r="U187" i="2" s="1"/>
  <c r="K188" i="2"/>
  <c r="U188" i="2" s="1"/>
  <c r="K913" i="2"/>
  <c r="U913" i="2" s="1"/>
  <c r="K912" i="2"/>
  <c r="U912" i="2" s="1"/>
  <c r="K1963" i="2"/>
  <c r="U1963" i="2" s="1"/>
  <c r="K1962" i="2"/>
  <c r="U1962" i="2" s="1"/>
  <c r="K401" i="2"/>
  <c r="U401" i="2" s="1"/>
  <c r="K400" i="2"/>
  <c r="U400" i="2" s="1"/>
  <c r="K435" i="2"/>
  <c r="U435" i="2" s="1"/>
  <c r="K434" i="2"/>
  <c r="U434" i="2" s="1"/>
  <c r="K471" i="2"/>
  <c r="U471" i="2" s="1"/>
  <c r="K470" i="2"/>
  <c r="U470" i="2" s="1"/>
  <c r="K885" i="2"/>
  <c r="U885" i="2" s="1"/>
  <c r="K884" i="2"/>
  <c r="U884" i="2" s="1"/>
  <c r="K1780" i="2"/>
  <c r="U1780" i="2" s="1"/>
  <c r="K1779" i="2"/>
  <c r="U1779" i="2" s="1"/>
  <c r="K576" i="2"/>
  <c r="U576" i="2" s="1"/>
  <c r="K575" i="2"/>
  <c r="U575" i="2" s="1"/>
  <c r="K2087" i="2"/>
  <c r="U2087" i="2" s="1"/>
  <c r="K2086" i="2"/>
  <c r="U2086" i="2" s="1"/>
  <c r="K409" i="2"/>
  <c r="U409" i="2" s="1"/>
  <c r="K408" i="2"/>
  <c r="U408" i="2" s="1"/>
  <c r="K73" i="2"/>
  <c r="U73" i="2" s="1"/>
  <c r="K74" i="2"/>
  <c r="U74" i="2" s="1"/>
  <c r="K724" i="2"/>
  <c r="U724" i="2" s="1"/>
  <c r="K723" i="2"/>
  <c r="U723" i="2" s="1"/>
  <c r="K183" i="2"/>
  <c r="U183" i="2" s="1"/>
  <c r="K184" i="2"/>
  <c r="U184" i="2" s="1"/>
  <c r="K1890" i="2"/>
  <c r="U1890" i="2" s="1"/>
  <c r="K1891" i="2"/>
  <c r="U1891" i="2" s="1"/>
  <c r="K451" i="2"/>
  <c r="U451" i="2" s="1"/>
  <c r="K450" i="2"/>
  <c r="U450" i="2" s="1"/>
  <c r="K1692" i="2"/>
  <c r="U1692" i="2" s="1"/>
  <c r="K1691" i="2"/>
  <c r="U1691" i="2" s="1"/>
  <c r="K666" i="2"/>
  <c r="U666" i="2" s="1"/>
  <c r="K665" i="2"/>
  <c r="U665" i="2" s="1"/>
  <c r="K236" i="2"/>
  <c r="U236" i="2" s="1"/>
  <c r="K235" i="2"/>
  <c r="U235" i="2" s="1"/>
  <c r="K937" i="2"/>
  <c r="U937" i="2" s="1"/>
  <c r="K936" i="2"/>
  <c r="U936" i="2" s="1"/>
  <c r="K741" i="2"/>
  <c r="U741" i="2" s="1"/>
  <c r="K742" i="2"/>
  <c r="U742" i="2" s="1"/>
  <c r="K295" i="2"/>
  <c r="U295" i="2" s="1"/>
  <c r="K294" i="2"/>
  <c r="U294" i="2" s="1"/>
  <c r="K981" i="2"/>
  <c r="U981" i="2" s="1"/>
  <c r="K980" i="2"/>
  <c r="U980" i="2" s="1"/>
  <c r="S1290" i="2" l="1"/>
  <c r="S1370" i="2"/>
  <c r="T1920" i="2"/>
  <c r="S1258" i="2"/>
  <c r="S1305" i="2"/>
  <c r="S1361" i="2"/>
  <c r="S1369" i="2"/>
  <c r="T845" i="2"/>
  <c r="S1366" i="2"/>
  <c r="S1375" i="2"/>
  <c r="S1253" i="2"/>
  <c r="S1310" i="2"/>
  <c r="S1299" i="2"/>
  <c r="S1368" i="2"/>
  <c r="S1325" i="2"/>
  <c r="S1284" i="2"/>
  <c r="S1265" i="2"/>
  <c r="T1932" i="2"/>
  <c r="T1863" i="2"/>
  <c r="T833" i="2"/>
  <c r="T312" i="2"/>
  <c r="S1350" i="2"/>
  <c r="S1301" i="2"/>
  <c r="S1352" i="2"/>
  <c r="S1287" i="2"/>
  <c r="S1376" i="2"/>
  <c r="T358" i="2"/>
  <c r="S1346" i="2"/>
  <c r="S1264" i="2"/>
  <c r="T818" i="2"/>
  <c r="S1302" i="2"/>
  <c r="S1335" i="2"/>
  <c r="S1328" i="2"/>
  <c r="S1322" i="2"/>
  <c r="S1334" i="2"/>
  <c r="S1323" i="2"/>
  <c r="S1266" i="2"/>
  <c r="S1362" i="2"/>
  <c r="S1345" i="2"/>
  <c r="S1332" i="2"/>
  <c r="S1275" i="2"/>
  <c r="S1288" i="2"/>
  <c r="T1951" i="2"/>
  <c r="S1331" i="2"/>
  <c r="R1324" i="2" s="1"/>
  <c r="S1281" i="2"/>
  <c r="T1899" i="2"/>
  <c r="T1903" i="2"/>
  <c r="S1267" i="2"/>
  <c r="T716" i="2"/>
  <c r="T1859" i="2"/>
  <c r="T1891" i="2"/>
  <c r="S1278" i="2"/>
  <c r="S1329" i="2"/>
  <c r="S1315" i="2"/>
  <c r="S1324" i="2"/>
  <c r="S1377" i="2"/>
  <c r="T1714" i="2"/>
  <c r="S1371" i="2"/>
  <c r="R1344" i="2" s="1"/>
  <c r="S1373" i="2"/>
  <c r="S1312" i="2"/>
  <c r="R1314" i="2" s="1"/>
  <c r="S1342" i="2"/>
  <c r="T275" i="2"/>
  <c r="T1924" i="2"/>
  <c r="T1742" i="2"/>
  <c r="T265" i="2"/>
  <c r="T1929" i="2"/>
  <c r="T373" i="2"/>
  <c r="T772" i="2"/>
  <c r="S1321" i="2"/>
  <c r="S1339" i="2"/>
  <c r="S1296" i="2"/>
  <c r="S1333" i="2"/>
  <c r="S1297" i="2"/>
  <c r="S1365" i="2"/>
  <c r="S1343" i="2"/>
  <c r="S1261" i="2"/>
  <c r="S1378" i="2"/>
  <c r="T904" i="2"/>
  <c r="S1269" i="2"/>
  <c r="T727" i="2"/>
  <c r="T922" i="2"/>
  <c r="T383" i="2"/>
  <c r="T864" i="2"/>
  <c r="T298" i="2"/>
  <c r="T1799" i="2"/>
  <c r="T345" i="2"/>
  <c r="T1870" i="2"/>
  <c r="T1828" i="2"/>
  <c r="T893" i="2"/>
  <c r="T707" i="2"/>
  <c r="T154" i="2"/>
  <c r="T1770" i="2"/>
  <c r="T372" i="2"/>
  <c r="T349" i="2"/>
  <c r="T894" i="2"/>
  <c r="T1867" i="2"/>
  <c r="T830" i="2"/>
  <c r="T858" i="2"/>
  <c r="T860" i="2"/>
  <c r="S1300" i="2"/>
  <c r="T327" i="2"/>
  <c r="T255" i="2"/>
  <c r="T736" i="2"/>
  <c r="T883" i="2"/>
  <c r="T1857" i="2"/>
  <c r="T1893" i="2"/>
  <c r="T811" i="2"/>
  <c r="S1307" i="2"/>
  <c r="T911" i="2"/>
  <c r="T313" i="2"/>
  <c r="S1356" i="2"/>
  <c r="T278" i="2"/>
  <c r="T1781" i="2"/>
  <c r="T1955" i="2"/>
  <c r="T1798" i="2"/>
  <c r="S1364" i="2"/>
  <c r="S1308" i="2"/>
  <c r="S1298" i="2"/>
  <c r="T768" i="2"/>
  <c r="T819" i="2"/>
  <c r="T1727" i="2"/>
  <c r="S1314" i="2"/>
  <c r="R1315" i="2" s="1"/>
  <c r="S1374" i="2"/>
  <c r="S1340" i="2"/>
  <c r="R1329" i="2" s="1"/>
  <c r="T692" i="2"/>
  <c r="T192" i="2"/>
  <c r="S1355" i="2"/>
  <c r="R1336" i="2" s="1"/>
  <c r="T761" i="2"/>
  <c r="T1840" i="2"/>
  <c r="T862" i="2"/>
  <c r="T686" i="2"/>
  <c r="T738" i="2"/>
  <c r="S1286" i="2"/>
  <c r="S1337" i="2"/>
  <c r="T385" i="2"/>
  <c r="T381" i="2"/>
  <c r="T739" i="2"/>
  <c r="T834" i="2"/>
  <c r="T303" i="2"/>
  <c r="T1898" i="2"/>
  <c r="T1814" i="2"/>
  <c r="T1827" i="2"/>
  <c r="T1829" i="2"/>
  <c r="T1953" i="2"/>
  <c r="T1767" i="2"/>
  <c r="T369" i="2"/>
  <c r="T363" i="2"/>
  <c r="T1926" i="2"/>
  <c r="T1942" i="2"/>
  <c r="S1259" i="2"/>
  <c r="T350" i="2"/>
  <c r="T697" i="2"/>
  <c r="T165" i="2"/>
  <c r="T1743" i="2"/>
  <c r="T884" i="2"/>
  <c r="T1788" i="2"/>
  <c r="T782" i="2"/>
  <c r="T866" i="2"/>
  <c r="S1358" i="2"/>
  <c r="T1762" i="2"/>
  <c r="T1905" i="2"/>
  <c r="T222" i="2"/>
  <c r="T1806" i="2"/>
  <c r="T365" i="2"/>
  <c r="T304" i="2"/>
  <c r="T1792" i="2"/>
  <c r="T1710" i="2"/>
  <c r="T388" i="2"/>
  <c r="T859" i="2"/>
  <c r="T796" i="2"/>
  <c r="T920" i="2"/>
  <c r="T1830" i="2"/>
  <c r="T183" i="2"/>
  <c r="T880" i="2"/>
  <c r="T752" i="2"/>
  <c r="T1934" i="2"/>
  <c r="S1338" i="2"/>
  <c r="T1928" i="2"/>
  <c r="T1875" i="2"/>
  <c r="T718" i="2"/>
  <c r="T1927" i="2"/>
  <c r="T700" i="2"/>
  <c r="T850" i="2"/>
  <c r="T856" i="2"/>
  <c r="T1938" i="2"/>
  <c r="T1937" i="2"/>
  <c r="T712" i="2"/>
  <c r="T840" i="2"/>
  <c r="T279" i="2"/>
  <c r="T400" i="2"/>
  <c r="T1916" i="2"/>
  <c r="T1949" i="2"/>
  <c r="T742" i="2"/>
  <c r="S1279" i="2"/>
  <c r="T189" i="2"/>
  <c r="T1794" i="2"/>
  <c r="T1872" i="2"/>
  <c r="T305" i="2"/>
  <c r="T378" i="2"/>
  <c r="T1865" i="2"/>
  <c r="T387" i="2"/>
  <c r="T203" i="2"/>
  <c r="T220" i="2"/>
  <c r="T1769" i="2"/>
  <c r="T1804" i="2"/>
  <c r="T356" i="2"/>
  <c r="T786" i="2"/>
  <c r="S1293" i="2"/>
  <c r="T842" i="2"/>
  <c r="T806" i="2"/>
  <c r="T408" i="2"/>
  <c r="T1910" i="2"/>
  <c r="S1381" i="2"/>
  <c r="S1295" i="2"/>
  <c r="S1359" i="2"/>
  <c r="S1379" i="2"/>
  <c r="S1303" i="2"/>
  <c r="R1310" i="2" s="1"/>
  <c r="T322" i="2"/>
  <c r="T206" i="2"/>
  <c r="S1319" i="2"/>
  <c r="T671" i="2"/>
  <c r="T764" i="2"/>
  <c r="T1777" i="2"/>
  <c r="T1906" i="2"/>
  <c r="T1882" i="2"/>
  <c r="T272" i="2"/>
  <c r="S1320" i="2"/>
  <c r="S1292" i="2"/>
  <c r="T337" i="2"/>
  <c r="T202" i="2"/>
  <c r="S1255" i="2"/>
  <c r="T240" i="2"/>
  <c r="T1778" i="2"/>
  <c r="T751" i="2"/>
  <c r="T1713" i="2"/>
  <c r="T754" i="2"/>
  <c r="T155" i="2"/>
  <c r="T1712" i="2"/>
  <c r="T750" i="2"/>
  <c r="T1901" i="2"/>
  <c r="T927" i="2"/>
  <c r="T336" i="2"/>
  <c r="T870" i="2"/>
  <c r="S1282" i="2"/>
  <c r="S1257" i="2"/>
  <c r="T346" i="2"/>
  <c r="T757" i="2"/>
  <c r="T887" i="2"/>
  <c r="T227" i="2"/>
  <c r="T793" i="2"/>
  <c r="T854" i="2"/>
  <c r="T905" i="2"/>
  <c r="T296" i="2"/>
  <c r="T289" i="2"/>
  <c r="T364" i="2"/>
  <c r="T802" i="2"/>
  <c r="T1825" i="2"/>
  <c r="T282" i="2"/>
  <c r="T1850" i="2"/>
  <c r="S1262" i="2"/>
  <c r="T300" i="2"/>
  <c r="T878" i="2"/>
  <c r="T1774" i="2"/>
  <c r="T728" i="2"/>
  <c r="T1919" i="2"/>
  <c r="S1256" i="2"/>
  <c r="T377" i="2"/>
  <c r="T187" i="2"/>
  <c r="T855" i="2"/>
  <c r="T808" i="2"/>
  <c r="T169" i="2"/>
  <c r="T397" i="2"/>
  <c r="T406" i="2"/>
  <c r="T725" i="2"/>
  <c r="T1936" i="2"/>
  <c r="T677" i="2"/>
  <c r="T1945" i="2"/>
  <c r="T210" i="2"/>
  <c r="T393" i="2"/>
  <c r="T762" i="2"/>
  <c r="S780" i="2" s="1"/>
  <c r="T769" i="2"/>
  <c r="T755" i="2"/>
  <c r="T1771" i="2"/>
  <c r="T822" i="2"/>
  <c r="T1808" i="2"/>
  <c r="T284" i="2"/>
  <c r="T348" i="2"/>
  <c r="S1271" i="2"/>
  <c r="T743" i="2"/>
  <c r="T774" i="2"/>
  <c r="T1896" i="2"/>
  <c r="T852" i="2"/>
  <c r="T216" i="2"/>
  <c r="T1897" i="2"/>
  <c r="T1730" i="2"/>
  <c r="T328" i="2"/>
  <c r="T709" i="2"/>
  <c r="T766" i="2"/>
  <c r="T756" i="2"/>
  <c r="T861" i="2"/>
  <c r="T871" i="2"/>
  <c r="T828" i="2"/>
  <c r="T321" i="2"/>
  <c r="T734" i="2"/>
  <c r="S1363" i="2"/>
  <c r="S1280" i="2"/>
  <c r="S1289" i="2"/>
  <c r="S1283" i="2"/>
  <c r="T330" i="2"/>
  <c r="T221" i="2"/>
  <c r="T1783" i="2"/>
  <c r="T212" i="2"/>
  <c r="T715" i="2"/>
  <c r="T1925" i="2"/>
  <c r="T194" i="2"/>
  <c r="T316" i="2"/>
  <c r="T903" i="2"/>
  <c r="T204" i="2"/>
  <c r="S1277" i="2"/>
  <c r="S1273" i="2"/>
  <c r="S1336" i="2"/>
  <c r="S1263" i="2"/>
  <c r="T1879" i="2"/>
  <c r="T835" i="2"/>
  <c r="T403" i="2"/>
  <c r="T914" i="2"/>
  <c r="T323" i="2"/>
  <c r="T680" i="2"/>
  <c r="T170" i="2"/>
  <c r="T1853" i="2"/>
  <c r="T182" i="2"/>
  <c r="T898" i="2"/>
  <c r="T1791" i="2"/>
  <c r="T897" i="2"/>
  <c r="T291" i="2"/>
  <c r="T200" i="2"/>
  <c r="T249" i="2"/>
  <c r="T868" i="2"/>
  <c r="T775" i="2"/>
  <c r="T1786" i="2"/>
  <c r="T724" i="2"/>
  <c r="T710" i="2"/>
  <c r="S1309" i="2"/>
  <c r="T254" i="2"/>
  <c r="T374" i="2"/>
  <c r="T1815" i="2"/>
  <c r="T239" i="2"/>
  <c r="T1868" i="2"/>
  <c r="T691" i="2"/>
  <c r="T1940" i="2"/>
  <c r="T909" i="2"/>
  <c r="T1856" i="2"/>
  <c r="T875" i="2"/>
  <c r="T205" i="2"/>
  <c r="T360" i="2"/>
  <c r="T302" i="2"/>
  <c r="T673" i="2"/>
  <c r="T357" i="2"/>
  <c r="S319" i="2" s="1"/>
  <c r="T376" i="2"/>
  <c r="T1958" i="2"/>
  <c r="T679" i="2"/>
  <c r="T250" i="2"/>
  <c r="T684" i="2"/>
  <c r="T341" i="2"/>
  <c r="T708" i="2"/>
  <c r="T1715" i="2"/>
  <c r="T317" i="2"/>
  <c r="T711" i="2"/>
  <c r="T825" i="2"/>
  <c r="S812" i="2" s="1"/>
  <c r="T838" i="2"/>
  <c r="T681" i="2"/>
  <c r="T919" i="2"/>
  <c r="T1800" i="2"/>
  <c r="S1817" i="2" s="1"/>
  <c r="T159" i="2"/>
  <c r="T1855" i="2"/>
  <c r="T731" i="2"/>
  <c r="S1276" i="2"/>
  <c r="S1316" i="2"/>
  <c r="T770" i="2"/>
  <c r="T167" i="2"/>
  <c r="T781" i="2"/>
  <c r="T311" i="2"/>
  <c r="T890" i="2"/>
  <c r="T1921" i="2"/>
  <c r="T1753" i="2"/>
  <c r="T1858" i="2"/>
  <c r="T1917" i="2"/>
  <c r="S1357" i="2"/>
  <c r="T368" i="2"/>
  <c r="T1957" i="2"/>
  <c r="T1837" i="2"/>
  <c r="T354" i="2"/>
  <c r="T1811" i="2"/>
  <c r="S1272" i="2"/>
  <c r="S1327" i="2"/>
  <c r="S1349" i="2"/>
  <c r="T678" i="2"/>
  <c r="T1722" i="2"/>
  <c r="T162" i="2"/>
  <c r="T334" i="2"/>
  <c r="T178" i="2"/>
  <c r="T689" i="2"/>
  <c r="T295" i="2"/>
  <c r="T320" i="2"/>
  <c r="T675" i="2"/>
  <c r="T1738" i="2"/>
  <c r="T753" i="2"/>
  <c r="T160" i="2"/>
  <c r="T310" i="2"/>
  <c r="T297" i="2"/>
  <c r="T1911" i="2"/>
  <c r="T921" i="2"/>
  <c r="T1723" i="2"/>
  <c r="S1326" i="2"/>
  <c r="S1351" i="2"/>
  <c r="S1318" i="2"/>
  <c r="T740" i="2"/>
  <c r="T688" i="2"/>
  <c r="T315" i="2"/>
  <c r="T1881" i="2"/>
  <c r="T694" i="2"/>
  <c r="S1254" i="2"/>
  <c r="T1719" i="2"/>
  <c r="T732" i="2"/>
  <c r="S765" i="2" s="1"/>
  <c r="T234" i="2"/>
  <c r="T366" i="2"/>
  <c r="T851" i="2"/>
  <c r="T846" i="2"/>
  <c r="T1758" i="2"/>
  <c r="T261" i="2"/>
  <c r="T741" i="2"/>
  <c r="T790" i="2"/>
  <c r="T847" i="2"/>
  <c r="T1943" i="2"/>
  <c r="T815" i="2"/>
  <c r="T713" i="2"/>
  <c r="T1734" i="2"/>
  <c r="T1895" i="2"/>
  <c r="T737" i="2"/>
  <c r="T1796" i="2"/>
  <c r="T198" i="2"/>
  <c r="T745" i="2"/>
  <c r="T703" i="2"/>
  <c r="T872" i="2"/>
  <c r="T676" i="2"/>
  <c r="T389" i="2"/>
  <c r="T362" i="2"/>
  <c r="T307" i="2"/>
  <c r="S294" i="2" s="1"/>
  <c r="T881" i="2"/>
  <c r="T826" i="2"/>
  <c r="T379" i="2"/>
  <c r="T333" i="2"/>
  <c r="T174" i="2"/>
  <c r="T1877" i="2"/>
  <c r="T773" i="2"/>
  <c r="T720" i="2"/>
  <c r="S1372" i="2"/>
  <c r="S1285" i="2"/>
  <c r="S1294" i="2"/>
  <c r="T805" i="2"/>
  <c r="T1876" i="2"/>
  <c r="S1268" i="2"/>
  <c r="T843" i="2"/>
  <c r="T1902" i="2"/>
  <c r="T682" i="2"/>
  <c r="T225" i="2"/>
  <c r="T257" i="2"/>
  <c r="T699" i="2"/>
  <c r="T339" i="2"/>
  <c r="T171" i="2"/>
  <c r="T923" i="2"/>
  <c r="T723" i="2"/>
  <c r="T889" i="2"/>
  <c r="T1849" i="2"/>
  <c r="T217" i="2"/>
  <c r="T256" i="2"/>
  <c r="T1854" i="2"/>
  <c r="T179" i="2"/>
  <c r="T695" i="2"/>
  <c r="T263" i="2"/>
  <c r="T251" i="2"/>
  <c r="T180" i="2"/>
  <c r="T1841" i="2"/>
  <c r="T175" i="2"/>
  <c r="T763" i="2"/>
  <c r="T173" i="2"/>
  <c r="T784" i="2"/>
  <c r="T759" i="2"/>
  <c r="T701" i="2"/>
  <c r="T1866" i="2"/>
  <c r="T791" i="2"/>
  <c r="T242" i="2"/>
  <c r="T199" i="2"/>
  <c r="T721" i="2"/>
  <c r="T1775" i="2"/>
  <c r="T247" i="2"/>
  <c r="T792" i="2"/>
  <c r="T1838" i="2"/>
  <c r="T1862" i="2"/>
  <c r="S1849" i="2" s="1"/>
  <c r="T1869" i="2"/>
  <c r="T1913" i="2"/>
  <c r="T863" i="2"/>
  <c r="T404" i="2"/>
  <c r="T399" i="2"/>
  <c r="T1847" i="2"/>
  <c r="T760" i="2"/>
  <c r="T248" i="2"/>
  <c r="T801" i="2"/>
  <c r="T719" i="2"/>
  <c r="T1888" i="2"/>
  <c r="T1914" i="2"/>
  <c r="T1744" i="2"/>
  <c r="S1306" i="2"/>
  <c r="T193" i="2"/>
  <c r="T813" i="2"/>
  <c r="T800" i="2"/>
  <c r="T181" i="2"/>
  <c r="T900" i="2"/>
  <c r="T869" i="2"/>
  <c r="T367" i="2"/>
  <c r="T765" i="2"/>
  <c r="T926" i="2"/>
  <c r="T803" i="2"/>
  <c r="T924" i="2"/>
  <c r="T229" i="2"/>
  <c r="T888" i="2"/>
  <c r="T1757" i="2"/>
  <c r="T706" i="2"/>
  <c r="T767" i="2"/>
  <c r="T197" i="2"/>
  <c r="T352" i="2"/>
  <c r="T1822" i="2"/>
  <c r="T396" i="2"/>
  <c r="T1842" i="2"/>
  <c r="T1740" i="2"/>
  <c r="T787" i="2"/>
  <c r="T253" i="2"/>
  <c r="T729" i="2"/>
  <c r="T244" i="2"/>
  <c r="T915" i="2"/>
  <c r="T361" i="2"/>
  <c r="T1716" i="2"/>
  <c r="T395" i="2"/>
  <c r="T848" i="2"/>
  <c r="T172" i="2"/>
  <c r="T917" i="2"/>
  <c r="T1946" i="2"/>
  <c r="T391" i="2"/>
  <c r="T219" i="2"/>
  <c r="T1834" i="2"/>
  <c r="T370" i="2"/>
  <c r="T1817" i="2"/>
  <c r="T260" i="2"/>
  <c r="T371" i="2"/>
  <c r="T329" i="2"/>
  <c r="T771" i="2"/>
  <c r="T1795" i="2"/>
  <c r="T789" i="2"/>
  <c r="T1766" i="2"/>
  <c r="T259" i="2"/>
  <c r="T807" i="2"/>
  <c r="T1790" i="2"/>
  <c r="T230" i="2"/>
  <c r="T1954" i="2"/>
  <c r="T1768" i="2"/>
  <c r="T283" i="2"/>
  <c r="T237" i="2"/>
  <c r="T215" i="2"/>
  <c r="T1718" i="2"/>
  <c r="T258" i="2"/>
  <c r="T1784" i="2"/>
  <c r="T331" i="2"/>
  <c r="T1944" i="2"/>
  <c r="T1805" i="2"/>
  <c r="T184" i="2"/>
  <c r="T1749" i="2"/>
  <c r="T401" i="2"/>
  <c r="T704" i="2"/>
  <c r="T902" i="2"/>
  <c r="T407" i="2"/>
  <c r="T873" i="2"/>
  <c r="T780" i="2"/>
  <c r="T726" i="2"/>
  <c r="T390" i="2"/>
  <c r="T1884" i="2"/>
  <c r="T820" i="2"/>
  <c r="T1787" i="2"/>
  <c r="T1765" i="2"/>
  <c r="T195" i="2"/>
  <c r="T1751" i="2"/>
  <c r="T798" i="2"/>
  <c r="T209" i="2"/>
  <c r="T1923" i="2"/>
  <c r="T1752" i="2"/>
  <c r="T821" i="2"/>
  <c r="T1709" i="2"/>
  <c r="S1274" i="2"/>
  <c r="S1344" i="2"/>
  <c r="T685" i="2"/>
  <c r="T157" i="2"/>
  <c r="T812" i="2"/>
  <c r="T1807" i="2"/>
  <c r="T359" i="2"/>
  <c r="T857" i="2"/>
  <c r="T1737" i="2"/>
  <c r="T1821" i="2"/>
  <c r="T1735" i="2"/>
  <c r="T344" i="2"/>
  <c r="T1873" i="2"/>
  <c r="T186" i="2"/>
  <c r="T895" i="2"/>
  <c r="T1755" i="2"/>
  <c r="T906" i="2"/>
  <c r="T1963" i="2"/>
  <c r="T674" i="2"/>
  <c r="T823" i="2"/>
  <c r="T1776" i="2"/>
  <c r="T274" i="2"/>
  <c r="T1843" i="2"/>
  <c r="T1754" i="2"/>
  <c r="T355" i="2"/>
  <c r="T1886" i="2"/>
  <c r="T910" i="2"/>
  <c r="T176" i="2"/>
  <c r="T1820" i="2"/>
  <c r="T1773" i="2"/>
  <c r="T280" i="2"/>
  <c r="T908" i="2"/>
  <c r="T1845" i="2"/>
  <c r="T196" i="2"/>
  <c r="T892" i="2"/>
  <c r="T1764" i="2"/>
  <c r="T1741" i="2"/>
  <c r="T1833" i="2"/>
  <c r="T1819" i="2"/>
  <c r="T1725" i="2"/>
  <c r="T1878" i="2"/>
  <c r="T1844" i="2"/>
  <c r="T1756" i="2"/>
  <c r="S1260" i="2"/>
  <c r="S1360" i="2"/>
  <c r="S1380" i="2"/>
  <c r="S1270" i="2"/>
  <c r="T1846" i="2"/>
  <c r="T338" i="2"/>
  <c r="T844" i="2"/>
  <c r="T243" i="2"/>
  <c r="T1885" i="2"/>
  <c r="T1748" i="2"/>
  <c r="T1772" i="2"/>
  <c r="T228" i="2"/>
  <c r="T925" i="2"/>
  <c r="T817" i="2"/>
  <c r="T733" i="2"/>
  <c r="T238" i="2"/>
  <c r="S259" i="2" s="1"/>
  <c r="T398" i="2"/>
  <c r="T874" i="2"/>
  <c r="T207" i="2"/>
  <c r="T693" i="2"/>
  <c r="T1918" i="2"/>
  <c r="T1810" i="2"/>
  <c r="T1864" i="2"/>
  <c r="T832" i="2"/>
  <c r="T776" i="2"/>
  <c r="T918" i="2"/>
  <c r="T266" i="2"/>
  <c r="T1726" i="2"/>
  <c r="T746" i="2"/>
  <c r="T177" i="2"/>
  <c r="T288" i="2"/>
  <c r="T1960" i="2"/>
  <c r="T1880" i="2"/>
  <c r="T1809" i="2"/>
  <c r="T877" i="2"/>
  <c r="T405" i="2"/>
  <c r="T269" i="2"/>
  <c r="T252" i="2"/>
  <c r="T324" i="2"/>
  <c r="T1852" i="2"/>
  <c r="T1851" i="2"/>
  <c r="T319" i="2"/>
  <c r="T1907" i="2"/>
  <c r="T208" i="2"/>
  <c r="T730" i="2"/>
  <c r="T301" i="2"/>
  <c r="T1930" i="2"/>
  <c r="T1956" i="2"/>
  <c r="T326" i="2"/>
  <c r="T1736" i="2"/>
  <c r="T1831" i="2"/>
  <c r="T867" i="2"/>
  <c r="T839" i="2"/>
  <c r="T1861" i="2"/>
  <c r="S1848" i="2" s="1"/>
  <c r="T690" i="2"/>
  <c r="T749" i="2"/>
  <c r="S774" i="2" s="1"/>
  <c r="T384" i="2"/>
  <c r="T1826" i="2"/>
  <c r="T1887" i="2"/>
  <c r="T164" i="2"/>
  <c r="T276" i="2"/>
  <c r="T332" i="2"/>
  <c r="T214" i="2"/>
  <c r="T1707" i="2"/>
  <c r="T166" i="2"/>
  <c r="T777" i="2"/>
  <c r="T262" i="2"/>
  <c r="T758" i="2"/>
  <c r="T1836" i="2"/>
  <c r="T714" i="2"/>
  <c r="T683" i="2"/>
  <c r="T795" i="2"/>
  <c r="T1782" i="2"/>
  <c r="T233" i="2"/>
  <c r="T717" i="2"/>
  <c r="T778" i="2"/>
  <c r="T886" i="2"/>
  <c r="T1931" i="2"/>
  <c r="T891" i="2"/>
  <c r="T232" i="2"/>
  <c r="T342" i="2"/>
  <c r="T292" i="2"/>
  <c r="T1939" i="2"/>
  <c r="T380" i="2"/>
  <c r="T1812" i="2"/>
  <c r="T1818" i="2"/>
  <c r="T1785" i="2"/>
  <c r="T1947" i="2"/>
  <c r="T287" i="2"/>
  <c r="T268" i="2"/>
  <c r="T836" i="2"/>
  <c r="T696" i="2"/>
  <c r="T267" i="2"/>
  <c r="T293" i="2"/>
  <c r="T1732" i="2"/>
  <c r="T273" i="2"/>
  <c r="T779" i="2"/>
  <c r="T816" i="2"/>
  <c r="T885" i="2"/>
  <c r="T1933" i="2"/>
  <c r="T747" i="2"/>
  <c r="T294" i="2"/>
  <c r="T882" i="2"/>
  <c r="T1848" i="2"/>
  <c r="T809" i="2"/>
  <c r="T1733" i="2"/>
  <c r="T907" i="2"/>
  <c r="T831" i="2"/>
  <c r="T785" i="2"/>
  <c r="T163" i="2"/>
  <c r="T153" i="2"/>
  <c r="T794" i="2"/>
  <c r="T827" i="2"/>
  <c r="T1724" i="2"/>
  <c r="T235" i="2"/>
  <c r="T804" i="2"/>
  <c r="T1801" i="2"/>
  <c r="T1739" i="2"/>
  <c r="T156" i="2"/>
  <c r="T286" i="2"/>
  <c r="T1729" i="2"/>
  <c r="T1747" i="2"/>
  <c r="T698" i="2"/>
  <c r="T236" i="2"/>
  <c r="T231" i="2"/>
  <c r="T1760" i="2"/>
  <c r="T1763" i="2"/>
  <c r="T1962" i="2"/>
  <c r="T340" i="2"/>
  <c r="T672" i="2"/>
  <c r="T1717" i="2"/>
  <c r="T402" i="2"/>
  <c r="T1832" i="2"/>
  <c r="T1871" i="2"/>
  <c r="T271" i="2"/>
  <c r="T735" i="2"/>
  <c r="T1731" i="2"/>
  <c r="T849" i="2"/>
  <c r="T916" i="2"/>
  <c r="T1780" i="2"/>
  <c r="T392" i="2"/>
  <c r="T314" i="2"/>
  <c r="T1802" i="2"/>
  <c r="T1935" i="2"/>
  <c r="T1728" i="2"/>
  <c r="T797" i="2"/>
  <c r="T375" i="2"/>
  <c r="T1950" i="2"/>
  <c r="T409" i="2"/>
  <c r="T347" i="2"/>
  <c r="S1353" i="2"/>
  <c r="T191" i="2"/>
  <c r="T722" i="2"/>
  <c r="T213" i="2"/>
  <c r="T1889" i="2"/>
  <c r="T1789" i="2"/>
  <c r="T896" i="2"/>
  <c r="T1779" i="2"/>
  <c r="T246" i="2"/>
  <c r="T161" i="2"/>
  <c r="T285" i="2"/>
  <c r="T241" i="2"/>
  <c r="T1839" i="2"/>
  <c r="T1803" i="2"/>
  <c r="S1348" i="2"/>
  <c r="S1347" i="2"/>
  <c r="T1900" i="2"/>
  <c r="T318" i="2"/>
  <c r="T899" i="2"/>
  <c r="T382" i="2"/>
  <c r="T788" i="2"/>
  <c r="T1952" i="2"/>
  <c r="T353" i="2"/>
  <c r="T1745" i="2"/>
  <c r="T299" i="2"/>
  <c r="T290" i="2"/>
  <c r="T1874" i="2"/>
  <c r="T188" i="2"/>
  <c r="T1959" i="2"/>
  <c r="T1904" i="2"/>
  <c r="T810" i="2"/>
  <c r="T308" i="2"/>
  <c r="T1746" i="2"/>
  <c r="T705" i="2"/>
  <c r="T1941" i="2"/>
  <c r="T270" i="2"/>
  <c r="T1708" i="2"/>
  <c r="T223" i="2"/>
  <c r="T1711" i="2"/>
  <c r="T1908" i="2"/>
  <c r="T1813" i="2"/>
  <c r="T394" i="2"/>
  <c r="T876" i="2"/>
  <c r="T783" i="2"/>
  <c r="T1797" i="2"/>
  <c r="T1721" i="2"/>
  <c r="T1761" i="2"/>
  <c r="T343" i="2"/>
  <c r="T1824" i="2"/>
  <c r="T1759" i="2"/>
  <c r="T224" i="2"/>
  <c r="T687" i="2"/>
  <c r="T837" i="2"/>
  <c r="T335" i="2"/>
  <c r="T1750" i="2"/>
  <c r="T226" i="2"/>
  <c r="T841" i="2"/>
  <c r="T325" i="2"/>
  <c r="T1961" i="2"/>
  <c r="T865" i="2"/>
  <c r="T211" i="2"/>
  <c r="T264" i="2"/>
  <c r="T309" i="2"/>
  <c r="T1883" i="2"/>
  <c r="T1892" i="2"/>
  <c r="T1720" i="2"/>
  <c r="T912" i="2"/>
  <c r="T814" i="2"/>
  <c r="T386" i="2"/>
  <c r="T277" i="2"/>
  <c r="T190" i="2"/>
  <c r="T158" i="2"/>
  <c r="T1894" i="2"/>
  <c r="T351" i="2"/>
  <c r="S316" i="2" s="1"/>
  <c r="T702" i="2"/>
  <c r="T168" i="2"/>
  <c r="T1816" i="2"/>
  <c r="T218" i="2"/>
  <c r="T913" i="2"/>
  <c r="T1909" i="2"/>
  <c r="T1922" i="2"/>
  <c r="T1823" i="2"/>
  <c r="T901" i="2"/>
  <c r="T201" i="2"/>
  <c r="T853" i="2"/>
  <c r="T1912" i="2"/>
  <c r="T829" i="2"/>
  <c r="T744" i="2"/>
  <c r="T1890" i="2"/>
  <c r="T1948" i="2"/>
  <c r="T245" i="2"/>
  <c r="T1793" i="2"/>
  <c r="T748" i="2"/>
  <c r="T185" i="2"/>
  <c r="S1291" i="2"/>
  <c r="S1367" i="2"/>
  <c r="T879" i="2" a="1"/>
  <c r="T879" i="2" s="1"/>
  <c r="T1915" i="2" a="1"/>
  <c r="T1915" i="2" s="1"/>
  <c r="R1303" i="2" l="1"/>
  <c r="R1338" i="2"/>
  <c r="S792" i="2"/>
  <c r="R1321" i="2"/>
  <c r="R1339" i="2"/>
  <c r="S1878" i="2"/>
  <c r="R1335" i="2"/>
  <c r="S822" i="2"/>
  <c r="R1300" i="2"/>
  <c r="R1287" i="2"/>
  <c r="S304" i="2"/>
  <c r="S855" i="2"/>
  <c r="S1772" i="2"/>
  <c r="S1884" i="2"/>
  <c r="S1895" i="2"/>
  <c r="R1301" i="2"/>
  <c r="R1311" i="2"/>
  <c r="R1299" i="2"/>
  <c r="R1308" i="2"/>
  <c r="S1799" i="2"/>
  <c r="R1346" i="2"/>
  <c r="S778" i="2"/>
  <c r="R1342" i="2"/>
  <c r="S1859" i="2"/>
  <c r="S330" i="2"/>
  <c r="S825" i="2"/>
  <c r="R1319" i="2"/>
  <c r="R1290" i="2"/>
  <c r="R1348" i="2"/>
  <c r="R1343" i="2"/>
  <c r="R1320" i="2"/>
  <c r="S297" i="2"/>
  <c r="R1316" i="2"/>
  <c r="Q1316" i="2" s="1"/>
  <c r="R1334" i="2"/>
  <c r="S834" i="2"/>
  <c r="S1820" i="2"/>
  <c r="R1285" i="2"/>
  <c r="S758" i="2"/>
  <c r="S224" i="2"/>
  <c r="R1332" i="2"/>
  <c r="S768" i="2"/>
  <c r="R1313" i="2"/>
  <c r="Q1315" i="2" s="1"/>
  <c r="S283" i="2"/>
  <c r="S804" i="2"/>
  <c r="S245" i="2"/>
  <c r="R1291" i="2"/>
  <c r="R1309" i="2"/>
  <c r="Q1313" i="2" s="1"/>
  <c r="S1805" i="2"/>
  <c r="S225" i="2"/>
  <c r="S1875" i="2"/>
  <c r="S1868" i="2"/>
  <c r="S290" i="2"/>
  <c r="S816" i="2"/>
  <c r="S235" i="2"/>
  <c r="S345" i="2"/>
  <c r="S266" i="2"/>
  <c r="S755" i="2"/>
  <c r="S250" i="2"/>
  <c r="S786" i="2"/>
  <c r="S322" i="2"/>
  <c r="S329" i="2"/>
  <c r="R1297" i="2"/>
  <c r="S1774" i="2"/>
  <c r="R1296" i="2"/>
  <c r="R1323" i="2"/>
  <c r="R1302" i="2"/>
  <c r="S1825" i="2"/>
  <c r="S257" i="2"/>
  <c r="S1803" i="2"/>
  <c r="S842" i="2"/>
  <c r="S1855" i="2"/>
  <c r="S239" i="2"/>
  <c r="S860" i="2"/>
  <c r="S835" i="2"/>
  <c r="S750" i="2"/>
  <c r="S782" i="2"/>
  <c r="S1881" i="2"/>
  <c r="S846" i="2"/>
  <c r="S1798" i="2"/>
  <c r="S331" i="2"/>
  <c r="R1307" i="2"/>
  <c r="S1894" i="2"/>
  <c r="S852" i="2"/>
  <c r="S273" i="2"/>
  <c r="S815" i="2"/>
  <c r="S1782" i="2"/>
  <c r="S1808" i="2"/>
  <c r="R1330" i="2"/>
  <c r="R1326" i="2"/>
  <c r="S335" i="2"/>
  <c r="S861" i="2"/>
  <c r="S320" i="2"/>
  <c r="S277" i="2"/>
  <c r="S837" i="2"/>
  <c r="S340" i="2"/>
  <c r="R1347" i="2"/>
  <c r="S308" i="2"/>
  <c r="S1893" i="2"/>
  <c r="S318" i="2"/>
  <c r="R300" i="2" s="1"/>
  <c r="S751" i="2"/>
  <c r="S740" i="2"/>
  <c r="S827" i="2"/>
  <c r="S1867" i="2"/>
  <c r="S809" i="2"/>
  <c r="S233" i="2"/>
  <c r="S272" i="2"/>
  <c r="S1897" i="2"/>
  <c r="S328" i="2"/>
  <c r="S323" i="2"/>
  <c r="S1811" i="2"/>
  <c r="S1824" i="2"/>
  <c r="R1340" i="2"/>
  <c r="R1328" i="2"/>
  <c r="Q1323" i="2" s="1"/>
  <c r="S313" i="2"/>
  <c r="S315" i="2"/>
  <c r="S278" i="2"/>
  <c r="R1331" i="2"/>
  <c r="S268" i="2"/>
  <c r="S745" i="2"/>
  <c r="S840" i="2"/>
  <c r="S1832" i="2"/>
  <c r="R1325" i="2"/>
  <c r="Q1321" i="2" s="1"/>
  <c r="S849" i="2"/>
  <c r="S833" i="2"/>
  <c r="S1890" i="2"/>
  <c r="S749" i="2"/>
  <c r="S1813" i="2"/>
  <c r="S1851" i="2"/>
  <c r="S218" i="2"/>
  <c r="S839" i="2"/>
  <c r="S314" i="2"/>
  <c r="S298" i="2"/>
  <c r="S333" i="2"/>
  <c r="S1821" i="2"/>
  <c r="S1773" i="2"/>
  <c r="S1833" i="2"/>
  <c r="S841" i="2"/>
  <c r="S1810" i="2"/>
  <c r="S741" i="2"/>
  <c r="S1788" i="2"/>
  <c r="S341" i="2"/>
  <c r="S279" i="2"/>
  <c r="R1288" i="2"/>
  <c r="R1312" i="2"/>
  <c r="S285" i="2"/>
  <c r="R1292" i="2"/>
  <c r="S220" i="2"/>
  <c r="S1806" i="2"/>
  <c r="S327" i="2"/>
  <c r="S826" i="2"/>
  <c r="S241" i="2"/>
  <c r="S807" i="2"/>
  <c r="S781" i="2"/>
  <c r="S763" i="2"/>
  <c r="S256" i="2"/>
  <c r="S1869" i="2"/>
  <c r="S1846" i="2"/>
  <c r="R1286" i="2"/>
  <c r="S775" i="2"/>
  <c r="S226" i="2"/>
  <c r="S769" i="2"/>
  <c r="S303" i="2"/>
  <c r="S343" i="2"/>
  <c r="S844" i="2"/>
  <c r="S264" i="2"/>
  <c r="S1865" i="2"/>
  <c r="S1864" i="2"/>
  <c r="S286" i="2"/>
  <c r="S1885" i="2"/>
  <c r="S845" i="2"/>
  <c r="S803" i="2"/>
  <c r="R1298" i="2"/>
  <c r="S1886" i="2"/>
  <c r="S1882" i="2"/>
  <c r="R1341" i="2"/>
  <c r="S785" i="2"/>
  <c r="S753" i="2"/>
  <c r="S1778" i="2"/>
  <c r="S217" i="2"/>
  <c r="S854" i="2"/>
  <c r="R827" i="2" s="1"/>
  <c r="S828" i="2"/>
  <c r="S1775" i="2"/>
  <c r="S301" i="2"/>
  <c r="S1787" i="2"/>
  <c r="S1809" i="2"/>
  <c r="S832" i="2"/>
  <c r="S843" i="2"/>
  <c r="S1847" i="2"/>
  <c r="S260" i="2"/>
  <c r="R270" i="2" s="1"/>
  <c r="R1306" i="2"/>
  <c r="S1880" i="2"/>
  <c r="S1892" i="2"/>
  <c r="S332" i="2"/>
  <c r="S801" i="2"/>
  <c r="R1345" i="2"/>
  <c r="Q1331" i="2" s="1"/>
  <c r="S1863" i="2"/>
  <c r="S1888" i="2"/>
  <c r="S1781" i="2"/>
  <c r="S748" i="2"/>
  <c r="S853" i="2"/>
  <c r="S1887" i="2"/>
  <c r="S271" i="2"/>
  <c r="S336" i="2"/>
  <c r="S1872" i="2"/>
  <c r="S236" i="2"/>
  <c r="S767" i="2"/>
  <c r="S1784" i="2"/>
  <c r="S1871" i="2"/>
  <c r="S1850" i="2"/>
  <c r="S1804" i="2"/>
  <c r="S1838" i="2"/>
  <c r="R1305" i="2"/>
  <c r="S1876" i="2"/>
  <c r="S830" i="2"/>
  <c r="S1853" i="2"/>
  <c r="S284" i="2"/>
  <c r="S237" i="2"/>
  <c r="S337" i="2"/>
  <c r="S783" i="2"/>
  <c r="R1327" i="2"/>
  <c r="S757" i="2"/>
  <c r="S744" i="2"/>
  <c r="R1294" i="2"/>
  <c r="R1293" i="2"/>
  <c r="S829" i="2"/>
  <c r="S300" i="2"/>
  <c r="S847" i="2"/>
  <c r="R1337" i="2"/>
  <c r="Q1327" i="2" s="1"/>
  <c r="S221" i="2"/>
  <c r="S1836" i="2"/>
  <c r="R1295" i="2"/>
  <c r="S789" i="2"/>
  <c r="S857" i="2"/>
  <c r="S242" i="2"/>
  <c r="S251" i="2"/>
  <c r="S836" i="2"/>
  <c r="S766" i="2"/>
  <c r="R782" i="2" s="1"/>
  <c r="S246" i="2"/>
  <c r="S1826" i="2"/>
  <c r="S305" i="2"/>
  <c r="S265" i="2"/>
  <c r="S1777" i="2"/>
  <c r="R1289" i="2"/>
  <c r="S263" i="2"/>
  <c r="S797" i="2"/>
  <c r="S344" i="2"/>
  <c r="S1789" i="2"/>
  <c r="S325" i="2"/>
  <c r="S302" i="2"/>
  <c r="S784" i="2"/>
  <c r="S292" i="2"/>
  <c r="S254" i="2"/>
  <c r="S770" i="2"/>
  <c r="S817" i="2"/>
  <c r="R1333" i="2"/>
  <c r="S1827" i="2"/>
  <c r="S1891" i="2"/>
  <c r="S795" i="2"/>
  <c r="S848" i="2"/>
  <c r="R824" i="2" s="1"/>
  <c r="S276" i="2"/>
  <c r="S862" i="2"/>
  <c r="S736" i="2"/>
  <c r="S742" i="2"/>
  <c r="S261" i="2"/>
  <c r="S796" i="2"/>
  <c r="S282" i="2"/>
  <c r="S1831" i="2"/>
  <c r="S1802" i="2"/>
  <c r="S1870" i="2"/>
  <c r="S317" i="2"/>
  <c r="R299" i="2" s="1"/>
  <c r="S262" i="2"/>
  <c r="S1866" i="2"/>
  <c r="S248" i="2"/>
  <c r="S863" i="2"/>
  <c r="S334" i="2"/>
  <c r="S247" i="2"/>
  <c r="S1830" i="2"/>
  <c r="S831" i="2"/>
  <c r="S821" i="2"/>
  <c r="S243" i="2"/>
  <c r="S223" i="2"/>
  <c r="S1785" i="2"/>
  <c r="S754" i="2"/>
  <c r="S291" i="2"/>
  <c r="S289" i="2"/>
  <c r="S309" i="2"/>
  <c r="S1819" i="2"/>
  <c r="S1854" i="2"/>
  <c r="S280" i="2"/>
  <c r="S293" i="2"/>
  <c r="S1816" i="2"/>
  <c r="S805" i="2"/>
  <c r="S306" i="2"/>
  <c r="S794" i="2"/>
  <c r="S1834" i="2"/>
  <c r="S850" i="2"/>
  <c r="S800" i="2"/>
  <c r="S1856" i="2"/>
  <c r="S227" i="2"/>
  <c r="S1786" i="2"/>
  <c r="S851" i="2"/>
  <c r="S1801" i="2"/>
  <c r="S777" i="2"/>
  <c r="S1807" i="2"/>
  <c r="S1839" i="2"/>
  <c r="S738" i="2"/>
  <c r="S790" i="2"/>
  <c r="S1873" i="2"/>
  <c r="S771" i="2"/>
  <c r="S762" i="2"/>
  <c r="S772" i="2"/>
  <c r="S1889" i="2"/>
  <c r="S288" i="2"/>
  <c r="S814" i="2"/>
  <c r="S746" i="2"/>
  <c r="S310" i="2"/>
  <c r="S811" i="2"/>
  <c r="S219" i="2"/>
  <c r="S1792" i="2"/>
  <c r="S1783" i="2"/>
  <c r="S735" i="2"/>
  <c r="S232" i="2"/>
  <c r="S267" i="2"/>
  <c r="S296" i="2"/>
  <c r="S1828" i="2"/>
  <c r="S739" i="2"/>
  <c r="S234" i="2"/>
  <c r="S1896" i="2"/>
  <c r="R1349" i="2"/>
  <c r="S1796" i="2"/>
  <c r="R1304" i="2"/>
  <c r="S820" i="2"/>
  <c r="S813" i="2"/>
  <c r="R806" i="2" s="1"/>
  <c r="S858" i="2"/>
  <c r="S342" i="2"/>
  <c r="S764" i="2"/>
  <c r="S324" i="2"/>
  <c r="S761" i="2"/>
  <c r="R1318" i="2"/>
  <c r="Q1318" i="2" s="1"/>
  <c r="S1823" i="2"/>
  <c r="S1794" i="2"/>
  <c r="S819" i="2"/>
  <c r="S787" i="2"/>
  <c r="S859" i="2"/>
  <c r="S326" i="2"/>
  <c r="S791" i="2"/>
  <c r="S1814" i="2"/>
  <c r="R1322" i="2"/>
  <c r="S776" i="2"/>
  <c r="S818" i="2"/>
  <c r="S1812" i="2"/>
  <c r="S311" i="2"/>
  <c r="S743" i="2"/>
  <c r="S747" i="2"/>
  <c r="S1852" i="2"/>
  <c r="S1843" i="2"/>
  <c r="S321" i="2"/>
  <c r="S339" i="2"/>
  <c r="S231" i="2"/>
  <c r="S759" i="2"/>
  <c r="S760" i="2"/>
  <c r="S1862" i="2"/>
  <c r="S1822" i="2"/>
  <c r="S299" i="2"/>
  <c r="S240" i="2"/>
  <c r="S1791" i="2"/>
  <c r="S1861" i="2"/>
  <c r="S756" i="2"/>
  <c r="S823" i="2"/>
  <c r="S1779" i="2"/>
  <c r="S737" i="2"/>
  <c r="S1877" i="2"/>
  <c r="S253" i="2"/>
  <c r="S1780" i="2"/>
  <c r="S238" i="2"/>
  <c r="S1858" i="2"/>
  <c r="R1847" i="2" s="1"/>
  <c r="S798" i="2"/>
  <c r="S808" i="2"/>
  <c r="S307" i="2"/>
  <c r="S228" i="2"/>
  <c r="S806" i="2"/>
  <c r="S1860" i="2"/>
  <c r="S1815" i="2"/>
  <c r="S1842" i="2"/>
  <c r="S1841" i="2"/>
  <c r="S230" i="2"/>
  <c r="S229" i="2"/>
  <c r="S1857" i="2"/>
  <c r="S1840" i="2"/>
  <c r="S1793" i="2"/>
  <c r="S1845" i="2"/>
  <c r="S295" i="2"/>
  <c r="R288" i="2" s="1"/>
  <c r="S1797" i="2"/>
  <c r="S338" i="2"/>
  <c r="S1844" i="2"/>
  <c r="S838" i="2"/>
  <c r="S270" i="2"/>
  <c r="S793" i="2"/>
  <c r="S752" i="2"/>
  <c r="S269" i="2"/>
  <c r="S856" i="2"/>
  <c r="S1898" i="2"/>
  <c r="S1899" i="2"/>
  <c r="S1879" i="2"/>
  <c r="S255" i="2"/>
  <c r="S222" i="2"/>
  <c r="S1795" i="2"/>
  <c r="S1800" i="2"/>
  <c r="S1874" i="2"/>
  <c r="S824" i="2"/>
  <c r="S1818" i="2"/>
  <c r="R1826" i="2" s="1"/>
  <c r="S773" i="2"/>
  <c r="R786" i="2" s="1"/>
  <c r="S275" i="2"/>
  <c r="S779" i="2"/>
  <c r="R789" i="2" s="1"/>
  <c r="S249" i="2"/>
  <c r="S1771" i="2"/>
  <c r="S1837" i="2"/>
  <c r="S1776" i="2"/>
  <c r="S802" i="2"/>
  <c r="S274" i="2"/>
  <c r="S810" i="2"/>
  <c r="S258" i="2"/>
  <c r="S1829" i="2"/>
  <c r="S1790" i="2"/>
  <c r="S287" i="2"/>
  <c r="S244" i="2"/>
  <c r="S312" i="2"/>
  <c r="S1883" i="2"/>
  <c r="S252" i="2"/>
  <c r="S788" i="2"/>
  <c r="R1842" i="2"/>
  <c r="Q1310" i="2" l="1"/>
  <c r="R795" i="2"/>
  <c r="Q1319" i="2"/>
  <c r="P1318" i="2" s="1"/>
  <c r="Q1328" i="2"/>
  <c r="R1857" i="2"/>
  <c r="Q1308" i="2"/>
  <c r="R811" i="2"/>
  <c r="Q1326" i="2"/>
  <c r="P1322" i="2" s="1"/>
  <c r="Q1302" i="2"/>
  <c r="R788" i="2"/>
  <c r="R293" i="2"/>
  <c r="R1830" i="2"/>
  <c r="R1803" i="2"/>
  <c r="R1823" i="2"/>
  <c r="Q1309" i="2"/>
  <c r="R1833" i="2"/>
  <c r="R818" i="2"/>
  <c r="R1860" i="2"/>
  <c r="R1865" i="2"/>
  <c r="Q1333" i="2"/>
  <c r="R1817" i="2"/>
  <c r="Q1312" i="2"/>
  <c r="R268" i="2"/>
  <c r="Q1314" i="2"/>
  <c r="P1315" i="2" s="1"/>
  <c r="Q1332" i="2"/>
  <c r="R282" i="2"/>
  <c r="R252" i="2"/>
  <c r="R826" i="2"/>
  <c r="Q813" i="2" s="1"/>
  <c r="Q1303" i="2"/>
  <c r="R816" i="2"/>
  <c r="R306" i="2"/>
  <c r="R272" i="2"/>
  <c r="R304" i="2"/>
  <c r="R1822" i="2"/>
  <c r="R812" i="2"/>
  <c r="Q1330" i="2"/>
  <c r="P1324" i="2" s="1"/>
  <c r="R289" i="2"/>
  <c r="Q285" i="2" s="1"/>
  <c r="R1864" i="2"/>
  <c r="R277" i="2"/>
  <c r="R1852" i="2"/>
  <c r="R792" i="2"/>
  <c r="R269" i="2"/>
  <c r="Q275" i="2" s="1"/>
  <c r="R817" i="2"/>
  <c r="R774" i="2"/>
  <c r="Q1301" i="2"/>
  <c r="R807" i="2"/>
  <c r="Q803" i="2" s="1"/>
  <c r="R1821" i="2"/>
  <c r="R1851" i="2"/>
  <c r="R1836" i="2"/>
  <c r="R820" i="2"/>
  <c r="R1816" i="2"/>
  <c r="R804" i="2"/>
  <c r="Q1306" i="2"/>
  <c r="R830" i="2"/>
  <c r="R253" i="2"/>
  <c r="R301" i="2"/>
  <c r="Q291" i="2" s="1"/>
  <c r="R790" i="2"/>
  <c r="Q794" i="2" s="1"/>
  <c r="R775" i="2"/>
  <c r="R802" i="2"/>
  <c r="R286" i="2"/>
  <c r="R1808" i="2"/>
  <c r="R1849" i="2"/>
  <c r="R274" i="2"/>
  <c r="R778" i="2"/>
  <c r="R258" i="2"/>
  <c r="R813" i="2"/>
  <c r="R311" i="2"/>
  <c r="R284" i="2"/>
  <c r="R823" i="2"/>
  <c r="R302" i="2"/>
  <c r="R1858" i="2"/>
  <c r="R305" i="2"/>
  <c r="R1827" i="2"/>
  <c r="R1819" i="2"/>
  <c r="R1862" i="2"/>
  <c r="R262" i="2"/>
  <c r="R808" i="2"/>
  <c r="R772" i="2"/>
  <c r="R263" i="2"/>
  <c r="R783" i="2"/>
  <c r="R280" i="2"/>
  <c r="Q1322" i="2"/>
  <c r="P1320" i="2" s="1"/>
  <c r="R1854" i="2"/>
  <c r="R1841" i="2"/>
  <c r="R803" i="2"/>
  <c r="R777" i="2"/>
  <c r="R787" i="2"/>
  <c r="R257" i="2"/>
  <c r="R821" i="2"/>
  <c r="Q1307" i="2"/>
  <c r="R266" i="2"/>
  <c r="R1844" i="2"/>
  <c r="Q1320" i="2"/>
  <c r="P1319" i="2" s="1"/>
  <c r="R295" i="2"/>
  <c r="Q1325" i="2"/>
  <c r="R773" i="2"/>
  <c r="R307" i="2"/>
  <c r="Q1304" i="2"/>
  <c r="R1829" i="2"/>
  <c r="R1855" i="2"/>
  <c r="R798" i="2"/>
  <c r="R1856" i="2"/>
  <c r="R260" i="2"/>
  <c r="R1845" i="2"/>
  <c r="R1824" i="2"/>
  <c r="R261" i="2"/>
  <c r="R1820" i="2"/>
  <c r="R1828" i="2"/>
  <c r="R273" i="2"/>
  <c r="R1859" i="2"/>
  <c r="R308" i="2"/>
  <c r="R313" i="2"/>
  <c r="Q1329" i="2"/>
  <c r="R1850" i="2"/>
  <c r="R1804" i="2"/>
  <c r="R297" i="2"/>
  <c r="Q1324" i="2"/>
  <c r="R265" i="2"/>
  <c r="R276" i="2"/>
  <c r="R769" i="2"/>
  <c r="R290" i="2"/>
  <c r="R256" i="2"/>
  <c r="R819" i="2"/>
  <c r="R815" i="2"/>
  <c r="Q1311" i="2"/>
  <c r="R1832" i="2"/>
  <c r="R254" i="2"/>
  <c r="R781" i="2"/>
  <c r="Q790" i="2" s="1"/>
  <c r="R1866" i="2"/>
  <c r="R285" i="2"/>
  <c r="R776" i="2"/>
  <c r="R298" i="2"/>
  <c r="Q290" i="2" s="1"/>
  <c r="R279" i="2"/>
  <c r="R800" i="2"/>
  <c r="R831" i="2"/>
  <c r="R1811" i="2"/>
  <c r="R250" i="2"/>
  <c r="R797" i="2"/>
  <c r="R1834" i="2"/>
  <c r="R1843" i="2"/>
  <c r="Q1839" i="2" s="1"/>
  <c r="R1863" i="2"/>
  <c r="R801" i="2"/>
  <c r="R312" i="2"/>
  <c r="R770" i="2"/>
  <c r="R292" i="2"/>
  <c r="R291" i="2"/>
  <c r="R822" i="2"/>
  <c r="R810" i="2"/>
  <c r="R1805" i="2"/>
  <c r="R249" i="2"/>
  <c r="R251" i="2"/>
  <c r="R771" i="2"/>
  <c r="R287" i="2"/>
  <c r="R814" i="2"/>
  <c r="R785" i="2"/>
  <c r="Q792" i="2" s="1"/>
  <c r="R794" i="2"/>
  <c r="Q1305" i="2"/>
  <c r="R283" i="2"/>
  <c r="R1853" i="2"/>
  <c r="R784" i="2"/>
  <c r="R278" i="2"/>
  <c r="R271" i="2"/>
  <c r="R259" i="2"/>
  <c r="R1846" i="2"/>
  <c r="Q1841" i="2" s="1"/>
  <c r="R1861" i="2"/>
  <c r="R1825" i="2"/>
  <c r="Q1830" i="2" s="1"/>
  <c r="R1810" i="2"/>
  <c r="R303" i="2"/>
  <c r="R1806" i="2"/>
  <c r="R309" i="2"/>
  <c r="R264" i="2"/>
  <c r="R1818" i="2"/>
  <c r="R267" i="2"/>
  <c r="R1813" i="2"/>
  <c r="R828" i="2"/>
  <c r="P1316" i="2"/>
  <c r="R1812" i="2"/>
  <c r="R294" i="2"/>
  <c r="R1809" i="2"/>
  <c r="R767" i="2"/>
  <c r="R791" i="2"/>
  <c r="R1837" i="2"/>
  <c r="R805" i="2"/>
  <c r="R796" i="2"/>
  <c r="R1831" i="2"/>
  <c r="R825" i="2"/>
  <c r="Q812" i="2" s="1"/>
  <c r="R275" i="2"/>
  <c r="R793" i="2"/>
  <c r="R1807" i="2"/>
  <c r="R829" i="2"/>
  <c r="R768" i="2"/>
  <c r="R779" i="2"/>
  <c r="R809" i="2"/>
  <c r="R1815" i="2"/>
  <c r="R1814" i="2"/>
  <c r="R296" i="2"/>
  <c r="R310" i="2"/>
  <c r="R780" i="2"/>
  <c r="R1839" i="2"/>
  <c r="R1848" i="2"/>
  <c r="R1838" i="2"/>
  <c r="R1840" i="2"/>
  <c r="R255" i="2"/>
  <c r="R1867" i="2"/>
  <c r="P1313" i="2" l="1"/>
  <c r="Q797" i="2"/>
  <c r="P1312" i="2"/>
  <c r="P1323" i="2"/>
  <c r="Q1846" i="2"/>
  <c r="Q1847" i="2"/>
  <c r="Q805" i="2"/>
  <c r="Q1832" i="2"/>
  <c r="Q1819" i="2"/>
  <c r="Q793" i="2"/>
  <c r="P796" i="2" s="1"/>
  <c r="P1309" i="2"/>
  <c r="Q287" i="2"/>
  <c r="Q810" i="2"/>
  <c r="Q1834" i="2"/>
  <c r="Q1829" i="2"/>
  <c r="P1832" i="2" s="1"/>
  <c r="Q1848" i="2"/>
  <c r="Q284" i="2"/>
  <c r="P283" i="2" s="1"/>
  <c r="Q1826" i="2"/>
  <c r="P1314" i="2"/>
  <c r="Q801" i="2"/>
  <c r="P1325" i="2"/>
  <c r="O1321" i="2" s="1"/>
  <c r="Q272" i="2"/>
  <c r="Q809" i="2"/>
  <c r="Q282" i="2"/>
  <c r="Q1850" i="2"/>
  <c r="Q266" i="2"/>
  <c r="Q297" i="2"/>
  <c r="Q1825" i="2"/>
  <c r="Q806" i="2"/>
  <c r="Q276" i="2"/>
  <c r="P278" i="2" s="1"/>
  <c r="Q795" i="2"/>
  <c r="Q274" i="2"/>
  <c r="Q293" i="2"/>
  <c r="Q808" i="2"/>
  <c r="P1310" i="2"/>
  <c r="O1313" i="2" s="1"/>
  <c r="Q786" i="2"/>
  <c r="Q1828" i="2"/>
  <c r="Q278" i="2"/>
  <c r="Q295" i="2"/>
  <c r="Q294" i="2"/>
  <c r="Q1836" i="2"/>
  <c r="Q288" i="2"/>
  <c r="Q802" i="2"/>
  <c r="P801" i="2" s="1"/>
  <c r="Q1851" i="2"/>
  <c r="Q289" i="2"/>
  <c r="Q279" i="2"/>
  <c r="Q807" i="2"/>
  <c r="Q1827" i="2"/>
  <c r="Q283" i="2"/>
  <c r="Q1844" i="2"/>
  <c r="Q267" i="2"/>
  <c r="P1321" i="2"/>
  <c r="O1319" i="2" s="1"/>
  <c r="Q277" i="2"/>
  <c r="Q788" i="2"/>
  <c r="Q1840" i="2"/>
  <c r="P1838" i="2" s="1"/>
  <c r="Q791" i="2"/>
  <c r="P795" i="2" s="1"/>
  <c r="Q1843" i="2"/>
  <c r="P1311" i="2"/>
  <c r="Q815" i="2"/>
  <c r="Q1823" i="2"/>
  <c r="Q811" i="2"/>
  <c r="P805" i="2" s="1"/>
  <c r="O1320" i="2"/>
  <c r="Q271" i="2"/>
  <c r="Q1849" i="2"/>
  <c r="P1842" i="2" s="1"/>
  <c r="Q1838" i="2"/>
  <c r="P1837" i="2" s="1"/>
  <c r="Q296" i="2"/>
  <c r="Q273" i="2"/>
  <c r="Q787" i="2"/>
  <c r="Q1831" i="2"/>
  <c r="Q1821" i="2"/>
  <c r="Q798" i="2"/>
  <c r="Q1845" i="2"/>
  <c r="Q785" i="2"/>
  <c r="Q1842" i="2"/>
  <c r="Q804" i="2"/>
  <c r="Q292" i="2"/>
  <c r="Q269" i="2"/>
  <c r="Q280" i="2"/>
  <c r="O1318" i="2"/>
  <c r="Q784" i="2"/>
  <c r="Q270" i="2"/>
  <c r="Q268" i="2"/>
  <c r="Q286" i="2"/>
  <c r="Q1820" i="2"/>
  <c r="Q800" i="2"/>
  <c r="Q796" i="2"/>
  <c r="Q265" i="2"/>
  <c r="Q1822" i="2"/>
  <c r="Q1833" i="2"/>
  <c r="O1316" i="2"/>
  <c r="Q1824" i="2"/>
  <c r="Q783" i="2"/>
  <c r="Q814" i="2"/>
  <c r="Q789" i="2"/>
  <c r="P794" i="2" s="1"/>
  <c r="Q1837" i="2"/>
  <c r="P806" i="2"/>
  <c r="P286" i="2"/>
  <c r="P1841" i="2" l="1"/>
  <c r="P798" i="2"/>
  <c r="O1315" i="2"/>
  <c r="N1316" i="2" s="1"/>
  <c r="P802" i="2"/>
  <c r="O1314" i="2"/>
  <c r="N1315" i="2" s="1"/>
  <c r="P1827" i="2"/>
  <c r="P1833" i="2"/>
  <c r="P284" i="2"/>
  <c r="P274" i="2"/>
  <c r="P797" i="2"/>
  <c r="P1834" i="2"/>
  <c r="P1830" i="2"/>
  <c r="P800" i="2"/>
  <c r="O800" i="2" s="1"/>
  <c r="P803" i="2"/>
  <c r="P276" i="2"/>
  <c r="P273" i="2"/>
  <c r="P287" i="2"/>
  <c r="O284" i="2" s="1"/>
  <c r="P1843" i="2"/>
  <c r="O1839" i="2" s="1"/>
  <c r="P289" i="2"/>
  <c r="P804" i="2"/>
  <c r="O802" i="2" s="1"/>
  <c r="P792" i="2"/>
  <c r="P282" i="2"/>
  <c r="O282" i="2" s="1"/>
  <c r="P1829" i="2"/>
  <c r="P277" i="2"/>
  <c r="O279" i="2" s="1"/>
  <c r="P793" i="2"/>
  <c r="O796" i="2" s="1"/>
  <c r="P1836" i="2"/>
  <c r="O1836" i="2" s="1"/>
  <c r="P288" i="2"/>
  <c r="P1831" i="2"/>
  <c r="O1833" i="2" s="1"/>
  <c r="P279" i="2"/>
  <c r="P285" i="2"/>
  <c r="P280" i="2"/>
  <c r="P1828" i="2"/>
  <c r="P1839" i="2"/>
  <c r="O1837" i="2" s="1"/>
  <c r="P1840" i="2"/>
  <c r="P807" i="2"/>
  <c r="O803" i="2" s="1"/>
  <c r="N1319" i="2"/>
  <c r="P275" i="2"/>
  <c r="N1318" i="2"/>
  <c r="P791" i="2"/>
  <c r="O797" i="2"/>
  <c r="O798" i="2" l="1"/>
  <c r="N798" i="2" s="1"/>
  <c r="O1838" i="2"/>
  <c r="N1837" i="2" s="1"/>
  <c r="O1831" i="2"/>
  <c r="O801" i="2"/>
  <c r="N800" i="2" s="1"/>
  <c r="O1834" i="2"/>
  <c r="N1834" i="2" s="1"/>
  <c r="O1832" i="2"/>
  <c r="O283" i="2"/>
  <c r="N282" i="2" s="1"/>
  <c r="O277" i="2"/>
  <c r="O278" i="2"/>
  <c r="O285" i="2"/>
  <c r="N283" i="2" s="1"/>
  <c r="O795" i="2"/>
  <c r="N797" i="2" s="1"/>
  <c r="M1316" i="2"/>
  <c r="O280" i="2"/>
  <c r="N280" i="2" s="1"/>
  <c r="M1318" i="2"/>
  <c r="N801" i="2"/>
  <c r="N1836" i="2"/>
  <c r="N1833" i="2" l="1"/>
  <c r="M1834" i="2" s="1"/>
  <c r="N279" i="2"/>
  <c r="M280" i="2" s="1"/>
  <c r="L1317" i="2"/>
  <c r="F6" i="2" s="1"/>
  <c r="M800" i="2"/>
  <c r="M1836" i="2"/>
  <c r="M282" i="2"/>
  <c r="M798" i="2"/>
  <c r="L1835" i="2" l="1"/>
  <c r="F7" i="2" s="1"/>
  <c r="L799" i="2"/>
  <c r="D5" i="2" l="1"/>
  <c r="F8" i="2" s="1"/>
  <c r="D9" i="2" s="1"/>
  <c r="F5" i="2"/>
  <c r="D6" i="2"/>
  <c r="K11" i="2"/>
  <c r="G11" i="2"/>
  <c r="J11" i="2"/>
  <c r="F9" i="2"/>
  <c r="C11" i="2"/>
  <c r="F11" i="2"/>
  <c r="B11" i="2"/>
  <c r="D11" i="2"/>
  <c r="H11" i="2"/>
  <c r="I11" i="2"/>
  <c r="E11" i="2"/>
</calcChain>
</file>

<file path=xl/sharedStrings.xml><?xml version="1.0" encoding="utf-8"?>
<sst xmlns="http://schemas.openxmlformats.org/spreadsheetml/2006/main" count="116" uniqueCount="53">
  <si>
    <t>Stationary HJM Primitive Obj. Far Fwd Projection Function</t>
  </si>
  <si>
    <t>by Mr. Thomas Madison Glimp, 10/26/2025</t>
  </si>
  <si>
    <t>Fut Imp σ</t>
  </si>
  <si>
    <t># Fut implied volatility</t>
  </si>
  <si>
    <t>INSTRUCTIONS</t>
  </si>
  <si>
    <t>Fut Mkt Price</t>
  </si>
  <si>
    <t>Duration</t>
  </si>
  <si>
    <t>Cash Eq. +1BP</t>
  </si>
  <si>
    <t>Price</t>
  </si>
  <si>
    <t>1. set B4, D7 == 0</t>
  </si>
  <si>
    <t>CTD CF</t>
  </si>
  <si>
    <t>Convexity</t>
  </si>
  <si>
    <t>Cash Eq. -1BP</t>
  </si>
  <si>
    <t>2. solve for D7 by minimizing distance btwn (H39-B9)^2 by toggling B9</t>
  </si>
  <si>
    <t>CTD Coupon</t>
  </si>
  <si>
    <t>ZV BP</t>
  </si>
  <si>
    <t>Vega+1</t>
  </si>
  <si>
    <t>3. paste D7 to D8 (or use formula)</t>
  </si>
  <si>
    <t>Cash Eq.</t>
  </si>
  <si>
    <t>ZV Put BP</t>
  </si>
  <si>
    <t>DV01</t>
  </si>
  <si>
    <t>4. enter fut imp vol into B4</t>
  </si>
  <si>
    <t>Calibration #</t>
  </si>
  <si>
    <t>Put Cost US$</t>
  </si>
  <si>
    <t>ADJ.FWD</t>
  </si>
  <si>
    <t># Aux Output w. vega discounting</t>
  </si>
  <si>
    <t>5. solve for D9 by minimizing distance btwn (H39-B9)^2 by toggling B9</t>
  </si>
  <si>
    <t>Vega Disc. Objs.</t>
  </si>
  <si>
    <t>Primitive Objs</t>
  </si>
  <si>
    <t>Years</t>
  </si>
  <si>
    <t>Disc. Cpn/Prin</t>
  </si>
  <si>
    <t>Fwds</t>
  </si>
  <si>
    <t>PV</t>
  </si>
  <si>
    <t>YR</t>
  </si>
  <si>
    <t>Z(t)</t>
  </si>
  <si>
    <t># 0 spot rates</t>
  </si>
  <si>
    <t>Threefy σ(t)</t>
  </si>
  <si>
    <t xml:space="preserve"># Calibrated 0 implied volatility rates </t>
  </si>
  <si>
    <t>Adj z(t)</t>
  </si>
  <si>
    <t xml:space="preserve"># Stationary fitted coeffecients </t>
  </si>
  <si>
    <t># Price</t>
  </si>
  <si>
    <t># Exponential volatilities</t>
  </si>
  <si>
    <t>^^^</t>
  </si>
  <si>
    <t># Minimize w. Solver</t>
  </si>
  <si>
    <t>Adj z(t)+1bp</t>
  </si>
  <si>
    <t>Adj z(t)-1bp</t>
  </si>
  <si>
    <t>Adj Fut Imp Vol</t>
  </si>
  <si>
    <t>5-Factor HJM Forward Rate Curve w. stationary calibration</t>
  </si>
  <si>
    <t>Z(t)+10bp</t>
  </si>
  <si>
    <t>Z(t)-10bp</t>
  </si>
  <si>
    <t>Imp. Vol. +.0001</t>
  </si>
  <si>
    <t>Vega+1BP</t>
  </si>
  <si>
    <t>by Mr. Thomas Madison Glimp, 10/27/2025.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</si>
</sst>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.000"/>
    <numFmt numFmtId="165" formatCode="0.000%"/>
    <numFmt numFmtId="166" formatCode="0.0000"/>
    <numFmt numFmtId="167" formatCode="0.000000000000"/>
    <numFmt numFmtId="168" formatCode="0.000000"/>
    <numFmt numFmtId="169" formatCode="0.0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CC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1"/>
      <color rgb="FF00CC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7F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/>
    <xf numFmtId="44" fontId="1" fillId="0" borderId="0"/>
  </cellStyleXfs>
  <cellXfs count="92">
    <xf numFmtId="0" fontId="0" fillId="0" borderId="0" xfId="0"/>
    <xf numFmtId="0" fontId="0" fillId="2" borderId="0" xfId="0" applyFill="1"/>
    <xf numFmtId="164" fontId="5" fillId="3" borderId="0" xfId="0" applyNumberFormat="1" applyFont="1" applyFill="1"/>
    <xf numFmtId="10" fontId="0" fillId="2" borderId="0" xfId="0" applyNumberFormat="1" applyFill="1"/>
    <xf numFmtId="165" fontId="5" fillId="2" borderId="0" xfId="0" applyNumberFormat="1" applyFont="1" applyFill="1" applyAlignment="1">
      <alignment horizontal="left"/>
    </xf>
    <xf numFmtId="10" fontId="4" fillId="4" borderId="0" xfId="1" applyNumberFormat="1" applyFont="1" applyFill="1" applyAlignment="1">
      <alignment horizontal="left"/>
    </xf>
    <xf numFmtId="165" fontId="4" fillId="4" borderId="0" xfId="1" applyNumberFormat="1" applyFont="1" applyFill="1" applyAlignment="1">
      <alignment horizontal="left"/>
    </xf>
    <xf numFmtId="166" fontId="4" fillId="4" borderId="0" xfId="0" applyNumberFormat="1" applyFont="1" applyFill="1" applyAlignment="1">
      <alignment horizontal="left"/>
    </xf>
    <xf numFmtId="165" fontId="5" fillId="5" borderId="0" xfId="0" applyNumberFormat="1" applyFont="1" applyFill="1" applyAlignment="1">
      <alignment horizontal="left"/>
    </xf>
    <xf numFmtId="165" fontId="4" fillId="6" borderId="0" xfId="0" applyNumberFormat="1" applyFont="1" applyFill="1" applyAlignment="1">
      <alignment horizontal="left"/>
    </xf>
    <xf numFmtId="166" fontId="9" fillId="2" borderId="0" xfId="0" applyNumberFormat="1" applyFont="1" applyFill="1"/>
    <xf numFmtId="1" fontId="2" fillId="2" borderId="0" xfId="0" applyNumberFormat="1" applyFont="1" applyFill="1"/>
    <xf numFmtId="2" fontId="10" fillId="2" borderId="0" xfId="0" applyNumberFormat="1" applyFont="1" applyFill="1" applyAlignment="1">
      <alignment horizontal="left"/>
    </xf>
    <xf numFmtId="164" fontId="2" fillId="2" borderId="0" xfId="0" applyNumberFormat="1" applyFont="1" applyFill="1"/>
    <xf numFmtId="165" fontId="5" fillId="8" borderId="0" xfId="0" applyNumberFormat="1" applyFont="1" applyFill="1" applyAlignment="1">
      <alignment horizontal="left"/>
    </xf>
    <xf numFmtId="164" fontId="6" fillId="2" borderId="0" xfId="0" applyNumberFormat="1" applyFont="1" applyFill="1"/>
    <xf numFmtId="164" fontId="5" fillId="2" borderId="0" xfId="0" applyNumberFormat="1" applyFont="1" applyFill="1"/>
    <xf numFmtId="0" fontId="7" fillId="2" borderId="0" xfId="0" applyFont="1" applyFill="1" applyAlignment="1">
      <alignment horizontal="center"/>
    </xf>
    <xf numFmtId="2" fontId="9" fillId="7" borderId="0" xfId="0" applyNumberFormat="1" applyFont="1" applyFill="1"/>
    <xf numFmtId="167" fontId="7" fillId="2" borderId="0" xfId="0" applyNumberFormat="1" applyFont="1" applyFill="1" applyAlignment="1">
      <alignment horizontal="center"/>
    </xf>
    <xf numFmtId="0" fontId="13" fillId="0" borderId="0" xfId="0" applyFont="1"/>
    <xf numFmtId="10" fontId="4" fillId="4" borderId="0" xfId="0" applyNumberFormat="1" applyFont="1" applyFill="1" applyAlignment="1">
      <alignment horizontal="left"/>
    </xf>
    <xf numFmtId="0" fontId="9" fillId="7" borderId="0" xfId="0" applyFont="1" applyFill="1"/>
    <xf numFmtId="1" fontId="9" fillId="7" borderId="0" xfId="0" applyNumberFormat="1" applyFont="1" applyFill="1"/>
    <xf numFmtId="164" fontId="9" fillId="7" borderId="0" xfId="0" applyNumberFormat="1" applyFont="1" applyFill="1"/>
    <xf numFmtId="0" fontId="9" fillId="7" borderId="1" xfId="0" applyFont="1" applyFill="1" applyBorder="1" applyAlignment="1">
      <alignment horizontal="left"/>
    </xf>
    <xf numFmtId="0" fontId="3" fillId="6" borderId="1" xfId="0" applyFont="1" applyFill="1" applyBorder="1" applyAlignment="1">
      <alignment horizontal="left"/>
    </xf>
    <xf numFmtId="1" fontId="3" fillId="6" borderId="0" xfId="1" applyNumberFormat="1" applyFont="1" applyFill="1" applyAlignment="1">
      <alignment horizontal="left"/>
    </xf>
    <xf numFmtId="0" fontId="9" fillId="6" borderId="0" xfId="0" applyFont="1" applyFill="1" applyAlignment="1">
      <alignment horizontal="left"/>
    </xf>
    <xf numFmtId="0" fontId="3" fillId="4" borderId="1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4" borderId="1" xfId="0" quotePrefix="1" applyFont="1" applyFill="1" applyBorder="1" applyAlignment="1">
      <alignment horizontal="left"/>
    </xf>
    <xf numFmtId="0" fontId="11" fillId="2" borderId="0" xfId="0" applyFont="1" applyFill="1" applyAlignment="1">
      <alignment horizontal="left"/>
    </xf>
    <xf numFmtId="0" fontId="3" fillId="2" borderId="0" xfId="0" applyFont="1" applyFill="1"/>
    <xf numFmtId="0" fontId="11" fillId="2" borderId="0" xfId="0" applyFont="1" applyFill="1"/>
    <xf numFmtId="0" fontId="11" fillId="0" borderId="0" xfId="0" applyFont="1"/>
    <xf numFmtId="165" fontId="4" fillId="2" borderId="0" xfId="0" applyNumberFormat="1" applyFont="1" applyFill="1" applyAlignment="1">
      <alignment horizontal="left"/>
    </xf>
    <xf numFmtId="165" fontId="12" fillId="2" borderId="0" xfId="0" applyNumberFormat="1" applyFont="1" applyFill="1" applyAlignment="1">
      <alignment horizontal="left"/>
    </xf>
    <xf numFmtId="165" fontId="4" fillId="4" borderId="0" xfId="0" applyNumberFormat="1" applyFont="1" applyFill="1" applyAlignment="1">
      <alignment horizontal="left"/>
    </xf>
    <xf numFmtId="165" fontId="4" fillId="5" borderId="0" xfId="0" applyNumberFormat="1" applyFont="1" applyFill="1" applyAlignment="1">
      <alignment horizontal="left"/>
    </xf>
    <xf numFmtId="165" fontId="4" fillId="2" borderId="0" xfId="1" applyNumberFormat="1" applyFont="1" applyFill="1" applyAlignment="1">
      <alignment horizontal="left"/>
    </xf>
    <xf numFmtId="164" fontId="0" fillId="2" borderId="0" xfId="0" applyNumberFormat="1" applyFill="1"/>
    <xf numFmtId="2" fontId="0" fillId="2" borderId="0" xfId="0" applyNumberFormat="1" applyFill="1"/>
    <xf numFmtId="0" fontId="9" fillId="2" borderId="0" xfId="0" applyFont="1" applyFill="1"/>
    <xf numFmtId="2" fontId="9" fillId="2" borderId="0" xfId="0" applyNumberFormat="1" applyFont="1" applyFill="1"/>
    <xf numFmtId="164" fontId="9" fillId="2" borderId="0" xfId="0" applyNumberFormat="1" applyFont="1" applyFill="1"/>
    <xf numFmtId="1" fontId="9" fillId="2" borderId="0" xfId="0" applyNumberFormat="1" applyFont="1" applyFill="1"/>
    <xf numFmtId="164" fontId="3" fillId="2" borderId="0" xfId="0" applyNumberFormat="1" applyFont="1" applyFill="1" applyAlignment="1">
      <alignment horizontal="left"/>
    </xf>
    <xf numFmtId="165" fontId="3" fillId="2" borderId="0" xfId="0" applyNumberFormat="1" applyFont="1" applyFill="1"/>
    <xf numFmtId="44" fontId="3" fillId="2" borderId="0" xfId="2" applyFont="1" applyFill="1"/>
    <xf numFmtId="168" fontId="9" fillId="7" borderId="0" xfId="0" applyNumberFormat="1" applyFont="1" applyFill="1"/>
    <xf numFmtId="164" fontId="11" fillId="2" borderId="0" xfId="0" applyNumberFormat="1" applyFont="1" applyFill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44" fontId="9" fillId="7" borderId="0" xfId="2" applyFont="1" applyFill="1" applyAlignment="1">
      <alignment horizontal="right"/>
    </xf>
    <xf numFmtId="1" fontId="9" fillId="7" borderId="0" xfId="0" applyNumberFormat="1" applyFont="1" applyFill="1" applyAlignment="1">
      <alignment horizontal="right"/>
    </xf>
    <xf numFmtId="0" fontId="9" fillId="7" borderId="0" xfId="0" applyFont="1" applyFill="1" applyAlignment="1">
      <alignment horizontal="right"/>
    </xf>
    <xf numFmtId="165" fontId="9" fillId="7" borderId="0" xfId="0" applyNumberFormat="1" applyFont="1" applyFill="1" applyAlignment="1">
      <alignment horizontal="right"/>
    </xf>
    <xf numFmtId="2" fontId="9" fillId="7" borderId="0" xfId="0" applyNumberFormat="1" applyFont="1" applyFill="1" applyAlignment="1">
      <alignment horizontal="right"/>
    </xf>
    <xf numFmtId="0" fontId="9" fillId="7" borderId="0" xfId="0" applyFont="1" applyFill="1" applyAlignment="1">
      <alignment horizontal="left"/>
    </xf>
    <xf numFmtId="2" fontId="9" fillId="7" borderId="0" xfId="0" applyNumberFormat="1" applyFont="1" applyFill="1" applyAlignment="1">
      <alignment horizontal="left"/>
    </xf>
    <xf numFmtId="0" fontId="15" fillId="0" borderId="2" xfId="0" applyFont="1" applyBorder="1"/>
    <xf numFmtId="2" fontId="9" fillId="7" borderId="0" xfId="2" applyNumberFormat="1" applyFont="1" applyFill="1" applyAlignment="1">
      <alignment horizontal="left"/>
    </xf>
    <xf numFmtId="0" fontId="3" fillId="4" borderId="0" xfId="0" applyFont="1" applyFill="1"/>
    <xf numFmtId="166" fontId="4" fillId="2" borderId="0" xfId="0" applyNumberFormat="1" applyFont="1" applyFill="1" applyAlignment="1">
      <alignment horizontal="left"/>
    </xf>
    <xf numFmtId="166" fontId="6" fillId="4" borderId="0" xfId="0" applyNumberFormat="1" applyFont="1" applyFill="1"/>
    <xf numFmtId="166" fontId="9" fillId="7" borderId="0" xfId="0" applyNumberFormat="1" applyFont="1" applyFill="1" applyAlignment="1">
      <alignment horizontal="left"/>
    </xf>
    <xf numFmtId="166" fontId="9" fillId="7" borderId="0" xfId="0" applyNumberFormat="1" applyFont="1" applyFill="1" applyAlignment="1">
      <alignment horizontal="right"/>
    </xf>
    <xf numFmtId="44" fontId="9" fillId="7" borderId="0" xfId="0" applyNumberFormat="1" applyFont="1" applyFill="1"/>
    <xf numFmtId="0" fontId="13" fillId="2" borderId="0" xfId="0" applyFont="1" applyFill="1"/>
    <xf numFmtId="169" fontId="9" fillId="7" borderId="0" xfId="0" applyNumberFormat="1" applyFont="1" applyFill="1" applyAlignment="1">
      <alignment horizontal="right"/>
    </xf>
    <xf numFmtId="44" fontId="9" fillId="7" borderId="0" xfId="2" applyFont="1" applyFill="1"/>
    <xf numFmtId="0" fontId="8" fillId="2" borderId="0" xfId="0" applyFont="1" applyFill="1"/>
    <xf numFmtId="0" fontId="3" fillId="2" borderId="0" xfId="0" applyFont="1" applyFill="1" applyAlignment="1">
      <alignment horizontal="center"/>
    </xf>
    <xf numFmtId="44" fontId="9" fillId="2" borderId="0" xfId="2" applyFont="1" applyFill="1" applyAlignment="1">
      <alignment horizontal="right"/>
    </xf>
    <xf numFmtId="0" fontId="6" fillId="2" borderId="0" xfId="0" applyFont="1" applyFill="1" applyAlignment="1">
      <alignment horizontal="center"/>
    </xf>
    <xf numFmtId="1" fontId="9" fillId="2" borderId="0" xfId="0" applyNumberFormat="1" applyFont="1" applyFill="1" applyAlignment="1">
      <alignment horizontal="right"/>
    </xf>
    <xf numFmtId="0" fontId="9" fillId="2" borderId="0" xfId="0" applyFont="1" applyFill="1" applyAlignment="1">
      <alignment horizontal="left"/>
    </xf>
    <xf numFmtId="10" fontId="8" fillId="2" borderId="0" xfId="1" applyNumberFormat="1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6" fontId="8" fillId="2" borderId="0" xfId="0" applyNumberFormat="1" applyFont="1" applyFill="1"/>
    <xf numFmtId="165" fontId="9" fillId="2" borderId="0" xfId="0" applyNumberFormat="1" applyFont="1" applyFill="1"/>
    <xf numFmtId="44" fontId="9" fillId="2" borderId="0" xfId="2" applyFont="1" applyFill="1"/>
    <xf numFmtId="165" fontId="8" fillId="2" borderId="0" xfId="1" applyNumberFormat="1" applyFont="1" applyFill="1" applyAlignment="1">
      <alignment horizontal="left"/>
    </xf>
    <xf numFmtId="166" fontId="8" fillId="2" borderId="0" xfId="0" applyNumberFormat="1" applyFont="1" applyFill="1" applyAlignment="1">
      <alignment horizontal="left"/>
    </xf>
    <xf numFmtId="166" fontId="0" fillId="2" borderId="0" xfId="0" applyNumberFormat="1" applyFill="1"/>
    <xf numFmtId="166" fontId="0" fillId="9" borderId="0" xfId="0" applyNumberFormat="1" applyFill="1"/>
    <xf numFmtId="166" fontId="16" fillId="2" borderId="0" xfId="0" applyNumberFormat="1" applyFont="1" applyFill="1" applyAlignment="1">
      <alignment horizontal="center"/>
    </xf>
    <xf numFmtId="166" fontId="11" fillId="2" borderId="0" xfId="0" applyNumberFormat="1" applyFont="1" applyFill="1"/>
    <xf numFmtId="166" fontId="11" fillId="4" borderId="0" xfId="0" applyNumberFormat="1" applyFont="1" applyFill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66"/>
  <sheetViews>
    <sheetView zoomScale="62" zoomScaleNormal="85" workbookViewId="0">
      <selection activeCell="F9" sqref="F9"/>
    </sheetView>
  </sheetViews>
  <sheetFormatPr defaultRowHeight="14.5" x14ac:dyDescent="0.35"/>
  <cols>
    <col min="1" max="1" width="14.81640625" style="1" customWidth="1"/>
    <col min="2" max="7" width="13.08984375" style="1" customWidth="1"/>
    <col min="8" max="8" width="11.54296875" style="1" customWidth="1"/>
    <col min="9" max="13" width="9.36328125" style="1" customWidth="1"/>
    <col min="14" max="18" width="8.7265625" style="1" customWidth="1"/>
    <col min="19" max="16384" width="8.7265625" style="1"/>
  </cols>
  <sheetData>
    <row r="1" spans="1:14" ht="15.5" customHeight="1" x14ac:dyDescent="0.35">
      <c r="A1" s="63" t="s">
        <v>0</v>
      </c>
    </row>
    <row r="2" spans="1:14" x14ac:dyDescent="0.35">
      <c r="A2" t="s">
        <v>1</v>
      </c>
    </row>
    <row r="4" spans="1:14" x14ac:dyDescent="0.35">
      <c r="A4" s="25" t="s">
        <v>2</v>
      </c>
      <c r="B4" s="61">
        <v>2E-3</v>
      </c>
      <c r="C4" s="36" t="s">
        <v>3</v>
      </c>
      <c r="I4" s="43"/>
      <c r="J4" s="43"/>
      <c r="K4" s="43"/>
      <c r="L4" s="43"/>
      <c r="M4" s="71" t="s">
        <v>4</v>
      </c>
    </row>
    <row r="5" spans="1:14" x14ac:dyDescent="0.35">
      <c r="A5" s="22" t="s">
        <v>5</v>
      </c>
      <c r="B5" s="61">
        <v>104.35</v>
      </c>
      <c r="C5" s="22" t="s">
        <v>6</v>
      </c>
      <c r="D5" s="72">
        <f>(H77-H114)/(2*B8*0.0001)</f>
        <v>-6.1563568979329801</v>
      </c>
      <c r="E5" s="22" t="s">
        <v>7</v>
      </c>
      <c r="F5" s="24">
        <f>H77</f>
        <v>99.671549296212916</v>
      </c>
      <c r="G5" s="11" t="s">
        <v>8</v>
      </c>
      <c r="H5" s="48"/>
      <c r="I5" s="48"/>
      <c r="J5" s="48"/>
      <c r="K5" s="48"/>
      <c r="L5" s="48"/>
      <c r="M5" s="1" t="s">
        <v>9</v>
      </c>
      <c r="N5" s="48"/>
    </row>
    <row r="6" spans="1:14" x14ac:dyDescent="0.35">
      <c r="A6" s="22" t="s">
        <v>10</v>
      </c>
      <c r="B6" s="61">
        <v>0.95430000000000004</v>
      </c>
      <c r="C6" s="22" t="s">
        <v>11</v>
      </c>
      <c r="D6" s="72">
        <f>(H114+H77-2*$B$8)/(2*$B$8*(0.0001)^2)</f>
        <v>152287.81379332475</v>
      </c>
      <c r="E6" s="22" t="s">
        <v>12</v>
      </c>
      <c r="F6" s="24">
        <f>H114</f>
        <v>99.794160783874162</v>
      </c>
      <c r="G6" s="12">
        <f>SUM(H6:M6)</f>
        <v>0</v>
      </c>
      <c r="H6" s="49"/>
      <c r="I6" s="47"/>
      <c r="J6" s="47"/>
      <c r="K6" s="47"/>
      <c r="L6" s="47"/>
      <c r="M6" s="1" t="s">
        <v>13</v>
      </c>
      <c r="N6" s="47"/>
    </row>
    <row r="7" spans="1:14" x14ac:dyDescent="0.35">
      <c r="A7" s="22" t="s">
        <v>14</v>
      </c>
      <c r="B7" s="61">
        <v>4</v>
      </c>
      <c r="C7" s="22" t="s">
        <v>15</v>
      </c>
      <c r="D7" s="60">
        <f>D8</f>
        <v>-36.985999999999997</v>
      </c>
      <c r="E7" s="22" t="s">
        <v>16</v>
      </c>
      <c r="F7" s="52">
        <f>((B8-H150)/B8)-1</f>
        <v>-0.99456107968824081</v>
      </c>
      <c r="G7" s="53"/>
      <c r="H7" s="47"/>
      <c r="I7" s="50"/>
      <c r="J7" s="50"/>
      <c r="K7" s="50"/>
      <c r="L7" s="50"/>
      <c r="M7" s="1" t="s">
        <v>17</v>
      </c>
      <c r="N7" s="50"/>
    </row>
    <row r="8" spans="1:14" x14ac:dyDescent="0.35">
      <c r="A8" s="22" t="s">
        <v>18</v>
      </c>
      <c r="B8" s="68">
        <f>B5*B6</f>
        <v>99.581204999999997</v>
      </c>
      <c r="C8" s="22" t="s">
        <v>19</v>
      </c>
      <c r="D8" s="60">
        <v>-36.985999999999997</v>
      </c>
      <c r="E8" s="22" t="s">
        <v>20</v>
      </c>
      <c r="F8" s="52">
        <f>D5*0.0001*B8</f>
        <v>-6.1305743830622816E-2</v>
      </c>
      <c r="G8" s="53"/>
      <c r="H8" s="47"/>
      <c r="I8" s="51"/>
      <c r="J8" s="51"/>
      <c r="K8" s="51"/>
      <c r="L8" s="51"/>
      <c r="M8" s="1" t="s">
        <v>21</v>
      </c>
      <c r="N8" s="51"/>
    </row>
    <row r="9" spans="1:14" x14ac:dyDescent="0.35">
      <c r="A9" s="22" t="s">
        <v>22</v>
      </c>
      <c r="B9" s="62">
        <v>-28.468</v>
      </c>
      <c r="C9" s="22" t="s">
        <v>23</v>
      </c>
      <c r="D9" s="69">
        <f>B9*F8</f>
        <v>1.7452519153701704</v>
      </c>
      <c r="E9" s="22" t="s">
        <v>24</v>
      </c>
      <c r="F9" s="70">
        <f>B12*ABS(F7)</f>
        <v>106.50936593412938</v>
      </c>
      <c r="G9" s="53" t="s">
        <v>25</v>
      </c>
      <c r="H9" s="47"/>
      <c r="I9" s="46"/>
      <c r="J9" s="46"/>
      <c r="K9" s="46"/>
      <c r="L9" s="46"/>
      <c r="M9" s="1" t="s">
        <v>26</v>
      </c>
      <c r="N9" s="46"/>
    </row>
    <row r="10" spans="1:14" x14ac:dyDescent="0.35">
      <c r="A10" s="45"/>
      <c r="B10" s="53"/>
      <c r="C10" s="45"/>
      <c r="D10" s="44"/>
      <c r="E10" s="45"/>
      <c r="G10" s="13"/>
      <c r="H10" s="47"/>
      <c r="I10" s="46"/>
      <c r="J10" s="46"/>
      <c r="K10" s="46"/>
      <c r="L10" s="46"/>
      <c r="M10" s="46"/>
      <c r="N10" s="46"/>
    </row>
    <row r="11" spans="1:14" x14ac:dyDescent="0.35">
      <c r="A11" s="22" t="s">
        <v>27</v>
      </c>
      <c r="B11" s="73">
        <f t="shared" ref="B11:G11" si="0">B12*ABS($F$7)</f>
        <v>106.50936593412938</v>
      </c>
      <c r="C11" s="73">
        <f t="shared" si="0"/>
        <v>102.5922136837458</v>
      </c>
      <c r="D11" s="73">
        <f t="shared" si="0"/>
        <v>98.742023483421647</v>
      </c>
      <c r="E11" s="73">
        <f t="shared" si="0"/>
        <v>94.957664570837863</v>
      </c>
      <c r="F11" s="73">
        <f t="shared" si="0"/>
        <v>91.251818017233163</v>
      </c>
      <c r="G11" s="73">
        <f t="shared" si="0"/>
        <v>87.611105155243379</v>
      </c>
      <c r="H11" s="47"/>
      <c r="I11" s="46"/>
      <c r="J11" s="46"/>
      <c r="K11" s="46"/>
      <c r="L11" s="46"/>
      <c r="M11" s="46"/>
      <c r="N11" s="46"/>
    </row>
    <row r="12" spans="1:14" x14ac:dyDescent="0.35">
      <c r="A12" s="22" t="s">
        <v>28</v>
      </c>
      <c r="B12" s="56">
        <f>SUM(B14:G14)</f>
        <v>107.09182986279359</v>
      </c>
      <c r="C12" s="56">
        <f>SUM(C14:G14)</f>
        <v>103.15325602315423</v>
      </c>
      <c r="D12" s="56">
        <f>SUM(D14:G14)</f>
        <v>99.282010426522746</v>
      </c>
      <c r="E12" s="56">
        <f>SUM(E14:G14)</f>
        <v>95.476956126820966</v>
      </c>
      <c r="F12" s="56">
        <f>SUM(F14:G14)</f>
        <v>91.750843543804606</v>
      </c>
      <c r="G12" s="56">
        <f>G14</f>
        <v>88.090220846673702</v>
      </c>
      <c r="H12" s="47"/>
      <c r="I12" s="46"/>
      <c r="J12" s="46"/>
      <c r="K12" s="46"/>
      <c r="L12" s="46"/>
      <c r="M12" s="46"/>
      <c r="N12" s="46"/>
    </row>
    <row r="13" spans="1:14" ht="13.5" customHeight="1" x14ac:dyDescent="0.35">
      <c r="A13" s="23" t="s">
        <v>29</v>
      </c>
      <c r="B13" s="57">
        <v>1</v>
      </c>
      <c r="C13" s="58">
        <v>2</v>
      </c>
      <c r="D13" s="57">
        <v>3</v>
      </c>
      <c r="E13" s="58">
        <v>4</v>
      </c>
      <c r="F13" s="58">
        <v>5</v>
      </c>
      <c r="G13" s="57">
        <v>6</v>
      </c>
      <c r="H13" s="47"/>
      <c r="I13" s="46"/>
      <c r="J13" s="46"/>
      <c r="K13" s="46"/>
      <c r="L13" s="46"/>
      <c r="M13" s="46"/>
      <c r="N13" s="46"/>
    </row>
    <row r="14" spans="1:14" ht="13.5" customHeight="1" x14ac:dyDescent="0.35">
      <c r="A14" s="64" t="s">
        <v>30</v>
      </c>
      <c r="B14" s="56">
        <f>$B$7/(1+$B$22+$D$8/10000)^$B$13</f>
        <v>3.9385738396393593</v>
      </c>
      <c r="C14" s="56">
        <f>$B$7/(1+$C$22+$D$8/10000)^$C$13</f>
        <v>3.8712455966314763</v>
      </c>
      <c r="D14" s="56">
        <f>$B$7/(1+$D$22+$D$8/10000)^$D$13</f>
        <v>3.8050542997017751</v>
      </c>
      <c r="E14" s="56">
        <f>$B$7/(1+$E$22+$D$8/10000)^$E$13</f>
        <v>3.7261125830163659</v>
      </c>
      <c r="F14" s="56">
        <f>$B$7/(1+$E$22+$D$8/10000)^$F$13</f>
        <v>3.6606226971309037</v>
      </c>
      <c r="G14" s="56">
        <f>(100+$B$22)/(1+$G$22+$D$8/10000)^$G$13</f>
        <v>88.090220846673702</v>
      </c>
      <c r="H14" s="47"/>
      <c r="I14" s="46"/>
      <c r="J14" s="46"/>
      <c r="K14" s="46"/>
      <c r="L14" s="46"/>
      <c r="M14" s="46"/>
      <c r="N14" s="46"/>
    </row>
    <row r="15" spans="1:14" ht="13.5" customHeight="1" x14ac:dyDescent="0.35">
      <c r="A15" s="24" t="s">
        <v>31</v>
      </c>
      <c r="B15" s="59">
        <f>B22</f>
        <v>1.9294641324000002E-2</v>
      </c>
      <c r="C15" s="59">
        <f>B23/C23-1</f>
        <v>2.1090478191500006E-2</v>
      </c>
      <c r="D15" s="59">
        <f>C23/D23-1</f>
        <v>2.1094223829962067E-2</v>
      </c>
      <c r="E15" s="59">
        <f>D23/E23-1</f>
        <v>2.4884653568939319E-2</v>
      </c>
      <c r="F15" s="59">
        <f>E23/F23-1</f>
        <v>2.9104575813936107E-2</v>
      </c>
      <c r="G15" s="59">
        <f>F23/G23-1</f>
        <v>3.5167413930843994E-2</v>
      </c>
      <c r="H15" s="50"/>
      <c r="I15" s="46"/>
      <c r="J15" s="46"/>
      <c r="K15" s="46"/>
      <c r="L15" s="46"/>
      <c r="M15" s="46"/>
      <c r="N15" s="46"/>
    </row>
    <row r="16" spans="1:14" ht="13.5" customHeight="1" x14ac:dyDescent="0.35">
      <c r="A16" s="24" t="s">
        <v>32</v>
      </c>
      <c r="B16" s="56">
        <f t="shared" ref="B16:G16" si="1">1/(1+B15+$D$8/10000)</f>
        <v>0.98464345990983981</v>
      </c>
      <c r="C16" s="56">
        <f t="shared" si="1"/>
        <v>0.98290542851352869</v>
      </c>
      <c r="D16" s="56">
        <f t="shared" si="1"/>
        <v>0.98290180985399123</v>
      </c>
      <c r="E16" s="56">
        <f t="shared" si="1"/>
        <v>0.97925348324637207</v>
      </c>
      <c r="F16" s="56">
        <f t="shared" si="1"/>
        <v>0.97522349546113229</v>
      </c>
      <c r="G16" s="56">
        <f t="shared" si="1"/>
        <v>0.9694912599335711</v>
      </c>
      <c r="H16" s="47"/>
      <c r="I16" s="46"/>
      <c r="J16" s="46"/>
      <c r="K16" s="46"/>
      <c r="L16" s="46"/>
      <c r="M16" s="46"/>
      <c r="N16" s="46"/>
    </row>
    <row r="17" spans="1:14" ht="13.5" customHeight="1" x14ac:dyDescent="0.35">
      <c r="A17" s="24" t="s">
        <v>8</v>
      </c>
      <c r="B17" s="56">
        <f>MIN($B$8,B$16*C17)+$B$7</f>
        <v>103.581205</v>
      </c>
      <c r="C17" s="56">
        <f>MIN($B$8,C$16*D17)+$B$7</f>
        <v>103.581205</v>
      </c>
      <c r="D17" s="56">
        <f>MIN($B$8,D$16*E17)+$B$7</f>
        <v>103.581205</v>
      </c>
      <c r="E17" s="56">
        <f>MIN($B$8,E$16*F17)+$B$7</f>
        <v>103.581205</v>
      </c>
      <c r="F17" s="56">
        <f>MIN($B$8,F$16*G17)+$B$7</f>
        <v>103.581205</v>
      </c>
      <c r="G17" s="56">
        <f>MIN($B$8,(100+$B$7)*$G$16)+$B$7</f>
        <v>103.581205</v>
      </c>
      <c r="H17" s="47"/>
      <c r="I17" s="46"/>
      <c r="J17" s="46"/>
      <c r="K17" s="46"/>
      <c r="L17" s="46"/>
      <c r="M17" s="46"/>
      <c r="N17" s="46"/>
    </row>
    <row r="18" spans="1:14" x14ac:dyDescent="0.35">
      <c r="B18" s="44"/>
      <c r="G18" s="13"/>
      <c r="H18" s="10"/>
      <c r="I18" s="10"/>
      <c r="J18" s="10"/>
      <c r="K18" s="10"/>
    </row>
    <row r="19" spans="1:14" x14ac:dyDescent="0.35">
      <c r="A19" s="26" t="s">
        <v>33</v>
      </c>
      <c r="B19" s="27">
        <v>1</v>
      </c>
      <c r="C19" s="27">
        <v>2</v>
      </c>
      <c r="D19" s="27">
        <v>3</v>
      </c>
      <c r="E19" s="27">
        <v>4</v>
      </c>
      <c r="F19" s="27">
        <v>5</v>
      </c>
      <c r="G19" s="27">
        <v>6</v>
      </c>
    </row>
    <row r="20" spans="1:14" x14ac:dyDescent="0.35">
      <c r="A20" s="29" t="s">
        <v>34</v>
      </c>
      <c r="B20" s="5">
        <v>2.2200000000000001E-2</v>
      </c>
      <c r="C20" s="5">
        <v>2.3099999999999999E-2</v>
      </c>
      <c r="D20" s="5">
        <v>2.3400000000000001E-2</v>
      </c>
      <c r="E20" s="5">
        <v>2.4500000000000001E-2</v>
      </c>
      <c r="F20" s="5">
        <v>2.5999999999999999E-2</v>
      </c>
      <c r="G20" s="5">
        <v>2.8000000000000001E-2</v>
      </c>
      <c r="H20" s="36" t="s">
        <v>35</v>
      </c>
    </row>
    <row r="21" spans="1:14" x14ac:dyDescent="0.35">
      <c r="A21" s="29" t="s">
        <v>36</v>
      </c>
      <c r="B21" s="5">
        <v>2.0570000000000001E-2</v>
      </c>
      <c r="C21" s="5">
        <v>2.1440000000000001E-2</v>
      </c>
      <c r="D21" s="5">
        <v>2.1229999999999999E-2</v>
      </c>
      <c r="E21" s="5">
        <v>2.2563E-2</v>
      </c>
      <c r="F21" s="5">
        <v>2.30134E-2</v>
      </c>
      <c r="G21" s="5">
        <v>2.18E-2</v>
      </c>
      <c r="H21" s="54" t="s">
        <v>37</v>
      </c>
    </row>
    <row r="22" spans="1:14" x14ac:dyDescent="0.35">
      <c r="A22" s="29" t="s">
        <v>38</v>
      </c>
      <c r="B22" s="6">
        <f t="shared" ref="B22:G22" si="2">B20+($B$9*(1+B21))/10000</f>
        <v>1.9294641324000002E-2</v>
      </c>
      <c r="C22" s="6">
        <f t="shared" si="2"/>
        <v>2.0192164608E-2</v>
      </c>
      <c r="D22" s="6">
        <f t="shared" si="2"/>
        <v>2.0492762436000001E-2</v>
      </c>
      <c r="E22" s="6">
        <f t="shared" si="2"/>
        <v>2.15889676516E-2</v>
      </c>
      <c r="F22" s="6">
        <f t="shared" si="2"/>
        <v>2.3087685452880001E-2</v>
      </c>
      <c r="G22" s="6">
        <f t="shared" si="2"/>
        <v>2.5091139759999999E-2</v>
      </c>
      <c r="H22" s="54" t="s">
        <v>39</v>
      </c>
    </row>
    <row r="23" spans="1:14" x14ac:dyDescent="0.35">
      <c r="A23" s="29" t="s">
        <v>8</v>
      </c>
      <c r="B23" s="7">
        <f t="shared" ref="B23:G23" si="3">1/(1+B22)^B19</f>
        <v>0.98107059476057135</v>
      </c>
      <c r="C23" s="7">
        <f t="shared" si="3"/>
        <v>0.96080672155340274</v>
      </c>
      <c r="D23" s="7">
        <f t="shared" si="3"/>
        <v>0.94095794406667921</v>
      </c>
      <c r="E23" s="7">
        <f t="shared" si="3"/>
        <v>0.91811106819679311</v>
      </c>
      <c r="F23" s="7">
        <f t="shared" si="3"/>
        <v>0.8921455503884469</v>
      </c>
      <c r="G23" s="7">
        <f t="shared" si="3"/>
        <v>0.86183697282423155</v>
      </c>
      <c r="H23" s="34" t="s">
        <v>40</v>
      </c>
    </row>
    <row r="24" spans="1:14" x14ac:dyDescent="0.35">
      <c r="A24" s="30"/>
      <c r="B24" s="4"/>
      <c r="C24" s="4"/>
      <c r="D24" s="4"/>
      <c r="E24" s="4"/>
      <c r="F24" s="4"/>
      <c r="G24" s="8">
        <f>F32*EXP(10*$G$21)</f>
        <v>7.7246628830304823E-2</v>
      </c>
      <c r="H24" s="55" t="s">
        <v>41</v>
      </c>
      <c r="M24" s="2">
        <f>MIN($B$8,((100+$B$7)/(1+G24+$D$8/10000)))+$B$7</f>
        <v>100.87503232930739</v>
      </c>
    </row>
    <row r="25" spans="1:14" x14ac:dyDescent="0.35">
      <c r="A25" s="30"/>
      <c r="B25" s="4"/>
      <c r="C25" s="4"/>
      <c r="D25" s="4"/>
      <c r="E25" s="4"/>
      <c r="F25" s="4"/>
      <c r="G25" s="9">
        <f>(F32+$B$4)*EXP(10*$G$21)</f>
        <v>7.9733802965542944E-2</v>
      </c>
      <c r="H25" s="17"/>
      <c r="M25" s="2">
        <f t="shared" ref="M25:M39" si="4">MIN($B$8,(100+$B$7)/(1+G25+$D$8/10000))+$B$7</f>
        <v>100.65111300576132</v>
      </c>
    </row>
    <row r="26" spans="1:14" x14ac:dyDescent="0.35">
      <c r="A26" s="30"/>
      <c r="B26" s="4"/>
      <c r="C26" s="4"/>
      <c r="D26" s="4"/>
      <c r="E26" s="4"/>
      <c r="F26" s="4"/>
      <c r="G26" s="8">
        <f>F33*EXP(10*$G$21)</f>
        <v>8.0377405717607903E-2</v>
      </c>
      <c r="H26" s="17"/>
      <c r="M26" s="2">
        <f t="shared" si="4"/>
        <v>100.59333818750511</v>
      </c>
    </row>
    <row r="27" spans="1:14" x14ac:dyDescent="0.35">
      <c r="A27" s="30"/>
      <c r="B27" s="4"/>
      <c r="C27" s="4"/>
      <c r="D27" s="4"/>
      <c r="E27" s="4"/>
      <c r="F27" s="4"/>
      <c r="G27" s="9">
        <f>(F33+$B$4)*EXP(10*$G$21)</f>
        <v>8.2864579852846038E-2</v>
      </c>
      <c r="H27" s="17"/>
      <c r="M27" s="2">
        <f t="shared" si="4"/>
        <v>100.37071770385251</v>
      </c>
    </row>
    <row r="28" spans="1:14" x14ac:dyDescent="0.35">
      <c r="A28" s="30"/>
      <c r="B28" s="4"/>
      <c r="C28" s="4"/>
      <c r="D28" s="4"/>
      <c r="E28" s="4"/>
      <c r="F28" s="4"/>
      <c r="G28" s="8">
        <f>F34*EXP(10*$G$21)</f>
        <v>8.1169842691937444E-2</v>
      </c>
      <c r="H28" s="17"/>
      <c r="M28" s="2">
        <f t="shared" si="4"/>
        <v>100.52229765331651</v>
      </c>
    </row>
    <row r="29" spans="1:14" x14ac:dyDescent="0.35">
      <c r="A29" s="30"/>
      <c r="B29" s="4"/>
      <c r="C29" s="4"/>
      <c r="D29" s="4"/>
      <c r="E29" s="4"/>
      <c r="F29" s="4"/>
      <c r="G29" s="9">
        <f>(F34+$B$4)*EXP(10*$G$21)</f>
        <v>8.3657016827175579E-2</v>
      </c>
      <c r="H29" s="17"/>
      <c r="M29" s="2">
        <f t="shared" si="4"/>
        <v>100.30000412936548</v>
      </c>
    </row>
    <row r="30" spans="1:14" x14ac:dyDescent="0.35">
      <c r="A30" s="30"/>
      <c r="B30" s="4"/>
      <c r="C30" s="4"/>
      <c r="D30" s="4"/>
      <c r="E30" s="4"/>
      <c r="F30" s="4"/>
      <c r="G30" s="8">
        <f>F35*EXP(10*$G$21)</f>
        <v>8.4300619579240524E-2</v>
      </c>
      <c r="H30" s="17"/>
      <c r="M30" s="2">
        <f t="shared" si="4"/>
        <v>100.24264818651274</v>
      </c>
    </row>
    <row r="31" spans="1:14" x14ac:dyDescent="0.35">
      <c r="A31" s="30"/>
      <c r="B31" s="4"/>
      <c r="C31" s="42"/>
      <c r="D31" s="4"/>
      <c r="E31" s="4"/>
      <c r="F31" s="4"/>
      <c r="G31" s="9">
        <f>(F35+$B$4)*EXP(10*$G$21)</f>
        <v>8.6787793714478645E-2</v>
      </c>
      <c r="H31" s="15"/>
      <c r="I31" s="16"/>
      <c r="J31" s="16"/>
      <c r="K31" s="16"/>
      <c r="L31" s="16"/>
      <c r="M31" s="2">
        <f t="shared" si="4"/>
        <v>100.02163940287288</v>
      </c>
    </row>
    <row r="32" spans="1:14" x14ac:dyDescent="0.35">
      <c r="A32" s="30"/>
      <c r="B32" s="4"/>
      <c r="C32" s="4"/>
      <c r="D32" s="4"/>
      <c r="E32" s="4"/>
      <c r="F32" s="8">
        <f>E36*EXP(10*$F$21)</f>
        <v>6.2115979525421666E-2</v>
      </c>
      <c r="G32" s="8">
        <f>F36*EXP(10*$G$21)</f>
        <v>8.60209703297177E-2</v>
      </c>
      <c r="I32" s="16"/>
      <c r="J32" s="16"/>
      <c r="K32" s="16"/>
      <c r="L32" s="2">
        <f>MIN($B$8,AVERAGE(M24:M25)/(1+F32+$D$8/10000))+$B$7</f>
        <v>99.201642203489712</v>
      </c>
      <c r="M32" s="2">
        <f t="shared" si="4"/>
        <v>100.08967055565667</v>
      </c>
    </row>
    <row r="33" spans="1:13" x14ac:dyDescent="0.35">
      <c r="A33" s="30"/>
      <c r="B33" s="4"/>
      <c r="C33" s="4"/>
      <c r="D33" s="4"/>
      <c r="E33" s="4"/>
      <c r="F33" s="9">
        <f>(E36+$B$4)*EXP(10*$F$21)</f>
        <v>6.4633516872683719E-2</v>
      </c>
      <c r="G33" s="9">
        <f>(F36+$B$4)*EXP(10*$G$21)</f>
        <v>8.8508144464955835E-2</v>
      </c>
      <c r="J33" s="16"/>
      <c r="K33" s="16"/>
      <c r="L33" s="2">
        <f>MIN($B$8,AVERAGE(M26:M27)/(1+F33+$D$8/10000))+$B$7</f>
        <v>98.710831312696868</v>
      </c>
      <c r="M33" s="2">
        <f t="shared" si="4"/>
        <v>99.869362996150954</v>
      </c>
    </row>
    <row r="34" spans="1:13" x14ac:dyDescent="0.35">
      <c r="A34" s="30"/>
      <c r="B34" s="4"/>
      <c r="C34" s="4"/>
      <c r="D34" s="4"/>
      <c r="E34" s="4"/>
      <c r="F34" s="8">
        <f>E37*EXP(10*$F$21)</f>
        <v>6.5270735604659375E-2</v>
      </c>
      <c r="G34" s="8">
        <f>F37*EXP(10*$G$21)</f>
        <v>8.915174721702078E-2</v>
      </c>
      <c r="K34" s="16"/>
      <c r="L34" s="2">
        <f>MIN($B$8,AVERAGE(M28:M29)/(1+F34+$D$8/10000))+$B$7</f>
        <v>98.58721411724693</v>
      </c>
      <c r="M34" s="2">
        <f t="shared" si="4"/>
        <v>99.812518731595432</v>
      </c>
    </row>
    <row r="35" spans="1:13" x14ac:dyDescent="0.35">
      <c r="A35" s="30"/>
      <c r="B35" s="4"/>
      <c r="C35" s="4"/>
      <c r="D35" s="4"/>
      <c r="E35" s="4"/>
      <c r="F35" s="9">
        <f>(E37+$B$4)*EXP(10*$F$21)</f>
        <v>6.7788272951921413E-2</v>
      </c>
      <c r="G35" s="9">
        <f>(F37+$B$4)*EXP(10*$G$21)</f>
        <v>9.1638921352258901E-2</v>
      </c>
      <c r="K35" s="2">
        <f>MIN($B$8,AVERAGE(L32:L33)/(1+E36+$D$8/10000))+$B$7</f>
        <v>98.636278036545193</v>
      </c>
      <c r="L35" s="2">
        <f>MIN($B$8,AVERAGE(M30:M31)/(1+F35+$D$8/10000))+$B$7</f>
        <v>98.101226935990638</v>
      </c>
      <c r="M35" s="2">
        <f t="shared" si="4"/>
        <v>99.593478758773173</v>
      </c>
    </row>
    <row r="36" spans="1:13" x14ac:dyDescent="0.35">
      <c r="A36" s="30"/>
      <c r="B36" s="4"/>
      <c r="C36" s="4"/>
      <c r="D36" s="4"/>
      <c r="E36" s="8">
        <f>D37*EXP(10*$E$21)</f>
        <v>4.9346620095210111E-2</v>
      </c>
      <c r="F36" s="8">
        <f>E38*EXP(10*$F$21)</f>
        <v>6.9171650758970277E-2</v>
      </c>
      <c r="G36" s="8">
        <f>F38*EXP(10*$G$21)</f>
        <v>8.5228533355388159E-2</v>
      </c>
      <c r="K36" s="2">
        <f>MIN($B$8,AVERAGE(L34:L35)/(1+E37+$D$8/10000))+$B$7</f>
        <v>97.826095819521186</v>
      </c>
      <c r="L36" s="2">
        <f>MIN($B$8,AVERAGE(M32:M33)/(1+F36+$D$8/10000))+$B$7</f>
        <v>97.835800637740419</v>
      </c>
      <c r="M36" s="2">
        <f t="shared" si="4"/>
        <v>100.16007545657625</v>
      </c>
    </row>
    <row r="37" spans="1:13" x14ac:dyDescent="0.35">
      <c r="A37" s="30"/>
      <c r="B37" s="4"/>
      <c r="C37" s="4"/>
      <c r="D37" s="8">
        <f>C39*EXP(10*$D$21)</f>
        <v>3.9379259736892963E-2</v>
      </c>
      <c r="E37" s="9">
        <f>(D37+$B$4)*EXP(10*$E$21)</f>
        <v>5.1852843951367529E-2</v>
      </c>
      <c r="F37" s="9">
        <f>(E38+$B$4)*EXP(10*$F$21)</f>
        <v>7.1689188106232316E-2</v>
      </c>
      <c r="G37" s="9">
        <f>(F38+$B$4)*EXP(10*$G$21)</f>
        <v>8.7715707490626293E-2</v>
      </c>
      <c r="J37" s="2">
        <f>MIN($B$8,AVERAGE(K35:K36)/(1+D37+$D$8/10000))+$B$7</f>
        <v>98.846983966069345</v>
      </c>
      <c r="K37" s="2">
        <f>MIN($B$8,AVERAGE(L36:L37)/(1+E38+$D$8/10000))+$B$7</f>
        <v>96.837522039418786</v>
      </c>
      <c r="L37" s="2">
        <f>MIN($B$8,AVERAGE(M34:M35)/(1+F37+$D$8/10000))+$B$7</f>
        <v>97.355690448525678</v>
      </c>
      <c r="M37" s="2">
        <f t="shared" si="4"/>
        <v>99.939445310736772</v>
      </c>
    </row>
    <row r="38" spans="1:13" x14ac:dyDescent="0.35">
      <c r="A38" s="30"/>
      <c r="B38" s="4"/>
      <c r="C38" s="4"/>
      <c r="D38" s="9">
        <f>(C39+$B$4)*EXP(10*$D$21)</f>
        <v>4.1852297307045455E-2</v>
      </c>
      <c r="E38" s="9">
        <f>(D38+$B$4)*EXP(10*$E$21)</f>
        <v>5.4951836829112401E-2</v>
      </c>
      <c r="F38" s="9">
        <f>(E39+$B$4)*EXP(10*$F$21)</f>
        <v>6.8534432026994621E-2</v>
      </c>
      <c r="G38" s="9">
        <f>(F39+$B$4)*EXP(10*$G$21)</f>
        <v>8.45849306033232E-2</v>
      </c>
      <c r="H38" s="34"/>
      <c r="J38" s="2">
        <f>MIN($B$8,AVERAGE(K37:K38)/(1+D38+$D$8/10000))+$B$7</f>
        <v>97.663106619113165</v>
      </c>
      <c r="K38" s="2">
        <f>MIN($B$8,AVERAGE(L38:L39)/(1+E39+$D$8/10000))+$B$7</f>
        <v>97.635878836373848</v>
      </c>
      <c r="L38" s="2">
        <f>MIN($B$8,AVERAGE(M36:M37)/(1+F38+$D$8/10000))+$B$7</f>
        <v>97.957920436621976</v>
      </c>
      <c r="M38" s="2">
        <f t="shared" si="4"/>
        <v>100.21733299370143</v>
      </c>
    </row>
    <row r="39" spans="1:13" x14ac:dyDescent="0.35">
      <c r="A39" s="30"/>
      <c r="B39" s="4"/>
      <c r="C39" s="9">
        <f>(B40+$B$4)*EXP(10*$C$21)</f>
        <v>3.1846875447561276E-2</v>
      </c>
      <c r="D39" s="4"/>
      <c r="E39" s="8">
        <f>D38*EXP(10*$E$21)</f>
        <v>5.2445612972954983E-2</v>
      </c>
      <c r="F39" s="8">
        <f>E39*EXP(10*$F$21)</f>
        <v>6.6016894679732568E-2</v>
      </c>
      <c r="G39" s="8">
        <f>F39*EXP(10*$G$21)</f>
        <v>8.2097756468085079E-2</v>
      </c>
      <c r="H39" s="19"/>
      <c r="I39" s="2">
        <f>MIN($B$8,AVERAGE(J37:J38)/(1+C39+$D$8/10000))+$B$7</f>
        <v>99.565053834107772</v>
      </c>
      <c r="J39" s="16"/>
      <c r="K39" s="16"/>
      <c r="L39" s="2">
        <f t="array" ref="L39">MIN($B$8,AVERAGE(M38:M39/(1+F39+$D$8/10000))+$B$7)</f>
        <v>98.442776036867187</v>
      </c>
      <c r="M39" s="2">
        <f t="shared" si="4"/>
        <v>100.43924457490787</v>
      </c>
    </row>
    <row r="40" spans="1:13" x14ac:dyDescent="0.35">
      <c r="A40" s="30"/>
      <c r="B40" s="41">
        <f>B22*EXP(10*B21)</f>
        <v>2.3701240907870486E-2</v>
      </c>
      <c r="C40" s="14"/>
      <c r="D40" s="4"/>
      <c r="E40" s="4"/>
      <c r="F40" s="4"/>
      <c r="G40" s="4"/>
      <c r="H40" s="67">
        <f>AVERAGE(I39:I41)/(1+B40+$D$8/10000)</f>
        <v>99.581241600165868</v>
      </c>
      <c r="L40" s="16"/>
      <c r="M40" s="16"/>
    </row>
    <row r="41" spans="1:13" x14ac:dyDescent="0.35">
      <c r="A41" s="30"/>
      <c r="B41" s="4"/>
      <c r="C41" s="40">
        <f>(B40-$B$4)*EXP(10*$C$21)</f>
        <v>2.689040263572769E-2</v>
      </c>
      <c r="D41" s="4"/>
      <c r="E41" s="8">
        <f>D42*EXP(10*$E$21)</f>
        <v>3.8567590246161076E-2</v>
      </c>
      <c r="F41" s="8">
        <f>E41*EXP(10*$F$21)</f>
        <v>4.8547674419304992E-2</v>
      </c>
      <c r="G41" s="8">
        <f>F41*EXP(10*$G$21)</f>
        <v>6.0373260070828438E-2</v>
      </c>
      <c r="H41" s="77" t="s">
        <v>42</v>
      </c>
      <c r="I41" s="2">
        <f>MIN($B$8,AVERAGE(J42:J43)/(1+C41+$D$8/10000))+$B$7</f>
        <v>103.581205</v>
      </c>
      <c r="J41" s="16"/>
      <c r="K41" s="16"/>
      <c r="L41" s="2">
        <f>MIN($B$8,AVERAGE(M41:M42)/(1+F41+$D$8/10000))+$B$7</f>
        <v>102.13673167230291</v>
      </c>
      <c r="M41" s="2">
        <f t="shared" ref="M41:M56" si="5">MIN($B$8,(100+$B$7)/(1+G41+$D$8/10000))+$B$7</f>
        <v>102.42196839756613</v>
      </c>
    </row>
    <row r="42" spans="1:13" x14ac:dyDescent="0.35">
      <c r="A42" s="30"/>
      <c r="B42" s="4"/>
      <c r="C42" s="4"/>
      <c r="D42" s="40">
        <f>(C41-$B$4)*EXP(10*$D$21)</f>
        <v>3.0777450427188571E-2</v>
      </c>
      <c r="E42" s="40">
        <f>(D42-$B$4)*EXP(10*$E$21)</f>
        <v>3.6061366390003666E-2</v>
      </c>
      <c r="F42" s="40">
        <f>(E41-$B$4)*EXP(10*$E$21)</f>
        <v>4.5823283518559001E-2</v>
      </c>
      <c r="G42" s="40">
        <f>(F41-$B$4)*EXP(10*$G$21)</f>
        <v>5.788608593559031E-2</v>
      </c>
      <c r="H42" s="34" t="s">
        <v>43</v>
      </c>
      <c r="J42" s="2">
        <f>MIN($B$8,AVERAGE(K42:K43)/(1+D42+$D$8/10000))+$B$7</f>
        <v>103.581205</v>
      </c>
      <c r="K42" s="2">
        <f>MIN($B$8,AVERAGE(L41:L42)/(1+E41+$D$8/10000))+$B$7</f>
        <v>102.96640447649418</v>
      </c>
      <c r="L42" s="2">
        <f>MIN($B$8,AVERAGE(M43:M44)/(1+F42+$D$8/10000))+$B$7</f>
        <v>102.69779446546244</v>
      </c>
      <c r="M42" s="2">
        <f t="shared" si="5"/>
        <v>102.65417811111665</v>
      </c>
    </row>
    <row r="43" spans="1:13" x14ac:dyDescent="0.35">
      <c r="A43" s="30"/>
      <c r="B43" s="4"/>
      <c r="C43" s="4"/>
      <c r="D43" s="8">
        <f>C41*EXP(10*$D$21)</f>
        <v>3.3250487997341059E-2</v>
      </c>
      <c r="E43" s="40">
        <f>(D43-$B$4)*EXP(10*$E$21)</f>
        <v>3.9160359267748523E-2</v>
      </c>
      <c r="F43" s="40">
        <f>(E42-$B$4)*EXP(10*$E$21)</f>
        <v>4.268270450997274E-2</v>
      </c>
      <c r="G43" s="40">
        <f>(F42-$B$4)*EXP(10*$G$21)</f>
        <v>5.4498068644283554E-2</v>
      </c>
      <c r="H43" s="17"/>
      <c r="J43" s="2">
        <f>MIN($B$8,AVERAGE(K44:K45)/(1+D43+$D$8/10000))+$B$7</f>
        <v>103.39534476513342</v>
      </c>
      <c r="K43" s="2">
        <f>MIN($B$8,AVERAGE(L43:L44)/(1+E42+$D$8/10000))+$B$7</f>
        <v>103.581205</v>
      </c>
      <c r="L43" s="2">
        <f>MIN($B$8,AVERAGE(M45:M46)/(1+F43+$D$8/10000))+$B$7</f>
        <v>103.35066832190175</v>
      </c>
      <c r="M43" s="2">
        <f t="shared" si="5"/>
        <v>102.9722616953531</v>
      </c>
    </row>
    <row r="44" spans="1:13" x14ac:dyDescent="0.35">
      <c r="A44" s="30"/>
      <c r="B44" s="4"/>
      <c r="C44" s="4"/>
      <c r="D44" s="4"/>
      <c r="E44" s="8">
        <f>D43*EXP(10*$E$21)</f>
        <v>4.1666583123905941E-2</v>
      </c>
      <c r="F44" s="8">
        <f>E42*EXP(10*$F$21)</f>
        <v>4.5392918340067298E-2</v>
      </c>
      <c r="G44" s="8">
        <f>F42*EXP(10*$G$21)</f>
        <v>5.6985242779521675E-2</v>
      </c>
      <c r="H44" s="17"/>
      <c r="K44" s="2">
        <f>MIN($B$8,AVERAGE(L45:L46)/(1+E43+$D$8/10000))+$B$7</f>
        <v>102.76185707832163</v>
      </c>
      <c r="L44" s="2">
        <f>MIN($B$8,AVERAGE(M47:M48)/(1+F44+$D$8/10000))+$B$7</f>
        <v>102.78687210360155</v>
      </c>
      <c r="M44" s="2">
        <f t="shared" si="5"/>
        <v>102.73855394724656</v>
      </c>
    </row>
    <row r="45" spans="1:13" x14ac:dyDescent="0.35">
      <c r="A45" s="30"/>
      <c r="B45" s="4"/>
      <c r="C45" s="4"/>
      <c r="D45" s="4"/>
      <c r="E45" s="4"/>
      <c r="F45" s="40">
        <f>(E43-$B$4)*EXP(10*$E$21)</f>
        <v>4.6566089450105777E-2</v>
      </c>
      <c r="G45" s="40">
        <f>(F43-$B$4)*EXP(10*$G$21)</f>
        <v>5.0592485204369785E-2</v>
      </c>
      <c r="H45" s="15"/>
      <c r="I45" s="16"/>
      <c r="J45" s="16"/>
      <c r="K45" s="2">
        <f>MIN($B$8,AVERAGE(L47:L48)/(1+E44+$D$8/10000))+$B$7</f>
        <v>101.90347264385782</v>
      </c>
      <c r="L45" s="2">
        <f>MIN($B$8,AVERAGE(M49:M50)/(1+F45+$D$8/10000))+$B$7</f>
        <v>102.54433570475017</v>
      </c>
      <c r="M45" s="2">
        <f t="shared" si="5"/>
        <v>103.3414915014979</v>
      </c>
    </row>
    <row r="46" spans="1:13" x14ac:dyDescent="0.35">
      <c r="A46" s="30"/>
      <c r="B46" s="4"/>
      <c r="C46" s="4"/>
      <c r="D46" s="4"/>
      <c r="E46" s="4"/>
      <c r="F46" s="8">
        <f>E43*EXP(10*$F$21)</f>
        <v>4.9293833494378186E-2</v>
      </c>
      <c r="G46" s="8">
        <f>F43*EXP(10*$G$21)</f>
        <v>5.3079659339607906E-2</v>
      </c>
      <c r="I46" s="16"/>
      <c r="J46" s="16"/>
      <c r="K46" s="16"/>
      <c r="L46" s="2">
        <f>MIN($B$8,AVERAGE(M51:M52)/(1+F46+$D$8/10000))+$B$7</f>
        <v>101.98391685298751</v>
      </c>
      <c r="M46" s="2">
        <f t="shared" si="5"/>
        <v>103.10603881629888</v>
      </c>
    </row>
    <row r="47" spans="1:13" x14ac:dyDescent="0.35">
      <c r="A47" s="30"/>
      <c r="B47" s="66"/>
      <c r="C47" s="4"/>
      <c r="D47" s="4"/>
      <c r="E47" s="4"/>
      <c r="F47" s="40">
        <f>(E44-$B$4)*EXP(10*$E$21)</f>
        <v>4.9706668458692052E-2</v>
      </c>
      <c r="G47" s="40">
        <f>(F44-$B$4)*EXP(10*$G$21)</f>
        <v>5.3962872073957703E-2</v>
      </c>
      <c r="J47" s="16"/>
      <c r="K47" s="16"/>
      <c r="L47" s="2">
        <f>MIN($B$8,AVERAGE(M53:M54)/(1+F47+$D$8/10000))+$B$7</f>
        <v>101.89952357514069</v>
      </c>
      <c r="M47" s="2">
        <f t="shared" si="5"/>
        <v>103.02269625399245</v>
      </c>
    </row>
    <row r="48" spans="1:13" x14ac:dyDescent="0.35">
      <c r="A48" s="30"/>
      <c r="B48" s="4"/>
      <c r="C48" s="4"/>
      <c r="D48" s="4"/>
      <c r="E48" s="4"/>
      <c r="F48" s="8">
        <f>E44*EXP(10*$F$21)</f>
        <v>5.2448589573615888E-2</v>
      </c>
      <c r="G48" s="8">
        <f>F44*EXP(10*$G$21)</f>
        <v>5.6450046209195824E-2</v>
      </c>
      <c r="K48" s="16"/>
      <c r="L48" s="2">
        <f>MIN($B$8,AVERAGE(M55:M56)/(1+F48+$D$8/10000))+$B$7</f>
        <v>101.34181650680252</v>
      </c>
      <c r="M48" s="2">
        <f t="shared" si="5"/>
        <v>102.78875053982478</v>
      </c>
    </row>
    <row r="49" spans="1:13" x14ac:dyDescent="0.35">
      <c r="A49" s="30"/>
      <c r="B49" s="4"/>
      <c r="C49" s="4"/>
      <c r="D49" s="4"/>
      <c r="E49" s="4"/>
      <c r="F49" s="4"/>
      <c r="G49" s="40">
        <f>(F45-$B$4)*EXP(10*$G$21)</f>
        <v>5.5421812494505854E-2</v>
      </c>
      <c r="L49" s="16"/>
      <c r="M49" s="2">
        <f t="shared" si="5"/>
        <v>102.88533291314353</v>
      </c>
    </row>
    <row r="50" spans="1:13" x14ac:dyDescent="0.35">
      <c r="A50" s="30"/>
      <c r="B50" s="4"/>
      <c r="C50" s="4"/>
      <c r="D50" s="4"/>
      <c r="E50" s="4"/>
      <c r="F50" s="4"/>
      <c r="G50" s="8">
        <f>F45*EXP(10*$G$21)</f>
        <v>5.7908986629743975E-2</v>
      </c>
      <c r="M50" s="2">
        <f t="shared" si="5"/>
        <v>102.65203503873893</v>
      </c>
    </row>
    <row r="51" spans="1:13" x14ac:dyDescent="0.35">
      <c r="A51" s="30"/>
      <c r="B51" s="4"/>
      <c r="C51" s="4"/>
      <c r="D51" s="4"/>
      <c r="E51" s="4"/>
      <c r="F51" s="4"/>
      <c r="G51" s="40">
        <f>(F46-$B$4)*EXP(10*$G$21)</f>
        <v>5.8813999711737938E-2</v>
      </c>
      <c r="M51" s="2">
        <f t="shared" si="5"/>
        <v>102.56741739189218</v>
      </c>
    </row>
    <row r="52" spans="1:13" x14ac:dyDescent="0.35">
      <c r="A52" s="30"/>
      <c r="B52" s="4"/>
      <c r="C52" s="4"/>
      <c r="D52" s="4"/>
      <c r="E52" s="4"/>
      <c r="F52" s="4"/>
      <c r="G52" s="8">
        <f>F46*EXP(10*$G$21)</f>
        <v>6.1301173846976066E-2</v>
      </c>
      <c r="H52" s="17"/>
      <c r="M52" s="2">
        <f t="shared" si="5"/>
        <v>102.33561544929421</v>
      </c>
    </row>
    <row r="53" spans="1:13" x14ac:dyDescent="0.35">
      <c r="A53" s="30"/>
      <c r="B53" s="4"/>
      <c r="C53" s="4"/>
      <c r="D53" s="4"/>
      <c r="E53" s="4"/>
      <c r="F53" s="4"/>
      <c r="G53" s="40">
        <f>(F47-$B$4)*EXP(10*$G$21)</f>
        <v>5.9327395934419637E-2</v>
      </c>
      <c r="H53" s="17"/>
      <c r="M53" s="2">
        <f t="shared" si="5"/>
        <v>102.51947995406991</v>
      </c>
    </row>
    <row r="54" spans="1:13" x14ac:dyDescent="0.35">
      <c r="A54" s="30"/>
      <c r="B54" s="4"/>
      <c r="C54" s="4"/>
      <c r="D54" s="4"/>
      <c r="E54" s="4"/>
      <c r="F54" s="4"/>
      <c r="G54" s="8">
        <f>F47*EXP(10*$G$21)</f>
        <v>6.1814570069657765E-2</v>
      </c>
      <c r="H54" s="17"/>
      <c r="M54" s="2">
        <f t="shared" si="5"/>
        <v>102.28790316164825</v>
      </c>
    </row>
    <row r="55" spans="1:13" x14ac:dyDescent="0.35">
      <c r="A55" s="30"/>
      <c r="B55" s="4"/>
      <c r="C55" s="4"/>
      <c r="D55" s="4"/>
      <c r="E55" s="4"/>
      <c r="F55" s="4"/>
      <c r="G55" s="40">
        <f>(F48-$B$4)*EXP(10*$G$21)</f>
        <v>6.2737213573370559E-2</v>
      </c>
      <c r="H55" s="17"/>
      <c r="M55" s="2">
        <f t="shared" si="5"/>
        <v>102.20227389923669</v>
      </c>
    </row>
    <row r="56" spans="1:13" x14ac:dyDescent="0.35">
      <c r="A56" s="30"/>
      <c r="B56" s="4"/>
      <c r="C56" s="4"/>
      <c r="D56" s="4"/>
      <c r="E56" s="4"/>
      <c r="F56" s="4"/>
      <c r="G56" s="8">
        <f>F48*EXP(10*$G$21)</f>
        <v>6.522438770860868E-2</v>
      </c>
      <c r="H56" s="17"/>
      <c r="M56" s="2">
        <f t="shared" si="5"/>
        <v>101.97218419393523</v>
      </c>
    </row>
    <row r="57" spans="1:13" x14ac:dyDescent="0.35">
      <c r="A57" s="26" t="s">
        <v>33</v>
      </c>
      <c r="B57" s="27">
        <v>1</v>
      </c>
      <c r="C57" s="27">
        <v>2</v>
      </c>
      <c r="D57" s="27">
        <v>3</v>
      </c>
      <c r="E57" s="27">
        <v>4</v>
      </c>
      <c r="F57" s="27">
        <v>5</v>
      </c>
      <c r="G57" s="27">
        <v>6</v>
      </c>
    </row>
    <row r="58" spans="1:13" x14ac:dyDescent="0.35">
      <c r="A58" s="31" t="s">
        <v>38</v>
      </c>
      <c r="B58" s="21">
        <f t="shared" ref="B58:G58" si="6">B22</f>
        <v>1.9294641324000002E-2</v>
      </c>
      <c r="C58" s="21">
        <f t="shared" si="6"/>
        <v>2.0192164608E-2</v>
      </c>
      <c r="D58" s="21">
        <f t="shared" si="6"/>
        <v>2.0492762436000001E-2</v>
      </c>
      <c r="E58" s="21">
        <f t="shared" si="6"/>
        <v>2.15889676516E-2</v>
      </c>
      <c r="F58" s="21">
        <f t="shared" si="6"/>
        <v>2.3087685452880001E-2</v>
      </c>
      <c r="G58" s="21">
        <f t="shared" si="6"/>
        <v>2.5091139759999999E-2</v>
      </c>
    </row>
    <row r="59" spans="1:13" x14ac:dyDescent="0.35">
      <c r="A59" s="29" t="s">
        <v>44</v>
      </c>
      <c r="B59" s="6">
        <f t="shared" ref="B59:G59" si="7">B58+0.0001</f>
        <v>1.9394641324000001E-2</v>
      </c>
      <c r="C59" s="6">
        <f t="shared" si="7"/>
        <v>2.0292164607999999E-2</v>
      </c>
      <c r="D59" s="6">
        <f t="shared" si="7"/>
        <v>2.0592762436000001E-2</v>
      </c>
      <c r="E59" s="6">
        <f t="shared" si="7"/>
        <v>2.16889676516E-2</v>
      </c>
      <c r="F59" s="6">
        <f t="shared" si="7"/>
        <v>2.318768545288E-2</v>
      </c>
      <c r="G59" s="6">
        <f t="shared" si="7"/>
        <v>2.5191139759999998E-2</v>
      </c>
    </row>
    <row r="60" spans="1:13" x14ac:dyDescent="0.35">
      <c r="A60" s="29" t="s">
        <v>8</v>
      </c>
      <c r="B60" s="7">
        <f t="shared" ref="B60:G60" si="8">1/(1+B59)^B57</f>
        <v>0.98097435425125434</v>
      </c>
      <c r="C60" s="7">
        <f t="shared" si="8"/>
        <v>0.96061839125547444</v>
      </c>
      <c r="D60" s="7">
        <f t="shared" si="8"/>
        <v>0.94068137956872033</v>
      </c>
      <c r="E60" s="7">
        <f t="shared" si="8"/>
        <v>0.91775167260266577</v>
      </c>
      <c r="F60" s="7">
        <f t="shared" si="8"/>
        <v>0.89170967181279626</v>
      </c>
      <c r="G60" s="7">
        <f t="shared" si="8"/>
        <v>0.86133269993201245</v>
      </c>
    </row>
    <row r="61" spans="1:13" x14ac:dyDescent="0.35">
      <c r="A61" s="30"/>
      <c r="B61" s="4"/>
      <c r="C61" s="4"/>
      <c r="D61" s="4"/>
      <c r="E61" s="4"/>
      <c r="F61" s="4"/>
      <c r="G61" s="8">
        <f>F69*EXP(10*$G$21)</f>
        <v>7.6708409115025217E-2</v>
      </c>
      <c r="H61" s="55" t="s">
        <v>41</v>
      </c>
      <c r="M61" s="2">
        <f>MIN($B$8,((100+$B$7)/(1+G61+$D$8/10000)))+$B$7</f>
        <v>100.92362466450794</v>
      </c>
    </row>
    <row r="62" spans="1:13" x14ac:dyDescent="0.35">
      <c r="A62" s="30"/>
      <c r="B62" s="4"/>
      <c r="C62" s="4"/>
      <c r="D62" s="4"/>
      <c r="E62" s="4"/>
      <c r="F62" s="4"/>
      <c r="G62" s="9">
        <f>(F69+$B$4)*EXP(10*$G$21)</f>
        <v>7.9195583250263338E-2</v>
      </c>
      <c r="H62" s="17"/>
      <c r="M62" s="2">
        <f t="shared" ref="M62:M76" si="9">MIN($B$8,(100+$B$7)/(1+G62+$D$8/10000))+$B$7</f>
        <v>100.69948090946869</v>
      </c>
    </row>
    <row r="63" spans="1:13" x14ac:dyDescent="0.35">
      <c r="A63" s="30"/>
      <c r="B63" s="4"/>
      <c r="C63" s="4"/>
      <c r="D63" s="4"/>
      <c r="E63" s="4"/>
      <c r="F63" s="4"/>
      <c r="G63" s="8">
        <f>F70*EXP(10*$G$21)</f>
        <v>7.9839186002328297E-2</v>
      </c>
      <c r="H63" s="17"/>
      <c r="M63" s="2">
        <f t="shared" si="9"/>
        <v>100.64164826859806</v>
      </c>
    </row>
    <row r="64" spans="1:13" x14ac:dyDescent="0.35">
      <c r="A64" s="30"/>
      <c r="B64" s="4"/>
      <c r="C64" s="4"/>
      <c r="D64" s="4"/>
      <c r="E64" s="4"/>
      <c r="F64" s="4"/>
      <c r="G64" s="9">
        <f>(F70+$B$4)*EXP(10*$G$21)</f>
        <v>8.2326360137566432E-2</v>
      </c>
      <c r="H64" s="17"/>
      <c r="M64" s="2">
        <f t="shared" si="9"/>
        <v>100.41880530382051</v>
      </c>
    </row>
    <row r="65" spans="1:13" x14ac:dyDescent="0.35">
      <c r="A65" s="30"/>
      <c r="B65" s="4"/>
      <c r="C65" s="4"/>
      <c r="D65" s="4"/>
      <c r="E65" s="4"/>
      <c r="F65" s="4"/>
      <c r="G65" s="8">
        <f>F71*EXP(10*$G$21)</f>
        <v>8.0631622976657838E-2</v>
      </c>
      <c r="H65" s="17"/>
      <c r="M65" s="2">
        <f t="shared" si="9"/>
        <v>100.57053668253441</v>
      </c>
    </row>
    <row r="66" spans="1:13" x14ac:dyDescent="0.35">
      <c r="A66" s="30"/>
      <c r="B66" s="4"/>
      <c r="C66" s="4"/>
      <c r="D66" s="4"/>
      <c r="E66" s="4"/>
      <c r="F66" s="4"/>
      <c r="G66" s="9">
        <f>(F71+$B$4)*EXP(10*$G$21)</f>
        <v>8.3118797111895973E-2</v>
      </c>
      <c r="H66" s="17"/>
      <c r="M66" s="2">
        <f t="shared" si="9"/>
        <v>100.34802116753337</v>
      </c>
    </row>
    <row r="67" spans="1:13" x14ac:dyDescent="0.35">
      <c r="A67" s="30"/>
      <c r="B67" s="4"/>
      <c r="C67" s="4"/>
      <c r="D67" s="4"/>
      <c r="E67" s="4"/>
      <c r="F67" s="4"/>
      <c r="G67" s="8">
        <f>F72*EXP(10*$G$21)</f>
        <v>8.3762399863960918E-2</v>
      </c>
      <c r="H67" s="17"/>
      <c r="M67" s="2">
        <f t="shared" si="9"/>
        <v>100.29060802991387</v>
      </c>
    </row>
    <row r="68" spans="1:13" x14ac:dyDescent="0.35">
      <c r="A68" s="30"/>
      <c r="B68" s="4"/>
      <c r="C68" s="42"/>
      <c r="D68" s="4"/>
      <c r="E68" s="4"/>
      <c r="F68" s="4"/>
      <c r="G68" s="9">
        <f>(F72+$B$4)*EXP(10*$G$21)</f>
        <v>8.6249573999199039E-2</v>
      </c>
      <c r="H68" s="15"/>
      <c r="I68" s="16"/>
      <c r="J68" s="16"/>
      <c r="K68" s="16"/>
      <c r="L68" s="16"/>
      <c r="M68" s="2">
        <f t="shared" si="9"/>
        <v>100.06937917740672</v>
      </c>
    </row>
    <row r="69" spans="1:13" x14ac:dyDescent="0.35">
      <c r="A69" s="30"/>
      <c r="B69" s="4"/>
      <c r="C69" s="4"/>
      <c r="D69" s="4"/>
      <c r="E69" s="4"/>
      <c r="F69" s="8">
        <f>E73*EXP(10*$F$21)</f>
        <v>6.1683183359158802E-2</v>
      </c>
      <c r="G69" s="8">
        <f>F73*EXP(10*$G$21)</f>
        <v>8.548275061443808E-2</v>
      </c>
      <c r="I69" s="16"/>
      <c r="J69" s="16"/>
      <c r="K69" s="16"/>
      <c r="L69" s="2">
        <f>MIN($B$8,AVERAGE(M61:M62)/(1+F69+$D$8/10000))+$B$7</f>
        <v>99.286410003164818</v>
      </c>
      <c r="M69" s="2">
        <f t="shared" si="9"/>
        <v>100.13747801807735</v>
      </c>
    </row>
    <row r="70" spans="1:13" x14ac:dyDescent="0.35">
      <c r="A70" s="30"/>
      <c r="B70" s="4"/>
      <c r="C70" s="4"/>
      <c r="D70" s="4"/>
      <c r="E70" s="4"/>
      <c r="F70" s="9">
        <f>(E73+$B$4)*EXP(10*$F$21)</f>
        <v>6.4200720706420855E-2</v>
      </c>
      <c r="G70" s="9">
        <f>(F73+$B$4)*EXP(10*$G$21)</f>
        <v>8.7969924749676201E-2</v>
      </c>
      <c r="J70" s="16"/>
      <c r="K70" s="16"/>
      <c r="L70" s="2">
        <f>MIN($B$8,AVERAGE(M63:M64)/(1+F70+$D$8/10000))+$B$7</f>
        <v>98.794932346994443</v>
      </c>
      <c r="M70" s="2">
        <f t="shared" si="9"/>
        <v>99.916951436496134</v>
      </c>
    </row>
    <row r="71" spans="1:13" x14ac:dyDescent="0.35">
      <c r="A71" s="30"/>
      <c r="B71" s="4"/>
      <c r="C71" s="4"/>
      <c r="D71" s="4"/>
      <c r="E71" s="4"/>
      <c r="F71" s="8">
        <f>E74*EXP(10*$F$21)</f>
        <v>6.4837939438396511E-2</v>
      </c>
      <c r="G71" s="8">
        <f>F74*EXP(10*$G$21)</f>
        <v>8.8613527501741174E-2</v>
      </c>
      <c r="K71" s="16"/>
      <c r="L71" s="2">
        <f>MIN($B$8,AVERAGE(M65:M66)/(1+F71+$D$8/10000))+$B$7</f>
        <v>98.671147502835538</v>
      </c>
      <c r="M71" s="2">
        <f t="shared" si="9"/>
        <v>99.860050741013609</v>
      </c>
    </row>
    <row r="72" spans="1:13" x14ac:dyDescent="0.35">
      <c r="A72" s="30"/>
      <c r="B72" s="4"/>
      <c r="C72" s="4"/>
      <c r="D72" s="4"/>
      <c r="E72" s="4"/>
      <c r="F72" s="9">
        <f>(E74+$B$4)*EXP(10*$F$21)</f>
        <v>6.735547678565855E-2</v>
      </c>
      <c r="G72" s="9">
        <f>(F74+$B$4)*EXP(10*$G$21)</f>
        <v>9.1100701636979295E-2</v>
      </c>
      <c r="K72" s="2">
        <f>MIN($B$8,AVERAGE(L69:L70)/(1+E73+$D$8/10000))+$B$7</f>
        <v>98.748181095833885</v>
      </c>
      <c r="L72" s="2">
        <f>MIN($B$8,AVERAGE(M67:M68)/(1+F72+$D$8/10000))+$B$7</f>
        <v>98.184502342899762</v>
      </c>
      <c r="M72" s="2">
        <f t="shared" si="9"/>
        <v>99.640793634146931</v>
      </c>
    </row>
    <row r="73" spans="1:13" x14ac:dyDescent="0.35">
      <c r="A73" s="30"/>
      <c r="B73" s="4"/>
      <c r="C73" s="4"/>
      <c r="D73" s="4"/>
      <c r="E73" s="8">
        <f>D74*EXP(10*$E$21)</f>
        <v>4.9002795073719525E-2</v>
      </c>
      <c r="F73" s="8">
        <f>E75*EXP(10*$F$21)</f>
        <v>6.8738854592707399E-2</v>
      </c>
      <c r="G73" s="8">
        <f>F75*EXP(10*$G$21)</f>
        <v>8.4690313640108553E-2</v>
      </c>
      <c r="K73" s="2">
        <f>MIN($B$8,AVERAGE(L71:L72)/(1+E74+$D$8/10000))+$B$7</f>
        <v>97.936673223188066</v>
      </c>
      <c r="L73" s="2">
        <f>MIN($B$8,AVERAGE(M69:M70)/(1+F73+$D$8/10000))+$B$7</f>
        <v>97.918717434336926</v>
      </c>
      <c r="M73" s="2">
        <f t="shared" si="9"/>
        <v>100.20795301917036</v>
      </c>
    </row>
    <row r="74" spans="1:13" x14ac:dyDescent="0.35">
      <c r="A74" s="30"/>
      <c r="B74" s="4"/>
      <c r="C74" s="4"/>
      <c r="D74" s="8">
        <f>C76*EXP(10*$D$21)</f>
        <v>3.9104882792753787E-2</v>
      </c>
      <c r="E74" s="9">
        <f>(D74+$B$4)*EXP(10*$E$21)</f>
        <v>5.1509018929876943E-2</v>
      </c>
      <c r="F74" s="9">
        <f>(E75+$B$4)*EXP(10*$F$21)</f>
        <v>7.1256391939969452E-2</v>
      </c>
      <c r="G74" s="9">
        <f>(F75+$B$4)*EXP(10*$G$21)</f>
        <v>8.7177487775346688E-2</v>
      </c>
      <c r="J74" s="2">
        <f>MIN($B$8,AVERAGE(K72:K73)/(1+D74+$D$8/10000))+$B$7</f>
        <v>98.979554203840138</v>
      </c>
      <c r="K74" s="2">
        <f>MIN($B$8,AVERAGE(L73:L74)/(1+E75+$D$8/10000))+$B$7</f>
        <v>96.946487666126458</v>
      </c>
      <c r="L74" s="2">
        <f>MIN($B$8,AVERAGE(M71:M72)/(1+F74+$D$8/10000))+$B$7</f>
        <v>97.437959931249722</v>
      </c>
      <c r="M74" s="2">
        <f t="shared" si="9"/>
        <v>99.987103369903267</v>
      </c>
    </row>
    <row r="75" spans="1:13" x14ac:dyDescent="0.35">
      <c r="A75" s="30"/>
      <c r="B75" s="4"/>
      <c r="C75" s="4"/>
      <c r="D75" s="9">
        <f>(C76+$B$4)*EXP(10*$D$21)</f>
        <v>4.1577920362906279E-2</v>
      </c>
      <c r="E75" s="9">
        <f>(D75+$B$4)*EXP(10*$E$21)</f>
        <v>5.4608011807621808E-2</v>
      </c>
      <c r="F75" s="9">
        <f>(E76+$B$4)*EXP(10*$F$21)</f>
        <v>6.8101635860731757E-2</v>
      </c>
      <c r="G75" s="9">
        <f>(F76+$B$4)*EXP(10*$G$21)</f>
        <v>8.4046710888043594E-2</v>
      </c>
      <c r="H75" s="34"/>
      <c r="J75" s="2">
        <f>MIN($B$8,AVERAGE(K74:K75)/(1+D75+$D$8/10000))+$B$7</f>
        <v>97.79348324098271</v>
      </c>
      <c r="K75" s="2">
        <f>MIN($B$8,AVERAGE(L75:L76)/(1+E76+$D$8/10000))+$B$7</f>
        <v>97.746145615115083</v>
      </c>
      <c r="L75" s="2">
        <f>MIN($B$8,AVERAGE(M73:M74)/(1+F75+$D$8/10000))+$B$7</f>
        <v>98.041002160044329</v>
      </c>
      <c r="M75" s="2">
        <f t="shared" si="9"/>
        <v>100.26526760389505</v>
      </c>
    </row>
    <row r="76" spans="1:13" x14ac:dyDescent="0.35">
      <c r="A76" s="30"/>
      <c r="B76" s="4"/>
      <c r="C76" s="9">
        <f>(B77+$B$4)*EXP(10*$C$21)</f>
        <v>3.1624980764317738E-2</v>
      </c>
      <c r="D76" s="4"/>
      <c r="E76" s="8">
        <f>D75*EXP(10*$E$21)</f>
        <v>5.2101787951464397E-2</v>
      </c>
      <c r="F76" s="8">
        <f>E76*EXP(10*$F$21)</f>
        <v>6.5584098513469705E-2</v>
      </c>
      <c r="G76" s="8">
        <f>F76*EXP(10*$G$21)</f>
        <v>8.1559536752805473E-2</v>
      </c>
      <c r="H76" s="19"/>
      <c r="I76" s="2">
        <f>MIN($B$8,AVERAGE(J74:J75)/(1+C76+$D$8/10000))+$B$7</f>
        <v>99.713584711441939</v>
      </c>
      <c r="J76" s="16"/>
      <c r="K76" s="16"/>
      <c r="L76" s="2">
        <f t="array" ref="L76">MIN($B$8,AVERAGE(M75:M76/(1+F76+$D$8/10000))+$B$7)</f>
        <v>98.526513682053348</v>
      </c>
      <c r="M76" s="2">
        <f t="shared" si="9"/>
        <v>100.48740060412001</v>
      </c>
    </row>
    <row r="77" spans="1:13" x14ac:dyDescent="0.35">
      <c r="A77" s="30"/>
      <c r="B77" s="41">
        <f>B59*EXP(10*B58)</f>
        <v>2.3522166237904572E-2</v>
      </c>
      <c r="C77" s="14"/>
      <c r="D77" s="4"/>
      <c r="E77" s="4"/>
      <c r="F77" s="4"/>
      <c r="G77" s="4"/>
      <c r="H77" s="67">
        <f>AVERAGE(I76:I78)/(1+B77+$D$8/10000)</f>
        <v>99.671549296212916</v>
      </c>
      <c r="L77" s="16"/>
      <c r="M77" s="16"/>
    </row>
    <row r="78" spans="1:13" x14ac:dyDescent="0.35">
      <c r="A78" s="30"/>
      <c r="B78" s="4"/>
      <c r="C78" s="40">
        <f>(B77-$B$4)*EXP(10*$C$21)</f>
        <v>2.6668507952484162E-2</v>
      </c>
      <c r="D78" s="4"/>
      <c r="E78" s="8">
        <f>D79*EXP(10*$E$21)</f>
        <v>3.8223765224670497E-2</v>
      </c>
      <c r="F78" s="8">
        <f>E78*EXP(10*$F$21)</f>
        <v>4.8114878253042143E-2</v>
      </c>
      <c r="G78" s="8">
        <f>F78*EXP(10*$G$21)</f>
        <v>5.9835040355548853E-2</v>
      </c>
      <c r="H78" s="77"/>
      <c r="I78" s="2">
        <f>MIN($B$8,AVERAGE(J79:J80)/(1+C78+$D$8/10000))+$B$7</f>
        <v>103.581205</v>
      </c>
      <c r="J78" s="16"/>
      <c r="K78" s="16"/>
      <c r="L78" s="2">
        <f>MIN($B$8,AVERAGE(M78:M79)/(1+F78+$D$8/10000))+$B$7</f>
        <v>102.22553602917024</v>
      </c>
      <c r="M78" s="2">
        <f t="shared" ref="M78:M93" si="10">MIN($B$8,(100+$B$7)/(1+G78+$D$8/10000))+$B$7</f>
        <v>102.47212540549057</v>
      </c>
    </row>
    <row r="79" spans="1:13" x14ac:dyDescent="0.35">
      <c r="A79" s="30"/>
      <c r="B79" s="4"/>
      <c r="C79" s="4"/>
      <c r="D79" s="40">
        <f>(C78-$B$4)*EXP(10*$D$21)</f>
        <v>3.0503073483049401E-2</v>
      </c>
      <c r="E79" s="40">
        <f>(D79-$B$4)*EXP(10*$E$21)</f>
        <v>3.5717541368513087E-2</v>
      </c>
      <c r="F79" s="40">
        <f>(E78-$B$4)*EXP(10*$E$21)</f>
        <v>4.5392432282957237E-2</v>
      </c>
      <c r="G79" s="40">
        <f>(F78-$B$4)*EXP(10*$G$21)</f>
        <v>5.7347866220310725E-2</v>
      </c>
      <c r="H79" s="34"/>
      <c r="J79" s="2">
        <f>MIN($B$8,AVERAGE(K79:K80)/(1+D79+$D$8/10000))+$B$7</f>
        <v>103.581205</v>
      </c>
      <c r="K79" s="2">
        <f>MIN($B$8,AVERAGE(L78:L79)/(1+E78+$D$8/10000))+$B$7</f>
        <v>103.08531744730239</v>
      </c>
      <c r="L79" s="2">
        <f>MIN($B$8,AVERAGE(M80:M81)/(1+F79+$D$8/10000))+$B$7</f>
        <v>102.78697277784856</v>
      </c>
      <c r="M79" s="2">
        <f t="shared" si="10"/>
        <v>102.70457213250158</v>
      </c>
    </row>
    <row r="80" spans="1:13" x14ac:dyDescent="0.35">
      <c r="A80" s="30"/>
      <c r="B80" s="4"/>
      <c r="C80" s="4"/>
      <c r="D80" s="8">
        <f>C78*EXP(10*$D$21)</f>
        <v>3.297611105320189E-2</v>
      </c>
      <c r="E80" s="40">
        <f>(D80-$B$4)*EXP(10*$E$21)</f>
        <v>3.8816534246257944E-2</v>
      </c>
      <c r="F80" s="40">
        <f>(E79-$B$4)*EXP(10*$E$21)</f>
        <v>4.2251853274370976E-2</v>
      </c>
      <c r="G80" s="40">
        <f>(F79-$B$4)*EXP(10*$G$21)</f>
        <v>5.3962267619621501E-2</v>
      </c>
      <c r="H80" s="17"/>
      <c r="J80" s="2">
        <f>MIN($B$8,AVERAGE(K81:K82)/(1+D80+$D$8/10000))+$B$7</f>
        <v>103.53634832665263</v>
      </c>
      <c r="K80" s="2">
        <f>MIN($B$8,AVERAGE(L80:L81)/(1+E79+$D$8/10000))+$B$7</f>
        <v>103.581205</v>
      </c>
      <c r="L80" s="2">
        <f>MIN($B$8,AVERAGE(M82:M83)/(1+F80+$D$8/10000))+$B$7</f>
        <v>103.44074938742516</v>
      </c>
      <c r="M80" s="2">
        <f t="shared" si="10"/>
        <v>103.02275324415596</v>
      </c>
    </row>
    <row r="81" spans="1:13" x14ac:dyDescent="0.35">
      <c r="A81" s="30"/>
      <c r="B81" s="4"/>
      <c r="C81" s="4"/>
      <c r="D81" s="4"/>
      <c r="E81" s="8">
        <f>D80*EXP(10*$E$21)</f>
        <v>4.1322758102415362E-2</v>
      </c>
      <c r="F81" s="8">
        <f>E79*EXP(10*$F$21)</f>
        <v>4.4960122173804448E-2</v>
      </c>
      <c r="G81" s="8">
        <f>F79*EXP(10*$G$21)</f>
        <v>5.6449441754859629E-2</v>
      </c>
      <c r="H81" s="17"/>
      <c r="K81" s="2">
        <f>MIN($B$8,AVERAGE(L82:L83)/(1+E80+$D$8/10000))+$B$7</f>
        <v>102.88042972831281</v>
      </c>
      <c r="L81" s="2">
        <f>MIN($B$8,AVERAGE(M84:M85)/(1+F81+$D$8/10000))+$B$7</f>
        <v>102.87657680274147</v>
      </c>
      <c r="M81" s="2">
        <f t="shared" si="10"/>
        <v>102.7888072610225</v>
      </c>
    </row>
    <row r="82" spans="1:13" x14ac:dyDescent="0.35">
      <c r="A82" s="30"/>
      <c r="B82" s="4"/>
      <c r="C82" s="4"/>
      <c r="D82" s="4"/>
      <c r="E82" s="4"/>
      <c r="F82" s="40">
        <f>(E80-$B$4)*EXP(10*$E$21)</f>
        <v>4.6135238214504014E-2</v>
      </c>
      <c r="G82" s="40">
        <f>(F80-$B$4)*EXP(10*$G$21)</f>
        <v>5.0056684179707732E-2</v>
      </c>
      <c r="H82" s="15"/>
      <c r="I82" s="16"/>
      <c r="J82" s="16"/>
      <c r="K82" s="2">
        <f>MIN($B$8,AVERAGE(L84:L85)/(1+E81+$D$8/10000))+$B$7</f>
        <v>102.02062000165029</v>
      </c>
      <c r="L82" s="2">
        <f>MIN($B$8,AVERAGE(M86:M87)/(1+F82+$D$8/10000))+$B$7</f>
        <v>102.63330227732629</v>
      </c>
      <c r="M82" s="2">
        <f t="shared" si="10"/>
        <v>103.39236058134993</v>
      </c>
    </row>
    <row r="83" spans="1:13" x14ac:dyDescent="0.35">
      <c r="A83" s="30"/>
      <c r="B83" s="4"/>
      <c r="C83" s="4"/>
      <c r="D83" s="4"/>
      <c r="E83" s="4"/>
      <c r="F83" s="8">
        <f>E80*EXP(10*$F$21)</f>
        <v>4.886103732811533E-2</v>
      </c>
      <c r="G83" s="8">
        <f>F80*EXP(10*$G$21)</f>
        <v>5.254385831494586E-2</v>
      </c>
      <c r="I83" s="16"/>
      <c r="J83" s="16"/>
      <c r="K83" s="16"/>
      <c r="L83" s="2">
        <f>MIN($B$8,AVERAGE(M88:M89)/(1+F83+$D$8/10000))+$B$7</f>
        <v>102.07251003818052</v>
      </c>
      <c r="M83" s="2">
        <f t="shared" si="10"/>
        <v>103.15666698735366</v>
      </c>
    </row>
    <row r="84" spans="1:13" x14ac:dyDescent="0.35">
      <c r="A84" s="30"/>
      <c r="B84" s="66"/>
      <c r="C84" s="4"/>
      <c r="D84" s="4"/>
      <c r="E84" s="4"/>
      <c r="F84" s="40">
        <f>(E81-$B$4)*EXP(10*$E$21)</f>
        <v>4.9275817223090289E-2</v>
      </c>
      <c r="G84" s="40">
        <f>(F81-$B$4)*EXP(10*$G$21)</f>
        <v>5.3424652358678111E-2</v>
      </c>
      <c r="J84" s="16"/>
      <c r="K84" s="16"/>
      <c r="L84" s="2">
        <f>MIN($B$8,AVERAGE(M90:M91)/(1+F84+$D$8/10000))+$B$7</f>
        <v>101.98760233712241</v>
      </c>
      <c r="M84" s="2">
        <f t="shared" si="10"/>
        <v>103.07346756453038</v>
      </c>
    </row>
    <row r="85" spans="1:13" x14ac:dyDescent="0.35">
      <c r="A85" s="30"/>
      <c r="B85" s="4"/>
      <c r="C85" s="4"/>
      <c r="D85" s="4"/>
      <c r="E85" s="4"/>
      <c r="F85" s="8">
        <f>E81*EXP(10*$F$21)</f>
        <v>5.2015793407353031E-2</v>
      </c>
      <c r="G85" s="8">
        <f>F81*EXP(10*$G$21)</f>
        <v>5.5911826493916239E-2</v>
      </c>
      <c r="K85" s="16"/>
      <c r="L85" s="2">
        <f>MIN($B$8,AVERAGE(M92:M93)/(1+F85+$D$8/10000))+$B$7</f>
        <v>101.42952427465588</v>
      </c>
      <c r="M85" s="2">
        <f t="shared" si="10"/>
        <v>102.83928217338496</v>
      </c>
    </row>
    <row r="86" spans="1:13" x14ac:dyDescent="0.35">
      <c r="A86" s="30"/>
      <c r="B86" s="4"/>
      <c r="C86" s="4"/>
      <c r="D86" s="4"/>
      <c r="E86" s="4"/>
      <c r="F86" s="4"/>
      <c r="G86" s="40">
        <f>(F82-$B$4)*EXP(10*$G$21)</f>
        <v>5.4886011469843808E-2</v>
      </c>
      <c r="L86" s="16"/>
      <c r="M86" s="2">
        <f t="shared" si="10"/>
        <v>102.93573578338419</v>
      </c>
    </row>
    <row r="87" spans="1:13" x14ac:dyDescent="0.35">
      <c r="A87" s="30"/>
      <c r="B87" s="4"/>
      <c r="C87" s="4"/>
      <c r="D87" s="4"/>
      <c r="E87" s="4"/>
      <c r="F87" s="4"/>
      <c r="G87" s="8">
        <f>F82*EXP(10*$G$21)</f>
        <v>5.7373185605081929E-2</v>
      </c>
      <c r="M87" s="2">
        <f t="shared" si="10"/>
        <v>102.70220030055779</v>
      </c>
    </row>
    <row r="88" spans="1:13" x14ac:dyDescent="0.35">
      <c r="A88" s="30"/>
      <c r="B88" s="4"/>
      <c r="C88" s="4"/>
      <c r="D88" s="4"/>
      <c r="E88" s="4"/>
      <c r="F88" s="4"/>
      <c r="G88" s="40">
        <f>(F83-$B$4)*EXP(10*$G$21)</f>
        <v>5.8275779996458339E-2</v>
      </c>
      <c r="M88" s="2">
        <f t="shared" si="10"/>
        <v>102.61772279232258</v>
      </c>
    </row>
    <row r="89" spans="1:13" x14ac:dyDescent="0.35">
      <c r="A89" s="30"/>
      <c r="B89" s="4"/>
      <c r="C89" s="4"/>
      <c r="D89" s="4"/>
      <c r="E89" s="4"/>
      <c r="F89" s="4"/>
      <c r="G89" s="8">
        <f>F83*EXP(10*$G$21)</f>
        <v>6.0762954131696467E-2</v>
      </c>
      <c r="H89" s="17"/>
      <c r="M89" s="2">
        <f t="shared" si="10"/>
        <v>102.38568446045903</v>
      </c>
    </row>
    <row r="90" spans="1:13" x14ac:dyDescent="0.35">
      <c r="A90" s="30"/>
      <c r="B90" s="4"/>
      <c r="C90" s="4"/>
      <c r="D90" s="4"/>
      <c r="E90" s="4"/>
      <c r="F90" s="4"/>
      <c r="G90" s="40">
        <f>(F84-$B$4)*EXP(10*$G$21)</f>
        <v>5.8791594909757591E-2</v>
      </c>
      <c r="H90" s="17"/>
      <c r="M90" s="2">
        <f t="shared" si="10"/>
        <v>102.56951046186708</v>
      </c>
    </row>
    <row r="91" spans="1:13" x14ac:dyDescent="0.35">
      <c r="A91" s="30"/>
      <c r="B91" s="4"/>
      <c r="C91" s="4"/>
      <c r="D91" s="4"/>
      <c r="E91" s="4"/>
      <c r="F91" s="4"/>
      <c r="G91" s="8">
        <f>F84*EXP(10*$G$21)</f>
        <v>6.1278769044995719E-2</v>
      </c>
      <c r="H91" s="17"/>
      <c r="M91" s="2">
        <f t="shared" si="10"/>
        <v>102.33769868615533</v>
      </c>
    </row>
    <row r="92" spans="1:13" x14ac:dyDescent="0.35">
      <c r="A92" s="30"/>
      <c r="B92" s="4"/>
      <c r="C92" s="4"/>
      <c r="D92" s="4"/>
      <c r="E92" s="4"/>
      <c r="F92" s="4"/>
      <c r="G92" s="40">
        <f>(F85-$B$4)*EXP(10*$G$21)</f>
        <v>6.219899385809096E-2</v>
      </c>
      <c r="H92" s="17"/>
      <c r="M92" s="2">
        <f t="shared" si="10"/>
        <v>102.2522071824027</v>
      </c>
    </row>
    <row r="93" spans="1:13" x14ac:dyDescent="0.35">
      <c r="A93" s="30"/>
      <c r="B93" s="4"/>
      <c r="C93" s="4"/>
      <c r="D93" s="4"/>
      <c r="E93" s="4"/>
      <c r="F93" s="4"/>
      <c r="G93" s="8">
        <f>F85*EXP(10*$G$21)</f>
        <v>6.4686167993329088E-2</v>
      </c>
      <c r="H93" s="17"/>
      <c r="M93" s="2">
        <f t="shared" si="10"/>
        <v>102.02188370283893</v>
      </c>
    </row>
    <row r="94" spans="1:13" x14ac:dyDescent="0.35">
      <c r="A94" s="26" t="s">
        <v>33</v>
      </c>
      <c r="B94" s="27">
        <v>1</v>
      </c>
      <c r="C94" s="27">
        <v>2</v>
      </c>
      <c r="D94" s="27">
        <v>3</v>
      </c>
      <c r="E94" s="27">
        <v>4</v>
      </c>
      <c r="F94" s="27">
        <v>5</v>
      </c>
      <c r="G94" s="27">
        <v>6</v>
      </c>
    </row>
    <row r="95" spans="1:13" x14ac:dyDescent="0.35">
      <c r="A95" s="32" t="s">
        <v>38</v>
      </c>
      <c r="B95" s="5">
        <f t="shared" ref="B95:G95" si="11">B22</f>
        <v>1.9294641324000002E-2</v>
      </c>
      <c r="C95" s="5">
        <f t="shared" si="11"/>
        <v>2.0192164608E-2</v>
      </c>
      <c r="D95" s="5">
        <f t="shared" si="11"/>
        <v>2.0492762436000001E-2</v>
      </c>
      <c r="E95" s="5">
        <f t="shared" si="11"/>
        <v>2.15889676516E-2</v>
      </c>
      <c r="F95" s="5">
        <f t="shared" si="11"/>
        <v>2.3087685452880001E-2</v>
      </c>
      <c r="G95" s="5">
        <f t="shared" si="11"/>
        <v>2.5091139759999999E-2</v>
      </c>
      <c r="H95" s="3"/>
    </row>
    <row r="96" spans="1:13" x14ac:dyDescent="0.35">
      <c r="A96" s="33" t="s">
        <v>45</v>
      </c>
      <c r="B96" s="6">
        <f t="shared" ref="B96:G96" si="12">B95-0.0001</f>
        <v>1.9194641324000002E-2</v>
      </c>
      <c r="C96" s="6">
        <f t="shared" si="12"/>
        <v>2.0092164608E-2</v>
      </c>
      <c r="D96" s="6">
        <f t="shared" si="12"/>
        <v>2.0392762436000002E-2</v>
      </c>
      <c r="E96" s="6">
        <f t="shared" si="12"/>
        <v>2.1488967651600001E-2</v>
      </c>
      <c r="F96" s="6">
        <f t="shared" si="12"/>
        <v>2.2987685452880002E-2</v>
      </c>
      <c r="G96" s="6">
        <f t="shared" si="12"/>
        <v>2.4991139759999999E-2</v>
      </c>
    </row>
    <row r="97" spans="1:13" x14ac:dyDescent="0.35">
      <c r="A97" s="29" t="s">
        <v>8</v>
      </c>
      <c r="B97" s="7">
        <f t="shared" ref="B97:G97" si="13">1/(1+B96)^B94</f>
        <v>0.98116685415548788</v>
      </c>
      <c r="C97" s="7">
        <f t="shared" si="13"/>
        <v>0.96099510724030535</v>
      </c>
      <c r="D97" s="7">
        <f t="shared" si="13"/>
        <v>0.9412346169901824</v>
      </c>
      <c r="E97" s="7">
        <f t="shared" si="13"/>
        <v>0.91847063973426546</v>
      </c>
      <c r="F97" s="7">
        <f t="shared" si="13"/>
        <v>0.8925816846644189</v>
      </c>
      <c r="G97" s="7">
        <f t="shared" si="13"/>
        <v>0.86234159018492185</v>
      </c>
    </row>
    <row r="98" spans="1:13" x14ac:dyDescent="0.35">
      <c r="A98" s="30"/>
      <c r="B98" s="4"/>
      <c r="C98" s="4"/>
      <c r="D98" s="4"/>
      <c r="E98" s="4"/>
      <c r="F98" s="4"/>
      <c r="G98" s="8">
        <f>F106*EXP(10*$G$21)</f>
        <v>7.5979369713129283E-2</v>
      </c>
      <c r="H98" s="55" t="s">
        <v>41</v>
      </c>
      <c r="M98" s="2">
        <f>MIN($B$8,((100+$B$7)/(1+G98+$D$8/10000)))+$B$7</f>
        <v>100.98952264883336</v>
      </c>
    </row>
    <row r="99" spans="1:13" x14ac:dyDescent="0.35">
      <c r="A99" s="30"/>
      <c r="B99" s="4"/>
      <c r="C99" s="4"/>
      <c r="D99" s="4"/>
      <c r="E99" s="4"/>
      <c r="F99" s="4"/>
      <c r="G99" s="9">
        <f>(F106+$B$4)*EXP(10*$G$21)</f>
        <v>7.8466543848367404E-2</v>
      </c>
      <c r="H99" s="17"/>
      <c r="M99" s="2">
        <f t="shared" ref="M99:M113" si="14">MIN($B$8,(100+$B$7)/(1+G99+$D$8/10000))+$B$7</f>
        <v>100.76507435420194</v>
      </c>
    </row>
    <row r="100" spans="1:13" x14ac:dyDescent="0.35">
      <c r="A100" s="30"/>
      <c r="B100" s="4"/>
      <c r="C100" s="4"/>
      <c r="D100" s="4"/>
      <c r="E100" s="4"/>
      <c r="F100" s="4"/>
      <c r="G100" s="8">
        <f>F107*EXP(10*$G$21)</f>
        <v>7.9110146600432377E-2</v>
      </c>
      <c r="H100" s="17"/>
      <c r="M100" s="2">
        <f t="shared" si="14"/>
        <v>100.70716325183837</v>
      </c>
    </row>
    <row r="101" spans="1:13" x14ac:dyDescent="0.35">
      <c r="A101" s="30"/>
      <c r="B101" s="4"/>
      <c r="C101" s="4"/>
      <c r="D101" s="4"/>
      <c r="E101" s="4"/>
      <c r="F101" s="4"/>
      <c r="G101" s="9">
        <f>(F107+$B$4)*EXP(10*$G$21)</f>
        <v>8.1597320735670498E-2</v>
      </c>
      <c r="H101" s="17"/>
      <c r="M101" s="2">
        <f t="shared" si="14"/>
        <v>100.4840183955498</v>
      </c>
    </row>
    <row r="102" spans="1:13" x14ac:dyDescent="0.35">
      <c r="A102" s="30"/>
      <c r="B102" s="4"/>
      <c r="C102" s="4"/>
      <c r="D102" s="4"/>
      <c r="E102" s="4"/>
      <c r="F102" s="4"/>
      <c r="G102" s="8">
        <f>F108*EXP(10*$G$21)</f>
        <v>7.990258357476189E-2</v>
      </c>
      <c r="H102" s="17"/>
      <c r="M102" s="2">
        <f t="shared" si="14"/>
        <v>100.63595525315699</v>
      </c>
    </row>
    <row r="103" spans="1:13" x14ac:dyDescent="0.35">
      <c r="A103" s="30"/>
      <c r="B103" s="4"/>
      <c r="C103" s="4"/>
      <c r="D103" s="4"/>
      <c r="E103" s="4"/>
      <c r="F103" s="4"/>
      <c r="G103" s="9">
        <f>(F108+$B$4)*EXP(10*$G$21)</f>
        <v>8.2389757710000025E-2</v>
      </c>
      <c r="H103" s="17"/>
      <c r="M103" s="2">
        <f t="shared" si="14"/>
        <v>100.4131385120335</v>
      </c>
    </row>
    <row r="104" spans="1:13" x14ac:dyDescent="0.35">
      <c r="A104" s="30"/>
      <c r="B104" s="4"/>
      <c r="C104" s="4"/>
      <c r="D104" s="4"/>
      <c r="E104" s="4"/>
      <c r="F104" s="4"/>
      <c r="G104" s="8">
        <f>F109*EXP(10*$G$21)</f>
        <v>8.3033360462064984E-2</v>
      </c>
      <c r="H104" s="17"/>
      <c r="M104" s="2">
        <f t="shared" si="14"/>
        <v>100.35564776536748</v>
      </c>
    </row>
    <row r="105" spans="1:13" x14ac:dyDescent="0.35">
      <c r="A105" s="30"/>
      <c r="B105" s="4"/>
      <c r="C105" s="42"/>
      <c r="D105" s="4"/>
      <c r="E105" s="4"/>
      <c r="F105" s="4"/>
      <c r="G105" s="9">
        <f>(F109+$B$4)*EXP(10*$G$21)</f>
        <v>8.5520534597303105E-2</v>
      </c>
      <c r="H105" s="15"/>
      <c r="I105" s="16"/>
      <c r="J105" s="16"/>
      <c r="K105" s="16"/>
      <c r="L105" s="16"/>
      <c r="M105" s="2">
        <f t="shared" si="14"/>
        <v>100.13412029652821</v>
      </c>
    </row>
    <row r="106" spans="1:13" x14ac:dyDescent="0.35">
      <c r="A106" s="30"/>
      <c r="B106" s="4"/>
      <c r="C106" s="4"/>
      <c r="D106" s="4"/>
      <c r="E106" s="4"/>
      <c r="F106" s="8">
        <f>E110*EXP(10*$F$21)</f>
        <v>6.1096944228116914E-2</v>
      </c>
      <c r="G106" s="8">
        <f>F110*EXP(10*$G$21)</f>
        <v>8.4753711212542146E-2</v>
      </c>
      <c r="I106" s="16"/>
      <c r="J106" s="16"/>
      <c r="K106" s="16"/>
      <c r="L106" s="2">
        <f>MIN($B$8,AVERAGE(M98:M99)/(1+F106+$D$8/10000))+$B$7</f>
        <v>99.40141523028052</v>
      </c>
      <c r="M106" s="2">
        <f t="shared" si="14"/>
        <v>100.20231098426672</v>
      </c>
    </row>
    <row r="107" spans="1:13" x14ac:dyDescent="0.35">
      <c r="A107" s="30"/>
      <c r="B107" s="4"/>
      <c r="C107" s="4"/>
      <c r="D107" s="4"/>
      <c r="E107" s="4"/>
      <c r="F107" s="9">
        <f>(E110+$B$4)*EXP(10*$F$21)</f>
        <v>6.3614481575378967E-2</v>
      </c>
      <c r="G107" s="9">
        <f>(F110+$B$4)*EXP(10*$G$21)</f>
        <v>8.7240885347780281E-2</v>
      </c>
      <c r="J107" s="16"/>
      <c r="K107" s="16"/>
      <c r="L107" s="2">
        <f>MIN($B$8,AVERAGE(M100:M101)/(1+F107+$D$8/10000))+$B$7</f>
        <v>98.90903247357366</v>
      </c>
      <c r="M107" s="2">
        <f t="shared" si="14"/>
        <v>99.981487207598505</v>
      </c>
    </row>
    <row r="108" spans="1:13" x14ac:dyDescent="0.35">
      <c r="A108" s="30"/>
      <c r="B108" s="4"/>
      <c r="C108" s="4"/>
      <c r="D108" s="4"/>
      <c r="E108" s="4"/>
      <c r="F108" s="8">
        <f>E111*EXP(10*$F$21)</f>
        <v>6.4251700307354609E-2</v>
      </c>
      <c r="G108" s="8">
        <f>F111*EXP(10*$G$21)</f>
        <v>8.788448809984524E-2</v>
      </c>
      <c r="K108" s="16"/>
      <c r="L108" s="2">
        <f>MIN($B$8,AVERAGE(M102:M103)/(1+F108+$D$8/10000))+$B$7</f>
        <v>98.785020055537672</v>
      </c>
      <c r="M108" s="2">
        <f t="shared" si="14"/>
        <v>99.924509940146351</v>
      </c>
    </row>
    <row r="109" spans="1:13" x14ac:dyDescent="0.35">
      <c r="A109" s="30"/>
      <c r="B109" s="4"/>
      <c r="C109" s="4"/>
      <c r="D109" s="4"/>
      <c r="E109" s="4"/>
      <c r="F109" s="9">
        <f>(E111+$B$4)*EXP(10*$F$21)</f>
        <v>6.6769237654616662E-2</v>
      </c>
      <c r="G109" s="9">
        <f>(F111+$B$4)*EXP(10*$G$21)</f>
        <v>9.0371662235083361E-2</v>
      </c>
      <c r="K109" s="2">
        <f>MIN($B$8,AVERAGE(L106:L107)/(1+E110+$D$8/10000))+$B$7</f>
        <v>98.900050700051239</v>
      </c>
      <c r="L109" s="2">
        <f>MIN($B$8,AVERAGE(M104:M105)/(1+F109+$D$8/10000))+$B$7</f>
        <v>98.297481729070796</v>
      </c>
      <c r="M109" s="2">
        <f t="shared" si="14"/>
        <v>99.704958201587743</v>
      </c>
    </row>
    <row r="110" spans="1:13" x14ac:dyDescent="0.35">
      <c r="A110" s="30"/>
      <c r="B110" s="4"/>
      <c r="C110" s="4"/>
      <c r="D110" s="4"/>
      <c r="E110" s="8">
        <f>D111*EXP(10*$E$21)</f>
        <v>4.8537070796239035E-2</v>
      </c>
      <c r="F110" s="8">
        <f>E112*EXP(10*$F$21)</f>
        <v>6.8152615461665511E-2</v>
      </c>
      <c r="G110" s="8">
        <f>F112*EXP(10*$G$21)</f>
        <v>8.3961274238212605E-2</v>
      </c>
      <c r="K110" s="2">
        <f>MIN($B$8,AVERAGE(L108:L109)/(1+E111+$D$8/10000))+$B$7</f>
        <v>98.086742784341055</v>
      </c>
      <c r="L110" s="2">
        <f>MIN($B$8,AVERAGE(M106:M107)/(1+F110+$D$8/10000))+$B$7</f>
        <v>98.031210030732638</v>
      </c>
      <c r="M110" s="2">
        <f t="shared" si="14"/>
        <v>100.27288110582872</v>
      </c>
    </row>
    <row r="111" spans="1:13" x14ac:dyDescent="0.35">
      <c r="A111" s="30"/>
      <c r="B111" s="4"/>
      <c r="C111" s="4"/>
      <c r="D111" s="8">
        <f>C113*EXP(10*$D$21)</f>
        <v>3.8733228619614958E-2</v>
      </c>
      <c r="E111" s="9">
        <f>(D111+$B$4)*EXP(10*$E$21)</f>
        <v>5.1043294652396445E-2</v>
      </c>
      <c r="F111" s="9">
        <f>(E112+$B$4)*EXP(10*$F$21)</f>
        <v>7.0670152808927564E-2</v>
      </c>
      <c r="G111" s="9">
        <f>(F112+$B$4)*EXP(10*$G$21)</f>
        <v>8.644844837345074E-2</v>
      </c>
      <c r="J111" s="2">
        <f>MIN($B$8,AVERAGE(K109:K110)/(1+D111+$D$8/10000))+$B$7</f>
        <v>99.159518356939358</v>
      </c>
      <c r="K111" s="2">
        <f>MIN($B$8,AVERAGE(L110:L111)/(1+E112+$D$8/10000))+$B$7</f>
        <v>97.0943686930962</v>
      </c>
      <c r="L111" s="2">
        <f>MIN($B$8,AVERAGE(M108:M109)/(1+F111+$D$8/10000))+$B$7</f>
        <v>97.549573845800367</v>
      </c>
      <c r="M111" s="2">
        <f t="shared" si="14"/>
        <v>100.05173360793621</v>
      </c>
    </row>
    <row r="112" spans="1:13" x14ac:dyDescent="0.35">
      <c r="A112" s="30"/>
      <c r="B112" s="4"/>
      <c r="C112" s="4"/>
      <c r="D112" s="9">
        <f>(C113+$B$4)*EXP(10*$D$21)</f>
        <v>4.120626618976745E-2</v>
      </c>
      <c r="E112" s="9">
        <f>(D112+$B$4)*EXP(10*$E$21)</f>
        <v>5.4142287530141317E-2</v>
      </c>
      <c r="F112" s="9">
        <f>(E113+$B$4)*EXP(10*$F$21)</f>
        <v>6.7515396729689856E-2</v>
      </c>
      <c r="G112" s="9">
        <f>(F113+$B$4)*EXP(10*$G$21)</f>
        <v>8.331767148614766E-2</v>
      </c>
      <c r="H112" s="34"/>
      <c r="J112" s="2">
        <f>MIN($B$8,AVERAGE(K111:K112)/(1+D112+$D$8/10000))+$B$7</f>
        <v>97.970468095469769</v>
      </c>
      <c r="K112" s="2">
        <f>MIN($B$8,AVERAGE(L112:L113)/(1+E113+$D$8/10000))+$B$7</f>
        <v>97.895793395885477</v>
      </c>
      <c r="L112" s="2">
        <f>MIN($B$8,AVERAGE(M110:M111)/(1+F112+$D$8/10000))+$B$7</f>
        <v>98.153718633503757</v>
      </c>
      <c r="M112" s="2">
        <f t="shared" si="14"/>
        <v>100.33027309978787</v>
      </c>
    </row>
    <row r="113" spans="1:13" x14ac:dyDescent="0.35">
      <c r="A113" s="30"/>
      <c r="B113" s="4"/>
      <c r="C113" s="9">
        <f>(B114+$B$4)*EXP(10*$C$21)</f>
        <v>3.1324415841548763E-2</v>
      </c>
      <c r="D113" s="4"/>
      <c r="E113" s="8">
        <f>D112*EXP(10*$E$21)</f>
        <v>5.1636063673983899E-2</v>
      </c>
      <c r="F113" s="8">
        <f>E113*EXP(10*$F$21)</f>
        <v>6.4997859382427817E-2</v>
      </c>
      <c r="G113" s="8">
        <f>F113*EXP(10*$G$21)</f>
        <v>8.0830497350909539E-2</v>
      </c>
      <c r="H113" s="19"/>
      <c r="I113" s="2">
        <f>MIN($B$8,AVERAGE(J111:J112)/(1+C113+$D$8/10000))+$B$7</f>
        <v>99.915256026812855</v>
      </c>
      <c r="J113" s="16"/>
      <c r="K113" s="16"/>
      <c r="L113" s="2">
        <f t="array" ref="L113">MIN($B$8,AVERAGE(M112:M113/(1+F113+$D$8/10000))+$B$7)</f>
        <v>98.640120528377466</v>
      </c>
      <c r="M113" s="2">
        <f t="shared" si="14"/>
        <v>100.55270654947353</v>
      </c>
    </row>
    <row r="114" spans="1:13" x14ac:dyDescent="0.35">
      <c r="A114" s="30"/>
      <c r="B114" s="41">
        <f>B96*EXP(10*B95)</f>
        <v>2.3279602677744305E-2</v>
      </c>
      <c r="C114" s="14"/>
      <c r="D114" s="4"/>
      <c r="E114" s="4"/>
      <c r="F114" s="4"/>
      <c r="G114" s="4"/>
      <c r="H114" s="67">
        <f>AVERAGE(I113:I115)/(1+B114+$D$8/10000)</f>
        <v>99.794160783874162</v>
      </c>
      <c r="L114" s="16"/>
      <c r="M114" s="16"/>
    </row>
    <row r="115" spans="1:13" x14ac:dyDescent="0.35">
      <c r="A115" s="30"/>
      <c r="B115" s="4"/>
      <c r="C115" s="40">
        <f>(B114-$B$4)*EXP(10*$C$21)</f>
        <v>2.6367943029715183E-2</v>
      </c>
      <c r="D115" s="4"/>
      <c r="E115" s="8">
        <f>D116*EXP(10*$E$21)</f>
        <v>3.775804094719E-2</v>
      </c>
      <c r="F115" s="8">
        <f>E115*EXP(10*$F$21)</f>
        <v>4.7528639122000248E-2</v>
      </c>
      <c r="G115" s="8">
        <f>F115*EXP(10*$G$21)</f>
        <v>5.9106000953652912E-2</v>
      </c>
      <c r="H115" s="77"/>
      <c r="I115" s="2">
        <f>MIN($B$8,AVERAGE(J116:J117)/(1+C115+$D$8/10000))+$B$7</f>
        <v>103.581205</v>
      </c>
      <c r="J115" s="16"/>
      <c r="K115" s="16"/>
      <c r="L115" s="2">
        <f>MIN($B$8,AVERAGE(M115:M116)/(1+F115+$D$8/10000))+$B$7</f>
        <v>102.34602082281093</v>
      </c>
      <c r="M115" s="2">
        <f t="shared" ref="M115:M130" si="15">MIN($B$8,(100+$B$7)/(1+G115+$D$8/10000))+$B$7</f>
        <v>102.54014658796871</v>
      </c>
    </row>
    <row r="116" spans="1:13" x14ac:dyDescent="0.35">
      <c r="A116" s="30"/>
      <c r="B116" s="4"/>
      <c r="C116" s="4"/>
      <c r="D116" s="40">
        <f>(C115-$B$4)*EXP(10*$D$21)</f>
        <v>3.0131419309910569E-2</v>
      </c>
      <c r="E116" s="40">
        <f>(D116-$B$4)*EXP(10*$E$21)</f>
        <v>3.5251817091032582E-2</v>
      </c>
      <c r="F116" s="40">
        <f>(E115-$B$4)*EXP(10*$E$21)</f>
        <v>4.480882763565059E-2</v>
      </c>
      <c r="G116" s="40">
        <f>(F115-$B$4)*EXP(10*$G$21)</f>
        <v>5.6618826818414784E-2</v>
      </c>
      <c r="H116" s="34"/>
      <c r="J116" s="2">
        <f>MIN($B$8,AVERAGE(K116:K117)/(1+D116+$D$8/10000))+$B$7</f>
        <v>103.581205</v>
      </c>
      <c r="K116" s="2">
        <f>MIN($B$8,AVERAGE(L115:L116)/(1+E115+$D$8/10000))+$B$7</f>
        <v>103.2467054261505</v>
      </c>
      <c r="L116" s="2">
        <f>MIN($B$8,AVERAGE(M117:M118)/(1+F116+$D$8/10000))+$B$7</f>
        <v>102.90796463482032</v>
      </c>
      <c r="M116" s="2">
        <f t="shared" si="15"/>
        <v>102.77291493796683</v>
      </c>
    </row>
    <row r="117" spans="1:13" x14ac:dyDescent="0.35">
      <c r="A117" s="30"/>
      <c r="B117" s="4"/>
      <c r="C117" s="4"/>
      <c r="D117" s="8">
        <f>C115*EXP(10*$D$21)</f>
        <v>3.2604456880063061E-2</v>
      </c>
      <c r="E117" s="40">
        <f>(D117-$B$4)*EXP(10*$E$21)</f>
        <v>3.8350809968777454E-2</v>
      </c>
      <c r="F117" s="40">
        <f>(E116-$B$4)*EXP(10*$E$21)</f>
        <v>4.1668248627064322E-2</v>
      </c>
      <c r="G117" s="40">
        <f>(F116-$B$4)*EXP(10*$G$21)</f>
        <v>5.3236504427628575E-2</v>
      </c>
      <c r="H117" s="17"/>
      <c r="J117" s="2">
        <f>MIN($B$8,AVERAGE(K118:K119)/(1+D117+$D$8/10000))+$B$7</f>
        <v>103.581205</v>
      </c>
      <c r="K117" s="2">
        <f>MIN($B$8,AVERAGE(L117:L118)/(1+E116+$D$8/10000))+$B$7</f>
        <v>103.581205</v>
      </c>
      <c r="L117" s="2">
        <f>MIN($B$8,AVERAGE(M119:M120)/(1+F117+$D$8/10000))+$B$7</f>
        <v>103.56296673377085</v>
      </c>
      <c r="M117" s="2">
        <f t="shared" si="15"/>
        <v>103.09122820744335</v>
      </c>
    </row>
    <row r="118" spans="1:13" x14ac:dyDescent="0.35">
      <c r="A118" s="30"/>
      <c r="B118" s="4"/>
      <c r="C118" s="4"/>
      <c r="D118" s="4"/>
      <c r="E118" s="8">
        <f>D117*EXP(10*$E$21)</f>
        <v>4.0857033824934864E-2</v>
      </c>
      <c r="F118" s="8">
        <f>E116*EXP(10*$F$21)</f>
        <v>4.4373883042762546E-2</v>
      </c>
      <c r="G118" s="8">
        <f>F116*EXP(10*$G$21)</f>
        <v>5.5723678562866703E-2</v>
      </c>
      <c r="H118" s="17"/>
      <c r="K118" s="2">
        <f>MIN($B$8,AVERAGE(L119:L120)/(1+E117+$D$8/10000))+$B$7</f>
        <v>103.04135558304088</v>
      </c>
      <c r="L118" s="2">
        <f>MIN($B$8,AVERAGE(M121:M122)/(1+F118+$D$8/10000))+$B$7</f>
        <v>102.99828381704128</v>
      </c>
      <c r="M118" s="2">
        <f t="shared" si="15"/>
        <v>102.85695894442995</v>
      </c>
    </row>
    <row r="119" spans="1:13" x14ac:dyDescent="0.35">
      <c r="A119" s="30"/>
      <c r="B119" s="4"/>
      <c r="C119" s="4"/>
      <c r="D119" s="4"/>
      <c r="E119" s="4"/>
      <c r="F119" s="40">
        <f>(E117-$B$4)*EXP(10*$E$21)</f>
        <v>4.5551633567197373E-2</v>
      </c>
      <c r="G119" s="40">
        <f>(F117-$B$4)*EXP(10*$G$21)</f>
        <v>4.9330920987714799E-2</v>
      </c>
      <c r="H119" s="15"/>
      <c r="I119" s="16"/>
      <c r="J119" s="16"/>
      <c r="K119" s="2">
        <f>MIN($B$8,AVERAGE(L121:L122)/(1+E118+$D$8/10000))+$B$7</f>
        <v>102.17961045136295</v>
      </c>
      <c r="L119" s="2">
        <f>MIN($B$8,AVERAGE(M123:M124)/(1+F119+$D$8/10000))+$B$7</f>
        <v>102.75400669838594</v>
      </c>
      <c r="M119" s="2">
        <f t="shared" si="15"/>
        <v>103.46134784908003</v>
      </c>
    </row>
    <row r="120" spans="1:13" x14ac:dyDescent="0.35">
      <c r="A120" s="30"/>
      <c r="B120" s="4"/>
      <c r="C120" s="4"/>
      <c r="D120" s="4"/>
      <c r="E120" s="4"/>
      <c r="F120" s="8">
        <f>E117*EXP(10*$F$21)</f>
        <v>4.8274798197073449E-2</v>
      </c>
      <c r="G120" s="8">
        <f>F117*EXP(10*$G$21)</f>
        <v>5.181809512295292E-2</v>
      </c>
      <c r="I120" s="16"/>
      <c r="J120" s="16"/>
      <c r="K120" s="16"/>
      <c r="L120" s="2">
        <f>MIN($B$8,AVERAGE(M125:M126)/(1+F120+$D$8/10000))+$B$7</f>
        <v>102.19270816620755</v>
      </c>
      <c r="M120" s="2">
        <f t="shared" si="15"/>
        <v>103.2253273447604</v>
      </c>
    </row>
    <row r="121" spans="1:13" x14ac:dyDescent="0.35">
      <c r="A121" s="30"/>
      <c r="B121" s="66"/>
      <c r="C121" s="4"/>
      <c r="D121" s="4"/>
      <c r="E121" s="4"/>
      <c r="F121" s="40">
        <f>(E118-$B$4)*EXP(10*$E$21)</f>
        <v>4.8692212575783635E-2</v>
      </c>
      <c r="G121" s="40">
        <f>(F118-$B$4)*EXP(10*$G$21)</f>
        <v>5.2695612956782163E-2</v>
      </c>
      <c r="J121" s="16"/>
      <c r="K121" s="16"/>
      <c r="L121" s="2">
        <f>MIN($B$8,AVERAGE(M127:M128)/(1+F121+$D$8/10000))+$B$7</f>
        <v>102.10710156458789</v>
      </c>
      <c r="M121" s="2">
        <f t="shared" si="15"/>
        <v>103.14232234737996</v>
      </c>
    </row>
    <row r="122" spans="1:13" x14ac:dyDescent="0.35">
      <c r="A122" s="30"/>
      <c r="B122" s="4"/>
      <c r="C122" s="4"/>
      <c r="D122" s="4"/>
      <c r="E122" s="4"/>
      <c r="F122" s="8">
        <f>E118*EXP(10*$F$21)</f>
        <v>5.1429554276311143E-2</v>
      </c>
      <c r="G122" s="8">
        <f>F118*EXP(10*$G$21)</f>
        <v>5.5182787092020291E-2</v>
      </c>
      <c r="K122" s="16"/>
      <c r="L122" s="2">
        <f>MIN($B$8,AVERAGE(M129:M130)/(1+F122+$D$8/10000))+$B$7</f>
        <v>101.54852045396767</v>
      </c>
      <c r="M122" s="2">
        <f t="shared" si="15"/>
        <v>102.90781171671438</v>
      </c>
    </row>
    <row r="123" spans="1:13" x14ac:dyDescent="0.35">
      <c r="A123" s="30"/>
      <c r="B123" s="4"/>
      <c r="C123" s="4"/>
      <c r="D123" s="4"/>
      <c r="E123" s="4"/>
      <c r="F123" s="4"/>
      <c r="G123" s="40">
        <f>(F119-$B$4)*EXP(10*$G$21)</f>
        <v>5.4160248277850882E-2</v>
      </c>
      <c r="L123" s="16"/>
      <c r="M123" s="2">
        <f t="shared" si="15"/>
        <v>103.0040904115822</v>
      </c>
    </row>
    <row r="124" spans="1:13" x14ac:dyDescent="0.35">
      <c r="A124" s="30"/>
      <c r="B124" s="4"/>
      <c r="C124" s="4"/>
      <c r="D124" s="4"/>
      <c r="E124" s="4"/>
      <c r="F124" s="4"/>
      <c r="G124" s="8">
        <f>F119*EXP(10*$G$21)</f>
        <v>5.664742241308901E-2</v>
      </c>
      <c r="M124" s="2">
        <f t="shared" si="15"/>
        <v>102.77023249967519</v>
      </c>
    </row>
    <row r="125" spans="1:13" x14ac:dyDescent="0.35">
      <c r="A125" s="30"/>
      <c r="B125" s="4"/>
      <c r="C125" s="4"/>
      <c r="D125" s="4"/>
      <c r="E125" s="4"/>
      <c r="F125" s="4"/>
      <c r="G125" s="40">
        <f>(F120-$B$4)*EXP(10*$G$21)</f>
        <v>5.7546740594562419E-2</v>
      </c>
      <c r="M125" s="2">
        <f t="shared" si="15"/>
        <v>102.68594534059248</v>
      </c>
    </row>
    <row r="126" spans="1:13" x14ac:dyDescent="0.35">
      <c r="A126" s="30"/>
      <c r="B126" s="4"/>
      <c r="C126" s="4"/>
      <c r="D126" s="4"/>
      <c r="E126" s="4"/>
      <c r="F126" s="4"/>
      <c r="G126" s="8">
        <f>F120*EXP(10*$G$21)</f>
        <v>6.0033914729800547E-2</v>
      </c>
      <c r="H126" s="17"/>
      <c r="M126" s="2">
        <f t="shared" si="15"/>
        <v>102.45358623327112</v>
      </c>
    </row>
    <row r="127" spans="1:13" x14ac:dyDescent="0.35">
      <c r="A127" s="30"/>
      <c r="B127" s="4"/>
      <c r="C127" s="4"/>
      <c r="D127" s="4"/>
      <c r="E127" s="4"/>
      <c r="F127" s="4"/>
      <c r="G127" s="40">
        <f>(F121-$B$4)*EXP(10*$G$21)</f>
        <v>5.8065831717764652E-2</v>
      </c>
      <c r="H127" s="17"/>
      <c r="M127" s="2">
        <f t="shared" si="15"/>
        <v>102.63735980353282</v>
      </c>
    </row>
    <row r="128" spans="1:13" x14ac:dyDescent="0.35">
      <c r="A128" s="30"/>
      <c r="B128" s="4"/>
      <c r="C128" s="4"/>
      <c r="D128" s="4"/>
      <c r="E128" s="4"/>
      <c r="F128" s="4"/>
      <c r="G128" s="8">
        <f>F121*EXP(10*$G$21)</f>
        <v>6.055300585300278E-2</v>
      </c>
      <c r="H128" s="17"/>
      <c r="M128" s="2">
        <f t="shared" si="15"/>
        <v>102.40522916310319</v>
      </c>
    </row>
    <row r="129" spans="1:13" x14ac:dyDescent="0.35">
      <c r="A129" s="30"/>
      <c r="B129" s="4"/>
      <c r="C129" s="4"/>
      <c r="D129" s="4"/>
      <c r="E129" s="4"/>
      <c r="F129" s="4"/>
      <c r="G129" s="40">
        <f>(F122-$B$4)*EXP(10*$G$21)</f>
        <v>6.1469954456195033E-2</v>
      </c>
      <c r="H129" s="17"/>
      <c r="M129" s="2">
        <f t="shared" si="15"/>
        <v>102.3199247756779</v>
      </c>
    </row>
    <row r="130" spans="1:13" x14ac:dyDescent="0.35">
      <c r="A130" s="30"/>
      <c r="B130" s="4"/>
      <c r="C130" s="4"/>
      <c r="D130" s="4"/>
      <c r="E130" s="4"/>
      <c r="F130" s="4"/>
      <c r="G130" s="8">
        <f>F122*EXP(10*$G$21)</f>
        <v>6.3957128591433154E-2</v>
      </c>
      <c r="H130" s="17"/>
      <c r="M130" s="2">
        <f t="shared" si="15"/>
        <v>102.08928407127772</v>
      </c>
    </row>
    <row r="131" spans="1:13" x14ac:dyDescent="0.35">
      <c r="A131" s="26" t="s">
        <v>33</v>
      </c>
      <c r="B131" s="27">
        <v>1</v>
      </c>
      <c r="C131" s="27">
        <v>2</v>
      </c>
      <c r="D131" s="27">
        <v>3</v>
      </c>
      <c r="E131" s="27">
        <v>4</v>
      </c>
      <c r="F131" s="27">
        <v>5</v>
      </c>
      <c r="G131" s="27">
        <v>6</v>
      </c>
    </row>
    <row r="132" spans="1:13" x14ac:dyDescent="0.35">
      <c r="A132" s="29" t="s">
        <v>38</v>
      </c>
      <c r="B132" s="5">
        <f t="shared" ref="B132:G132" si="16">B22</f>
        <v>1.9294641324000002E-2</v>
      </c>
      <c r="C132" s="5">
        <f t="shared" si="16"/>
        <v>2.0192164608E-2</v>
      </c>
      <c r="D132" s="5">
        <f t="shared" si="16"/>
        <v>2.0492762436000001E-2</v>
      </c>
      <c r="E132" s="5">
        <f t="shared" si="16"/>
        <v>2.15889676516E-2</v>
      </c>
      <c r="F132" s="5">
        <f t="shared" si="16"/>
        <v>2.3087685452880001E-2</v>
      </c>
      <c r="G132" s="5">
        <f t="shared" si="16"/>
        <v>2.5091139759999999E-2</v>
      </c>
    </row>
    <row r="133" spans="1:13" x14ac:dyDescent="0.35">
      <c r="A133" s="29" t="s">
        <v>8</v>
      </c>
      <c r="B133" s="7">
        <f t="shared" ref="B133:G133" si="17">1/(1+B132)^B131</f>
        <v>0.98107059476057135</v>
      </c>
      <c r="C133" s="7">
        <f t="shared" si="17"/>
        <v>0.96080672155340274</v>
      </c>
      <c r="D133" s="7">
        <f t="shared" si="17"/>
        <v>0.94095794406667921</v>
      </c>
      <c r="E133" s="7">
        <f t="shared" si="17"/>
        <v>0.91811106819679311</v>
      </c>
      <c r="F133" s="7">
        <f t="shared" si="17"/>
        <v>0.8921455503884469</v>
      </c>
      <c r="G133" s="7">
        <f t="shared" si="17"/>
        <v>0.86183697282423155</v>
      </c>
      <c r="H133" s="15"/>
      <c r="I133" s="16"/>
      <c r="J133" s="16"/>
      <c r="K133" s="16"/>
      <c r="L133" s="16"/>
      <c r="M133" s="16"/>
    </row>
    <row r="134" spans="1:13" x14ac:dyDescent="0.35">
      <c r="A134" s="65" t="s">
        <v>46</v>
      </c>
      <c r="B134" s="40">
        <f>$B$4+0.001</f>
        <v>3.0000000000000001E-3</v>
      </c>
      <c r="C134" s="4"/>
      <c r="D134" s="4"/>
      <c r="E134" s="4"/>
      <c r="F134" s="4"/>
      <c r="G134" s="8">
        <f>F142*EXP(10*$G$21)</f>
        <v>8.0252189110728844E-2</v>
      </c>
      <c r="H134" s="55" t="s">
        <v>41</v>
      </c>
      <c r="M134" s="2">
        <f>MIN($B$8,((100+$B$7)/(1+G134+$D$8/10000)))+$B$7</f>
        <v>100.60457319724108</v>
      </c>
    </row>
    <row r="135" spans="1:13" x14ac:dyDescent="0.35">
      <c r="A135" s="35"/>
      <c r="B135" s="4"/>
      <c r="C135" s="4"/>
      <c r="D135" s="4"/>
      <c r="E135" s="4"/>
      <c r="F135" s="4"/>
      <c r="G135" s="9">
        <f>(F142+$B$4)*EXP(10*$G$21)</f>
        <v>8.2739363245966979E-2</v>
      </c>
      <c r="H135" s="17"/>
      <c r="M135" s="2">
        <f t="shared" ref="M135:M149" si="18">MIN($B$8,(100+$B$7)/(1+G135+$D$8/10000))+$B$7</f>
        <v>100.38190098319136</v>
      </c>
    </row>
    <row r="136" spans="1:13" x14ac:dyDescent="0.35">
      <c r="A136" s="35"/>
      <c r="B136" s="4"/>
      <c r="C136" s="4"/>
      <c r="D136" s="4"/>
      <c r="E136" s="4"/>
      <c r="F136" s="4"/>
      <c r="G136" s="8">
        <f>F143*EXP(10*$G$21)</f>
        <v>8.3382965998031924E-2</v>
      </c>
      <c r="H136" s="17"/>
      <c r="M136" s="2">
        <f t="shared" si="18"/>
        <v>100.32444747300305</v>
      </c>
    </row>
    <row r="137" spans="1:13" x14ac:dyDescent="0.35">
      <c r="A137" s="35"/>
      <c r="B137" s="4"/>
      <c r="C137" s="4"/>
      <c r="D137" s="4"/>
      <c r="E137" s="4"/>
      <c r="F137" s="4"/>
      <c r="G137" s="9">
        <f>(F143+$B$4)*EXP(10*$G$21)</f>
        <v>8.5870140133270045E-2</v>
      </c>
      <c r="H137" s="17"/>
      <c r="M137" s="2">
        <f t="shared" si="18"/>
        <v>100.10306327885166</v>
      </c>
    </row>
    <row r="138" spans="1:13" x14ac:dyDescent="0.35">
      <c r="A138" s="35"/>
      <c r="B138" s="4"/>
      <c r="C138" s="4"/>
      <c r="D138" s="4"/>
      <c r="E138" s="4"/>
      <c r="F138" s="4"/>
      <c r="G138" s="8">
        <f>F144*EXP(10*$G$21)</f>
        <v>8.4175402972361466E-2</v>
      </c>
      <c r="H138" s="17"/>
      <c r="M138" s="2">
        <f t="shared" si="18"/>
        <v>100.2538017603885</v>
      </c>
    </row>
    <row r="139" spans="1:13" x14ac:dyDescent="0.35">
      <c r="A139" s="35"/>
      <c r="B139" s="4"/>
      <c r="C139" s="4"/>
      <c r="D139" s="4"/>
      <c r="E139" s="4"/>
      <c r="F139" s="4"/>
      <c r="G139" s="9">
        <f>(F144+$B$4)*EXP(10*$G$21)</f>
        <v>8.6662577107599587E-2</v>
      </c>
      <c r="H139" s="17"/>
      <c r="M139" s="2">
        <f t="shared" si="18"/>
        <v>100.03274180713301</v>
      </c>
    </row>
    <row r="140" spans="1:13" x14ac:dyDescent="0.35">
      <c r="A140" s="36"/>
      <c r="B140" s="4"/>
      <c r="C140" s="4"/>
      <c r="D140" s="4"/>
      <c r="E140" s="4"/>
      <c r="F140" s="4"/>
      <c r="G140" s="8">
        <f>F145*EXP(10*$G$21)</f>
        <v>8.7306179859664532E-2</v>
      </c>
      <c r="H140" s="17"/>
      <c r="M140" s="2">
        <f t="shared" si="18"/>
        <v>99.975703689216346</v>
      </c>
    </row>
    <row r="141" spans="1:13" x14ac:dyDescent="0.35">
      <c r="A141" s="36"/>
      <c r="B141" s="4"/>
      <c r="C141" s="42"/>
      <c r="D141" s="4"/>
      <c r="E141" s="4"/>
      <c r="F141" s="4"/>
      <c r="G141" s="9">
        <f>(F145+$B$4)*EXP(10*$G$21)</f>
        <v>8.9793353994902653E-2</v>
      </c>
      <c r="H141" s="15"/>
      <c r="I141" s="16"/>
      <c r="J141" s="16"/>
      <c r="K141" s="16"/>
      <c r="L141" s="16"/>
      <c r="M141" s="2">
        <f t="shared" si="18"/>
        <v>99.755917812386471</v>
      </c>
    </row>
    <row r="142" spans="1:13" x14ac:dyDescent="0.35">
      <c r="A142" s="36"/>
      <c r="B142" s="4"/>
      <c r="C142" s="4"/>
      <c r="D142" s="4"/>
      <c r="E142" s="4"/>
      <c r="F142" s="8">
        <f>E146*EXP(10*$F$21)</f>
        <v>6.4532827013373109E-2</v>
      </c>
      <c r="G142" s="8">
        <f>F146*EXP(10*$G$21)</f>
        <v>9.1452094429031849E-2</v>
      </c>
      <c r="I142" s="16"/>
      <c r="J142" s="16"/>
      <c r="K142" s="16"/>
      <c r="L142" s="2">
        <f>MIN($B$8,AVERAGE(M134:M135)/(1+F142+$D$8/10000))+$B$7</f>
        <v>98.730387209640227</v>
      </c>
      <c r="M142" s="2">
        <f t="shared" si="18"/>
        <v>99.609897401056131</v>
      </c>
    </row>
    <row r="143" spans="1:13" x14ac:dyDescent="0.35">
      <c r="A143" s="37"/>
      <c r="B143" s="4"/>
      <c r="C143" s="4"/>
      <c r="D143" s="4"/>
      <c r="E143" s="4"/>
      <c r="F143" s="9">
        <f>(E146+$B$4)*EXP(10*$F$21)</f>
        <v>6.7050364360635148E-2</v>
      </c>
      <c r="G143" s="9">
        <f>(F146+$B$4)*EXP(10*$G$21)</f>
        <v>9.393926856426997E-2</v>
      </c>
      <c r="J143" s="16"/>
      <c r="K143" s="16"/>
      <c r="L143" s="2">
        <f>MIN($B$8,AVERAGE(M136:M137)/(1+F143+$D$8/10000))+$B$7</f>
        <v>98.24327746912914</v>
      </c>
      <c r="M143" s="2">
        <f t="shared" si="18"/>
        <v>99.391781831948038</v>
      </c>
    </row>
    <row r="144" spans="1:13" x14ac:dyDescent="0.35">
      <c r="A144" s="37"/>
      <c r="B144" s="4"/>
      <c r="C144" s="4"/>
      <c r="D144" s="4"/>
      <c r="E144" s="4"/>
      <c r="F144" s="8">
        <f>E147*EXP(10*$F$21)</f>
        <v>6.7687583092610804E-2</v>
      </c>
      <c r="G144" s="8">
        <f>F147*EXP(10*$G$21)</f>
        <v>9.4582871316334916E-2</v>
      </c>
      <c r="K144" s="16"/>
      <c r="L144" s="2">
        <f>MIN($B$8,AVERAGE(M138:M139)/(1+F144+$D$8/10000))+$B$7</f>
        <v>98.120590884956712</v>
      </c>
      <c r="M144" s="2">
        <f t="shared" si="18"/>
        <v>99.335502339314644</v>
      </c>
    </row>
    <row r="145" spans="1:13" x14ac:dyDescent="0.35">
      <c r="A145" s="37"/>
      <c r="B145" s="4"/>
      <c r="C145" s="4"/>
      <c r="D145" s="4"/>
      <c r="E145" s="4"/>
      <c r="F145" s="9">
        <f>(E147+$B$4)*EXP(10*$F$21)</f>
        <v>7.0205120439872842E-2</v>
      </c>
      <c r="G145" s="9">
        <f>(F147+$B$4)*EXP(10*$G$21)</f>
        <v>9.7070045451573037E-2</v>
      </c>
      <c r="K145" s="2">
        <f>MIN($B$8,AVERAGE(L142:L143)/(1+E146+$D$8/10000))+$B$7</f>
        <v>98.01473659101552</v>
      </c>
      <c r="L145" s="2">
        <f>MIN($B$8,AVERAGE(M140:M141)/(1+F145+$D$8/10000))+$B$7</f>
        <v>97.638256153945036</v>
      </c>
      <c r="M145" s="2">
        <f t="shared" si="18"/>
        <v>99.118635512789538</v>
      </c>
    </row>
    <row r="146" spans="1:13" x14ac:dyDescent="0.35">
      <c r="A146" s="37"/>
      <c r="B146" s="4"/>
      <c r="C146" s="4"/>
      <c r="D146" s="4"/>
      <c r="E146" s="8">
        <f>D147*EXP(10*$E$21)</f>
        <v>5.1266629338036149E-2</v>
      </c>
      <c r="F146" s="8">
        <f>E148*EXP(10*$F$21)</f>
        <v>7.3538955824077157E-2</v>
      </c>
      <c r="G146" s="8">
        <f>F148*EXP(10*$G$21)</f>
        <v>9.0659657454702308E-2</v>
      </c>
      <c r="K146" s="2">
        <f>MIN($B$8,AVERAGE(L144:L145)/(1+E147+$D$8/10000))+$B$7</f>
        <v>97.211906892978305</v>
      </c>
      <c r="L146" s="2">
        <f>MIN($B$8,AVERAGE(M142:M143)/(1+F146+$D$8/10000))+$B$7</f>
        <v>97.00531530226165</v>
      </c>
      <c r="M146" s="2">
        <f t="shared" si="18"/>
        <v>99.679600742581414</v>
      </c>
    </row>
    <row r="147" spans="1:13" x14ac:dyDescent="0.35">
      <c r="A147" s="37"/>
      <c r="B147" s="4"/>
      <c r="C147" s="4"/>
      <c r="D147" s="8">
        <f>C149*EXP(10*$D$21)</f>
        <v>4.091145267178093E-2</v>
      </c>
      <c r="E147" s="9">
        <f>(D147+$B$4)*EXP(10*$E$21)</f>
        <v>5.3772853194193559E-2</v>
      </c>
      <c r="F147" s="9">
        <f>(E148+$B$4)*EXP(10*$F$21)</f>
        <v>7.6056493171339196E-2</v>
      </c>
      <c r="G147" s="9">
        <f>(F148+$B$4)*EXP(10*$G$21)</f>
        <v>9.3146831589940429E-2</v>
      </c>
      <c r="J147" s="2">
        <f>MIN($B$8,AVERAGE(K145:K146)/(1+D147+$D$8/10000))+$B$7</f>
        <v>98.111176399860923</v>
      </c>
      <c r="K147" s="2">
        <f>MIN($B$8,AVERAGE(L146:L147)/(1+E148+$D$8/10000))+$B$7</f>
        <v>95.747802329585369</v>
      </c>
      <c r="L147" s="2">
        <f>MIN($B$8,AVERAGE(M144:M145)/(1+F147+$D$8/10000))+$B$7</f>
        <v>96.531672082538392</v>
      </c>
      <c r="M147" s="2">
        <f t="shared" si="18"/>
        <v>99.461167391333902</v>
      </c>
    </row>
    <row r="148" spans="1:13" x14ac:dyDescent="0.35">
      <c r="A148" s="37"/>
      <c r="B148" s="4"/>
      <c r="C148" s="4"/>
      <c r="D148" s="9">
        <f>(C149+$B$134)*EXP(10*$D$21)</f>
        <v>4.4621009027009668E-2</v>
      </c>
      <c r="E148" s="9">
        <f>(D148+$B$4)*EXP(10*$E$21)</f>
        <v>5.8421342510810867E-2</v>
      </c>
      <c r="F148" s="9">
        <f>(E149+$B$4)*EXP(10*$F$21)</f>
        <v>7.2901737092101501E-2</v>
      </c>
      <c r="G148" s="9">
        <f>(F149+$B$4)*EXP(10*$G$21)</f>
        <v>9.0016054702637335E-2</v>
      </c>
      <c r="H148" s="34"/>
      <c r="J148" s="2">
        <f>MIN($B$8,AVERAGE(K147:K148)/(1+D148+$D$8/10000))+$B$7</f>
        <v>96.360861426795182</v>
      </c>
      <c r="K148" s="2">
        <f>MIN($B$8,AVERAGE(L148:L149)/(1+E149+$D$8/10000))+$B$7</f>
        <v>96.533178422793497</v>
      </c>
      <c r="L148" s="2">
        <f>MIN($B$8,AVERAGE(M146:M147)/(1+F148+$D$8/10000))+$B$7</f>
        <v>97.12578743245929</v>
      </c>
      <c r="M148" s="2">
        <f t="shared" si="18"/>
        <v>99.736287353008052</v>
      </c>
    </row>
    <row r="149" spans="1:13" x14ac:dyDescent="0.35">
      <c r="A149" s="37"/>
      <c r="B149" s="4"/>
      <c r="C149" s="9">
        <f>(B150+$B$134)*EXP(10*$C$21)</f>
        <v>3.3085993650519667E-2</v>
      </c>
      <c r="D149" s="4"/>
      <c r="E149" s="8">
        <f>D148*EXP(10*$E$21)</f>
        <v>5.5915118654653449E-2</v>
      </c>
      <c r="F149" s="8">
        <f>E149*EXP(10*$F$21)</f>
        <v>7.0384199744839449E-2</v>
      </c>
      <c r="G149" s="8">
        <f>F149*EXP(10*$G$21)</f>
        <v>8.7528880567399214E-2</v>
      </c>
      <c r="H149" s="19"/>
      <c r="I149" s="2">
        <f>MIN($B$8,AVERAGE(J147:J148)/(1+C149+$D$8/10000))+$B$7</f>
        <v>98.460083262239763</v>
      </c>
      <c r="J149" s="16"/>
      <c r="K149" s="16"/>
      <c r="L149" s="2">
        <f t="array" ref="L149">MIN($B$8,AVERAGE(M148:M149/(1+F149+$D$8/10000))+$B$7)</f>
        <v>97.604090287704025</v>
      </c>
      <c r="M149" s="2">
        <f t="shared" si="18"/>
        <v>99.955983021211267</v>
      </c>
    </row>
    <row r="150" spans="1:13" x14ac:dyDescent="0.35">
      <c r="A150" s="37"/>
      <c r="B150" s="41">
        <f>B132*EXP(10*B21)</f>
        <v>2.3701240907870486E-2</v>
      </c>
      <c r="C150" s="14"/>
      <c r="D150" s="4"/>
      <c r="E150" s="4"/>
      <c r="F150" s="4"/>
      <c r="G150" s="4"/>
      <c r="H150" s="67">
        <f>AVERAGE(I149:I151)/(1+B150+$D$8/10000)</f>
        <v>99.03959076145604</v>
      </c>
      <c r="L150" s="16"/>
      <c r="M150" s="16"/>
    </row>
    <row r="151" spans="1:13" x14ac:dyDescent="0.35">
      <c r="A151" s="37"/>
      <c r="B151" s="4"/>
      <c r="C151" s="40">
        <f>(B150-$B$134)*EXP(10*$C$21)</f>
        <v>2.5651284432769299E-2</v>
      </c>
      <c r="D151" s="4"/>
      <c r="E151" s="8">
        <f>D152*EXP(10*$E$21)</f>
        <v>3.5098084564462603E-2</v>
      </c>
      <c r="F151" s="8">
        <f>E151*EXP(10*$F$21)</f>
        <v>4.4180369354198105E-2</v>
      </c>
      <c r="G151" s="8">
        <f>F151*EXP(10*$G$21)</f>
        <v>5.4942135971514289E-2</v>
      </c>
      <c r="H151" s="77"/>
      <c r="I151" s="2">
        <f>MIN($B$8,AVERAGE(J152:J153)/(1+C151+$D$8/10000))+$B$7</f>
        <v>103.581205</v>
      </c>
      <c r="J151" s="16"/>
      <c r="K151" s="16"/>
      <c r="L151" s="2">
        <f>MIN($B$8,AVERAGE(M151:M152)/(1+F151+$D$8/10000))+$B$7</f>
        <v>103.09508198695376</v>
      </c>
      <c r="M151" s="2">
        <f t="shared" ref="M151:M166" si="19">MIN($B$8,(100+$B$7)/(1+G151+$D$8/10000))+$B$7</f>
        <v>102.93045373533513</v>
      </c>
    </row>
    <row r="152" spans="1:13" x14ac:dyDescent="0.35">
      <c r="A152" s="37"/>
      <c r="B152" s="4"/>
      <c r="C152" s="4"/>
      <c r="D152" s="40">
        <f>(C151-$B$134)*EXP(10*$D$21)</f>
        <v>2.8008738707224354E-2</v>
      </c>
      <c r="E152" s="40">
        <f>(D152-$B$134)*EXP(10*$E$21)</f>
        <v>3.1338748780226487E-2</v>
      </c>
      <c r="F152" s="40">
        <f>(E151-$B$134)*EXP(10*$E$21)</f>
        <v>4.0222492636207093E-2</v>
      </c>
      <c r="G152" s="40">
        <f>(F151-$B$134)*EXP(10*$G$21)</f>
        <v>5.12113747686571E-2</v>
      </c>
      <c r="H152" s="34"/>
      <c r="J152" s="2">
        <f>MIN($B$8,AVERAGE(K152:K153)/(1+D152+$D$8/10000))+$B$7</f>
        <v>103.581205</v>
      </c>
      <c r="K152" s="2">
        <f>MIN($B$8,AVERAGE(L151:L152)/(1+E151+$D$8/10000))+$B$7</f>
        <v>103.581205</v>
      </c>
      <c r="L152" s="2">
        <f>MIN($B$8,AVERAGE(M153:M154)/(1+F152+$D$8/10000))+$B$7</f>
        <v>103.581205</v>
      </c>
      <c r="M152" s="2">
        <f t="shared" si="19"/>
        <v>103.28279874483476</v>
      </c>
    </row>
    <row r="153" spans="1:13" x14ac:dyDescent="0.35">
      <c r="A153" s="37"/>
      <c r="B153" s="4"/>
      <c r="C153" s="4"/>
      <c r="D153" s="8">
        <f>C151*EXP(10*$D$21)</f>
        <v>3.1718295062453085E-2</v>
      </c>
      <c r="E153" s="40">
        <f>(D153-$B$134)*EXP(10*$E$21)</f>
        <v>3.5987238096843781E-2</v>
      </c>
      <c r="F153" s="40">
        <f>(E152-$B$134)*EXP(10*$E$21)</f>
        <v>3.5511624123327701E-2</v>
      </c>
      <c r="G153" s="40">
        <f>(F152-$B$134)*EXP(10*$G$21)</f>
        <v>4.6289410466932898E-2</v>
      </c>
      <c r="H153" s="17"/>
      <c r="J153" s="2">
        <f>MIN($B$8,AVERAGE(K154:K155)/(1+D153+$D$8/10000))+$B$7</f>
        <v>103.581205</v>
      </c>
      <c r="K153" s="2">
        <f>MIN($B$8,AVERAGE(L153:L154)/(1+E152+$D$8/10000))+$B$7</f>
        <v>103.581205</v>
      </c>
      <c r="L153" s="2">
        <f>MIN($B$8,AVERAGE(M155:M156)/(1+F153+$D$8/10000))+$B$7</f>
        <v>103.581205</v>
      </c>
      <c r="M153" s="2">
        <f t="shared" si="19"/>
        <v>103.581205</v>
      </c>
    </row>
    <row r="154" spans="1:13" x14ac:dyDescent="0.35">
      <c r="A154" s="37"/>
      <c r="B154" s="4"/>
      <c r="C154" s="4"/>
      <c r="D154" s="4"/>
      <c r="E154" s="8">
        <f>D153*EXP(10*$E$21)</f>
        <v>3.9746573881079897E-2</v>
      </c>
      <c r="F154" s="8">
        <f>E152*EXP(10*$F$21)</f>
        <v>3.9448235235341564E-2</v>
      </c>
      <c r="G154" s="8">
        <f>F152*EXP(10*$G$21)</f>
        <v>5.0020171669790087E-2</v>
      </c>
      <c r="H154" s="17"/>
      <c r="K154" s="2">
        <f>MIN($B$8,AVERAGE(L155:L156)/(1+E153+$D$8/10000))+$B$7</f>
        <v>103.581205</v>
      </c>
      <c r="L154" s="2">
        <f>MIN($B$8,AVERAGE(M157:M158)/(1+F154+$D$8/10000))+$B$7</f>
        <v>103.581205</v>
      </c>
      <c r="M154" s="2">
        <f t="shared" si="19"/>
        <v>103.39582898403771</v>
      </c>
    </row>
    <row r="155" spans="1:13" x14ac:dyDescent="0.35">
      <c r="A155" s="37"/>
      <c r="B155" s="4"/>
      <c r="C155" s="4"/>
      <c r="D155" s="4"/>
      <c r="E155" s="4"/>
      <c r="F155" s="40">
        <f>(E153-$B$134)*EXP(10*$E$21)</f>
        <v>4.1336701533527268E-2</v>
      </c>
      <c r="G155" s="40">
        <f>(F153-$B$134)*EXP(10*$G$21)</f>
        <v>4.0431035307062248E-2</v>
      </c>
      <c r="H155" s="15"/>
      <c r="I155" s="16"/>
      <c r="J155" s="16"/>
      <c r="K155" s="2">
        <f>MIN($B$8,AVERAGE(L157:L158)/(1+E154+$D$8/10000))+$B$7</f>
        <v>102.73880375700369</v>
      </c>
      <c r="L155" s="2">
        <f>MIN($B$8,AVERAGE(M159:M160)/(1+F155+$D$8/10000))+$B$7</f>
        <v>103.581205</v>
      </c>
      <c r="M155" s="2">
        <f t="shared" si="19"/>
        <v>103.581205</v>
      </c>
    </row>
    <row r="156" spans="1:13" x14ac:dyDescent="0.35">
      <c r="A156" s="37"/>
      <c r="B156" s="4"/>
      <c r="C156" s="4"/>
      <c r="D156" s="4"/>
      <c r="E156" s="4"/>
      <c r="F156" s="8">
        <f>E153*EXP(10*$F$21)</f>
        <v>4.5299607966807903E-2</v>
      </c>
      <c r="G156" s="8">
        <f>F153*EXP(10*$G$21)</f>
        <v>4.4161796509919436E-2</v>
      </c>
      <c r="I156" s="16"/>
      <c r="J156" s="16"/>
      <c r="K156" s="16"/>
      <c r="L156" s="2">
        <f>MIN($B$8,AVERAGE(M161:M162)/(1+F156+$D$8/10000))+$B$7</f>
        <v>102.86256449073667</v>
      </c>
      <c r="M156" s="2">
        <f t="shared" si="19"/>
        <v>103.581205</v>
      </c>
    </row>
    <row r="157" spans="1:13" x14ac:dyDescent="0.35">
      <c r="A157" s="37"/>
      <c r="B157" s="66"/>
      <c r="C157" s="4"/>
      <c r="D157" s="4"/>
      <c r="E157" s="4"/>
      <c r="F157" s="40">
        <f>(E154-$B$134)*EXP(10*$E$21)</f>
        <v>4.6047570046406659E-2</v>
      </c>
      <c r="G157" s="40">
        <f>(F154-$B$134)*EXP(10*$G$21)</f>
        <v>4.5326553976208182E-2</v>
      </c>
      <c r="J157" s="16"/>
      <c r="K157" s="16"/>
      <c r="L157" s="2">
        <f>MIN($B$8,AVERAGE(M163:M164)/(1+F157+$D$8/10000))+$B$7</f>
        <v>102.70764244051087</v>
      </c>
      <c r="M157" s="2">
        <f t="shared" si="19"/>
        <v>103.581205</v>
      </c>
    </row>
    <row r="158" spans="1:13" x14ac:dyDescent="0.35">
      <c r="A158" s="37"/>
      <c r="B158" s="4"/>
      <c r="C158" s="4"/>
      <c r="D158" s="4"/>
      <c r="E158" s="4"/>
      <c r="F158" s="8">
        <f>E154*EXP(10*$F$21)</f>
        <v>5.0031742085664445E-2</v>
      </c>
      <c r="G158" s="8">
        <f>F154*EXP(10*$G$21)</f>
        <v>4.9057315179065371E-2</v>
      </c>
      <c r="K158" s="16"/>
      <c r="L158" s="2">
        <f>MIN($B$8,AVERAGE(M165:M166)/(1+F158+$D$8/10000))+$B$7</f>
        <v>101.88863271125958</v>
      </c>
      <c r="M158" s="2">
        <f t="shared" si="19"/>
        <v>103.48738025509766</v>
      </c>
    </row>
    <row r="159" spans="1:13" x14ac:dyDescent="0.35">
      <c r="A159" s="37"/>
      <c r="B159" s="4"/>
      <c r="C159" s="4"/>
      <c r="D159" s="4"/>
      <c r="E159" s="4"/>
      <c r="F159" s="4"/>
      <c r="G159" s="40">
        <f>(F155-$B$134)*EXP(10*$G$21)</f>
        <v>4.7675026242266362E-2</v>
      </c>
      <c r="L159" s="16"/>
      <c r="M159" s="2">
        <f t="shared" si="19"/>
        <v>103.581205</v>
      </c>
    </row>
    <row r="160" spans="1:13" x14ac:dyDescent="0.35">
      <c r="A160" s="37"/>
      <c r="B160" s="4"/>
      <c r="C160" s="4"/>
      <c r="D160" s="4"/>
      <c r="E160" s="4"/>
      <c r="F160" s="4"/>
      <c r="G160" s="8">
        <f>F155*EXP(10*$G$21)</f>
        <v>5.1405787445123551E-2</v>
      </c>
      <c r="M160" s="2">
        <f t="shared" si="19"/>
        <v>103.26437581630822</v>
      </c>
    </row>
    <row r="161" spans="1:13" x14ac:dyDescent="0.35">
      <c r="A161" s="37"/>
      <c r="B161" s="4"/>
      <c r="C161" s="4"/>
      <c r="D161" s="4"/>
      <c r="E161" s="4"/>
      <c r="F161" s="4"/>
      <c r="G161" s="40">
        <f>(F156-$B$134)*EXP(10*$G$21)</f>
        <v>5.2603245432878545E-2</v>
      </c>
      <c r="M161" s="2">
        <f t="shared" si="19"/>
        <v>103.15105291299348</v>
      </c>
    </row>
    <row r="162" spans="1:13" x14ac:dyDescent="0.35">
      <c r="A162" s="37"/>
      <c r="B162" s="4"/>
      <c r="C162" s="4"/>
      <c r="D162" s="4"/>
      <c r="E162" s="4"/>
      <c r="F162" s="4"/>
      <c r="G162" s="8">
        <f>F156*EXP(10*$G$21)</f>
        <v>5.6334006635735734E-2</v>
      </c>
      <c r="H162" s="17"/>
      <c r="M162" s="2">
        <f t="shared" si="19"/>
        <v>102.79964073447627</v>
      </c>
    </row>
    <row r="163" spans="1:13" x14ac:dyDescent="0.35">
      <c r="A163" s="37"/>
      <c r="B163" s="4"/>
      <c r="C163" s="4"/>
      <c r="D163" s="4"/>
      <c r="E163" s="4"/>
      <c r="F163" s="4"/>
      <c r="G163" s="40">
        <f>(F157-$B$134)*EXP(10*$G$21)</f>
        <v>5.3533401402137019E-2</v>
      </c>
      <c r="H163" s="17"/>
      <c r="M163" s="2">
        <f t="shared" si="19"/>
        <v>103.06320485956441</v>
      </c>
    </row>
    <row r="164" spans="1:13" x14ac:dyDescent="0.35">
      <c r="A164" s="37"/>
      <c r="B164" s="4"/>
      <c r="C164" s="4"/>
      <c r="D164" s="4"/>
      <c r="E164" s="4"/>
      <c r="F164" s="4"/>
      <c r="G164" s="8">
        <f>F157*EXP(10*$G$21)</f>
        <v>5.7264162604994208E-2</v>
      </c>
      <c r="H164" s="17"/>
      <c r="M164" s="2">
        <f t="shared" si="19"/>
        <v>102.71241400758653</v>
      </c>
    </row>
    <row r="165" spans="1:13" x14ac:dyDescent="0.35">
      <c r="A165" s="37"/>
      <c r="B165" s="4"/>
      <c r="C165" s="4"/>
      <c r="D165" s="4"/>
      <c r="E165" s="4"/>
      <c r="F165" s="4"/>
      <c r="G165" s="40">
        <f>(F158-$B$134)*EXP(10*$G$21)</f>
        <v>5.8488066225327463E-2</v>
      </c>
      <c r="H165" s="17"/>
      <c r="M165" s="2">
        <f t="shared" si="19"/>
        <v>102.59787505479619</v>
      </c>
    </row>
    <row r="166" spans="1:13" x14ac:dyDescent="0.35">
      <c r="A166" s="37"/>
      <c r="B166" s="4"/>
      <c r="C166" s="4"/>
      <c r="D166" s="4"/>
      <c r="E166" s="4"/>
      <c r="F166" s="4"/>
      <c r="G166" s="8">
        <f>F158*EXP(10*$G$21)</f>
        <v>6.2218827428184652E-2</v>
      </c>
      <c r="H166" s="17"/>
      <c r="M166" s="2">
        <f t="shared" si="19"/>
        <v>102.25036622368738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2091"/>
  <sheetViews>
    <sheetView tabSelected="1" zoomScale="55" zoomScaleNormal="10" workbookViewId="0">
      <selection activeCell="A2" sqref="A2"/>
    </sheetView>
  </sheetViews>
  <sheetFormatPr defaultRowHeight="14.5" x14ac:dyDescent="0.35"/>
  <cols>
    <col min="1" max="1" width="17.26953125" style="1" customWidth="1"/>
    <col min="2" max="12" width="11.26953125" style="1" customWidth="1"/>
    <col min="13" max="16" width="11.453125" style="1" bestFit="1" customWidth="1"/>
    <col min="17" max="20" width="8.81640625" style="1" customWidth="1"/>
    <col min="21" max="25" width="8.7265625" style="1" customWidth="1"/>
    <col min="26" max="16384" width="8.7265625" style="1"/>
  </cols>
  <sheetData>
    <row r="1" spans="1:14" x14ac:dyDescent="0.35">
      <c r="A1" s="20" t="s">
        <v>47</v>
      </c>
    </row>
    <row r="2" spans="1:14" x14ac:dyDescent="0.35">
      <c r="A2" t="s">
        <v>52</v>
      </c>
    </row>
    <row r="4" spans="1:14" x14ac:dyDescent="0.35">
      <c r="A4" s="25" t="s">
        <v>2</v>
      </c>
      <c r="B4" s="61">
        <v>2E-3</v>
      </c>
      <c r="C4" s="36" t="s">
        <v>3</v>
      </c>
      <c r="I4" s="43"/>
      <c r="J4" s="43"/>
      <c r="K4" s="43"/>
      <c r="L4" s="43"/>
      <c r="M4" s="71" t="s">
        <v>4</v>
      </c>
    </row>
    <row r="5" spans="1:14" x14ac:dyDescent="0.35">
      <c r="A5" s="22" t="s">
        <v>5</v>
      </c>
      <c r="B5" s="61">
        <v>104.35</v>
      </c>
      <c r="C5" s="22" t="s">
        <v>6</v>
      </c>
      <c r="D5" s="72">
        <f>(L799-L1317)/(2*B8*0.001)</f>
        <v>-23.331401303090963</v>
      </c>
      <c r="E5" s="22" t="s">
        <v>7</v>
      </c>
      <c r="F5" s="24">
        <f>L799</f>
        <v>97.299419945280306</v>
      </c>
      <c r="G5" s="11" t="s">
        <v>8</v>
      </c>
      <c r="H5" s="48"/>
      <c r="I5" s="48"/>
      <c r="J5" s="48"/>
      <c r="K5" s="48"/>
      <c r="L5" s="48"/>
      <c r="M5" s="1" t="s">
        <v>9</v>
      </c>
      <c r="N5" s="48"/>
    </row>
    <row r="6" spans="1:14" x14ac:dyDescent="0.35">
      <c r="A6" s="22" t="s">
        <v>10</v>
      </c>
      <c r="B6" s="61">
        <v>0.95430000000000004</v>
      </c>
      <c r="C6" s="22" t="s">
        <v>11</v>
      </c>
      <c r="D6" s="72">
        <f>(L799+L1317-2*$B$8)/(2*$B$8*(0.001)^2)</f>
        <v>417.58885505235958</v>
      </c>
      <c r="E6" s="22" t="s">
        <v>12</v>
      </c>
      <c r="F6" s="24">
        <f>L1317</f>
        <v>101.94615805748104</v>
      </c>
      <c r="G6" s="12">
        <f>SUM(H6:M6)</f>
        <v>0</v>
      </c>
      <c r="H6" s="49"/>
      <c r="I6" s="47"/>
      <c r="J6" s="47"/>
      <c r="K6" s="47"/>
      <c r="L6" s="47"/>
      <c r="M6" s="1" t="s">
        <v>13</v>
      </c>
      <c r="N6" s="47"/>
    </row>
    <row r="7" spans="1:14" x14ac:dyDescent="0.35">
      <c r="A7" s="22" t="s">
        <v>14</v>
      </c>
      <c r="B7" s="61">
        <v>4</v>
      </c>
      <c r="C7" s="22" t="s">
        <v>15</v>
      </c>
      <c r="D7" s="62">
        <v>-1571.3</v>
      </c>
      <c r="E7" s="22" t="s">
        <v>51</v>
      </c>
      <c r="F7" s="52">
        <f>((B8-L1835)/B8)-1</f>
        <v>-1.005047102693009</v>
      </c>
      <c r="G7" s="53"/>
      <c r="H7" s="47"/>
      <c r="I7" s="50"/>
      <c r="J7" s="50"/>
      <c r="K7" s="50"/>
      <c r="L7" s="83"/>
      <c r="M7" s="1" t="s">
        <v>17</v>
      </c>
      <c r="N7" s="83"/>
    </row>
    <row r="8" spans="1:14" x14ac:dyDescent="0.35">
      <c r="A8" s="22" t="s">
        <v>18</v>
      </c>
      <c r="B8" s="68">
        <f>B5*B6</f>
        <v>99.581204999999997</v>
      </c>
      <c r="C8" s="22" t="s">
        <v>19</v>
      </c>
      <c r="D8" s="60">
        <f>D7</f>
        <v>-1571.3</v>
      </c>
      <c r="E8" s="22" t="s">
        <v>20</v>
      </c>
      <c r="F8" s="52">
        <f>D5*0.0001*B8</f>
        <v>-0.23233690561003684</v>
      </c>
      <c r="G8" s="53"/>
      <c r="H8" s="47"/>
      <c r="I8" s="51"/>
      <c r="J8" s="51"/>
      <c r="K8" s="51"/>
      <c r="L8" s="84"/>
      <c r="M8" s="1" t="s">
        <v>21</v>
      </c>
      <c r="N8" s="84"/>
    </row>
    <row r="9" spans="1:14" x14ac:dyDescent="0.35">
      <c r="A9" s="22" t="s">
        <v>22</v>
      </c>
      <c r="B9" s="62">
        <v>266.8</v>
      </c>
      <c r="C9" s="22" t="s">
        <v>23</v>
      </c>
      <c r="D9" s="69">
        <f>B9*F8</f>
        <v>-61.987486416757832</v>
      </c>
      <c r="E9" s="22" t="s">
        <v>24</v>
      </c>
      <c r="F9" s="70">
        <f>B12*ABS(F7)</f>
        <v>250.1507094818879</v>
      </c>
      <c r="G9" s="53" t="s">
        <v>25</v>
      </c>
      <c r="H9" s="47"/>
      <c r="I9" s="46"/>
      <c r="J9" s="46"/>
      <c r="K9" s="46"/>
      <c r="L9" s="46"/>
      <c r="M9" s="1" t="s">
        <v>26</v>
      </c>
      <c r="N9" s="46"/>
    </row>
    <row r="10" spans="1:14" x14ac:dyDescent="0.35">
      <c r="A10" s="45"/>
      <c r="B10" s="53"/>
      <c r="C10" s="45"/>
      <c r="D10" s="44"/>
      <c r="E10" s="45"/>
      <c r="G10" s="13"/>
      <c r="H10" s="47"/>
      <c r="I10" s="46"/>
      <c r="J10" s="46"/>
      <c r="K10" s="46"/>
      <c r="L10" s="46"/>
      <c r="M10" s="46"/>
      <c r="N10" s="46"/>
    </row>
    <row r="11" spans="1:14" x14ac:dyDescent="0.35">
      <c r="A11" s="22" t="s">
        <v>27</v>
      </c>
      <c r="B11" s="73">
        <f t="shared" ref="B11:K11" si="0">B12*ABS($F$7)</f>
        <v>250.1507094818879</v>
      </c>
      <c r="C11" s="73">
        <f t="shared" si="0"/>
        <v>243.37988509358229</v>
      </c>
      <c r="D11" s="73">
        <f t="shared" si="0"/>
        <v>236.63648754375396</v>
      </c>
      <c r="E11" s="73">
        <f t="shared" si="0"/>
        <v>229.86870299675709</v>
      </c>
      <c r="F11" s="73">
        <f t="shared" si="0"/>
        <v>223.12216396525886</v>
      </c>
      <c r="G11" s="73">
        <f t="shared" si="0"/>
        <v>216.36237425734006</v>
      </c>
      <c r="H11" s="73">
        <f t="shared" si="0"/>
        <v>209.57327139840521</v>
      </c>
      <c r="I11" s="73">
        <f t="shared" si="0"/>
        <v>202.74308683194334</v>
      </c>
      <c r="J11" s="73">
        <f t="shared" si="0"/>
        <v>195.9469394804961</v>
      </c>
      <c r="K11" s="73">
        <f t="shared" si="0"/>
        <v>189.15884226219671</v>
      </c>
      <c r="L11" s="78"/>
      <c r="M11" s="46"/>
      <c r="N11" s="46"/>
    </row>
    <row r="12" spans="1:14" x14ac:dyDescent="0.35">
      <c r="A12" s="22" t="s">
        <v>28</v>
      </c>
      <c r="B12" s="56">
        <f>SUM(B14:K14)</f>
        <v>248.89451331346834</v>
      </c>
      <c r="C12" s="56">
        <f>SUM(C14:$K14)</f>
        <v>242.15769036242128</v>
      </c>
      <c r="D12" s="56">
        <f>SUM(D14:$K14)</f>
        <v>235.4481565189233</v>
      </c>
      <c r="E12" s="56">
        <f>SUM(E14:$K14)</f>
        <v>228.71435814383949</v>
      </c>
      <c r="F12" s="56">
        <f>SUM(F14:$K14)</f>
        <v>222.00169859443034</v>
      </c>
      <c r="G12" s="56">
        <f>SUM(G14:$K14)</f>
        <v>215.27585491028256</v>
      </c>
      <c r="H12" s="56">
        <f>SUM(H14:$K14)</f>
        <v>208.52084527865082</v>
      </c>
      <c r="I12" s="56">
        <f>SUM(I14:$K14)</f>
        <v>201.72496024185952</v>
      </c>
      <c r="J12" s="56">
        <f>SUM(J14:$K14)</f>
        <v>194.96294149344757</v>
      </c>
      <c r="K12" s="56">
        <f>SUM(K14:$K14)</f>
        <v>188.208932452368</v>
      </c>
      <c r="L12" s="46"/>
      <c r="M12" s="46"/>
      <c r="N12" s="46"/>
    </row>
    <row r="13" spans="1:14" x14ac:dyDescent="0.35">
      <c r="A13" s="23" t="s">
        <v>29</v>
      </c>
      <c r="B13" s="57">
        <v>1</v>
      </c>
      <c r="C13" s="58">
        <v>2</v>
      </c>
      <c r="D13" s="57">
        <v>3</v>
      </c>
      <c r="E13" s="58">
        <v>4</v>
      </c>
      <c r="F13" s="58">
        <v>5</v>
      </c>
      <c r="G13" s="57">
        <v>6</v>
      </c>
      <c r="H13" s="58">
        <v>7</v>
      </c>
      <c r="I13" s="58">
        <v>8</v>
      </c>
      <c r="J13" s="58">
        <v>9</v>
      </c>
      <c r="K13" s="58">
        <v>10</v>
      </c>
      <c r="L13" s="46"/>
      <c r="M13" s="46"/>
      <c r="N13" s="46"/>
    </row>
    <row r="14" spans="1:14" x14ac:dyDescent="0.35">
      <c r="A14" s="64" t="s">
        <v>30</v>
      </c>
      <c r="B14" s="56">
        <f t="shared" ref="B14:J14" si="1">$B$7/(1+B$23+$D$8/10000)^$F$13</f>
        <v>6.7368229510470599</v>
      </c>
      <c r="C14" s="56">
        <f t="shared" si="1"/>
        <v>6.709533843497983</v>
      </c>
      <c r="D14" s="56">
        <f t="shared" si="1"/>
        <v>6.7337983750838308</v>
      </c>
      <c r="E14" s="56">
        <f t="shared" si="1"/>
        <v>6.7126595494091319</v>
      </c>
      <c r="F14" s="56">
        <f t="shared" si="1"/>
        <v>6.7258436841477751</v>
      </c>
      <c r="G14" s="56">
        <f t="shared" si="1"/>
        <v>6.755009631631733</v>
      </c>
      <c r="H14" s="56">
        <f t="shared" si="1"/>
        <v>6.7958850367913044</v>
      </c>
      <c r="I14" s="56">
        <f t="shared" si="1"/>
        <v>6.7620187484119647</v>
      </c>
      <c r="J14" s="56">
        <f t="shared" si="1"/>
        <v>6.7540090410795637</v>
      </c>
      <c r="K14" s="56">
        <f>(100+$K$23)/(1+$K$23+$D$8/10000)^$G$13</f>
        <v>188.208932452368</v>
      </c>
      <c r="L14" s="84"/>
      <c r="M14" s="46"/>
      <c r="N14" s="46"/>
    </row>
    <row r="15" spans="1:14" x14ac:dyDescent="0.35">
      <c r="A15" s="24" t="s">
        <v>31</v>
      </c>
      <c r="B15" s="59">
        <f>B23</f>
        <v>5.8122075999999995E-2</v>
      </c>
      <c r="C15" s="59">
        <f t="shared" ref="C15:K15" si="2">B23/C23-1</f>
        <v>-1.243277578443891E-2</v>
      </c>
      <c r="D15" s="59">
        <f t="shared" si="2"/>
        <v>1.1181416765458696E-2</v>
      </c>
      <c r="E15" s="59">
        <f t="shared" si="2"/>
        <v>-9.6444092033661777E-3</v>
      </c>
      <c r="F15" s="59">
        <f t="shared" si="2"/>
        <v>6.0558709559908053E-3</v>
      </c>
      <c r="G15" s="59">
        <f t="shared" si="2"/>
        <v>1.3526868437306883E-2</v>
      </c>
      <c r="H15" s="59">
        <f t="shared" si="2"/>
        <v>1.9201873354878218E-2</v>
      </c>
      <c r="I15" s="59">
        <f t="shared" si="2"/>
        <v>-1.5650507122411894E-2</v>
      </c>
      <c r="J15" s="59">
        <f t="shared" si="2"/>
        <v>-3.7015018968810098E-3</v>
      </c>
      <c r="K15" s="59">
        <f t="shared" si="2"/>
        <v>8.3983236929121574E-3</v>
      </c>
      <c r="L15" s="46"/>
      <c r="M15" s="46"/>
      <c r="N15" s="46"/>
    </row>
    <row r="16" spans="1:14" x14ac:dyDescent="0.35">
      <c r="A16" s="24" t="s">
        <v>32</v>
      </c>
      <c r="B16" s="56">
        <f t="shared" ref="B16:K16" si="3">1/(1+B15+$D$8/10000)</f>
        <v>1.1098876745282273</v>
      </c>
      <c r="C16" s="56">
        <f t="shared" si="3"/>
        <v>1.2041849411851806</v>
      </c>
      <c r="D16" s="56">
        <f t="shared" si="3"/>
        <v>1.1708896916151619</v>
      </c>
      <c r="E16" s="56">
        <f t="shared" si="3"/>
        <v>1.20015516931485</v>
      </c>
      <c r="F16" s="56">
        <f t="shared" si="3"/>
        <v>1.1779591531047133</v>
      </c>
      <c r="G16" s="56">
        <f t="shared" si="3"/>
        <v>1.1676829246523637</v>
      </c>
      <c r="H16" s="56">
        <f t="shared" si="3"/>
        <v>1.159996087226874</v>
      </c>
      <c r="I16" s="56">
        <f t="shared" si="3"/>
        <v>1.2088689986274053</v>
      </c>
      <c r="J16" s="56">
        <f t="shared" si="3"/>
        <v>1.1916557905360237</v>
      </c>
      <c r="K16" s="56">
        <f t="shared" si="3"/>
        <v>1.1747177384233805</v>
      </c>
      <c r="L16" s="46"/>
      <c r="M16" s="46"/>
      <c r="N16" s="46"/>
    </row>
    <row r="17" spans="1:21" x14ac:dyDescent="0.35">
      <c r="A17" s="24" t="s">
        <v>8</v>
      </c>
      <c r="B17" s="56">
        <f t="shared" ref="B17:J17" si="4">MIN($B$8,B$16*C17)+$B$7</f>
        <v>103.581205</v>
      </c>
      <c r="C17" s="56">
        <f t="shared" si="4"/>
        <v>103.581205</v>
      </c>
      <c r="D17" s="56">
        <f t="shared" si="4"/>
        <v>103.581205</v>
      </c>
      <c r="E17" s="56">
        <f t="shared" si="4"/>
        <v>103.581205</v>
      </c>
      <c r="F17" s="56">
        <f t="shared" si="4"/>
        <v>103.581205</v>
      </c>
      <c r="G17" s="56">
        <f t="shared" si="4"/>
        <v>103.581205</v>
      </c>
      <c r="H17" s="56">
        <f t="shared" si="4"/>
        <v>103.581205</v>
      </c>
      <c r="I17" s="56">
        <f t="shared" si="4"/>
        <v>103.581205</v>
      </c>
      <c r="J17" s="56">
        <f t="shared" si="4"/>
        <v>103.581205</v>
      </c>
      <c r="K17" s="18">
        <f>MIN($B$8,(100+$B$7)*K16)+$B$7</f>
        <v>103.581205</v>
      </c>
      <c r="L17" s="46"/>
    </row>
    <row r="18" spans="1:21" x14ac:dyDescent="0.35">
      <c r="A18" s="47"/>
      <c r="B18" s="76"/>
      <c r="C18" s="76"/>
      <c r="D18" s="76"/>
      <c r="E18" s="76"/>
      <c r="F18" s="76"/>
      <c r="G18" s="76"/>
      <c r="H18" s="10"/>
      <c r="I18" s="10"/>
      <c r="J18" s="10"/>
      <c r="K18" s="10"/>
    </row>
    <row r="19" spans="1:21" x14ac:dyDescent="0.35">
      <c r="A19" s="47"/>
      <c r="B19" s="76"/>
      <c r="C19" s="76"/>
      <c r="D19" s="76"/>
      <c r="E19" s="76"/>
      <c r="F19" s="76"/>
      <c r="G19" s="76"/>
      <c r="H19" s="10"/>
      <c r="I19" s="10"/>
      <c r="J19" s="10"/>
      <c r="K19" s="10"/>
    </row>
    <row r="20" spans="1:21" x14ac:dyDescent="0.35">
      <c r="A20" s="26" t="s">
        <v>33</v>
      </c>
      <c r="B20" s="27">
        <v>1</v>
      </c>
      <c r="C20" s="27">
        <v>2</v>
      </c>
      <c r="D20" s="27">
        <v>3</v>
      </c>
      <c r="E20" s="27">
        <v>4</v>
      </c>
      <c r="F20" s="27">
        <v>5</v>
      </c>
      <c r="G20" s="27">
        <v>6</v>
      </c>
      <c r="H20" s="28">
        <v>7</v>
      </c>
      <c r="I20" s="28">
        <v>8</v>
      </c>
      <c r="J20" s="28">
        <v>9</v>
      </c>
      <c r="K20" s="28">
        <v>10</v>
      </c>
      <c r="L20" s="79"/>
    </row>
    <row r="21" spans="1:21" x14ac:dyDescent="0.35">
      <c r="A21" s="29" t="s">
        <v>34</v>
      </c>
      <c r="B21" s="5">
        <v>5.1299999999999998E-2</v>
      </c>
      <c r="C21" s="5">
        <v>5.2600000000000001E-2</v>
      </c>
      <c r="D21" s="5">
        <v>5.2200000000000003E-2</v>
      </c>
      <c r="E21" s="5">
        <v>5.2499999999999998E-2</v>
      </c>
      <c r="F21" s="5">
        <v>5.2999999999999999E-2</v>
      </c>
      <c r="G21" s="5">
        <v>5.1499999999999997E-2</v>
      </c>
      <c r="H21" s="5">
        <v>5.1499999999999997E-2</v>
      </c>
      <c r="I21" s="5">
        <v>5.1499999999999997E-2</v>
      </c>
      <c r="J21" s="5">
        <v>5.1499999999999997E-2</v>
      </c>
      <c r="K21" s="5">
        <v>5.1499999999999997E-2</v>
      </c>
      <c r="L21" s="80"/>
    </row>
    <row r="22" spans="1:21" x14ac:dyDescent="0.35">
      <c r="A22" s="29" t="s">
        <v>36</v>
      </c>
      <c r="B22" s="5">
        <v>2.5569999999999999E-2</v>
      </c>
      <c r="C22" s="5">
        <v>2.3439999999999999E-2</v>
      </c>
      <c r="D22" s="5">
        <v>2.2499999999999999E-2</v>
      </c>
      <c r="E22" s="5">
        <v>2.35E-2</v>
      </c>
      <c r="F22" s="5">
        <v>2.0299999999999999E-2</v>
      </c>
      <c r="G22" s="5">
        <v>2.3E-2</v>
      </c>
      <c r="H22" s="5">
        <v>1.8929999999999999E-2</v>
      </c>
      <c r="I22" s="5">
        <v>2.23E-2</v>
      </c>
      <c r="J22" s="5">
        <v>2.3099999999999999E-2</v>
      </c>
      <c r="K22" s="5">
        <v>2.1299999999999999E-2</v>
      </c>
      <c r="L22" s="80"/>
    </row>
    <row r="23" spans="1:21" x14ac:dyDescent="0.35">
      <c r="A23" s="29" t="s">
        <v>38</v>
      </c>
      <c r="B23" s="6">
        <f t="shared" ref="B23:K23" si="5">B21+($B$9*(10*B22))/10000</f>
        <v>5.8122075999999995E-2</v>
      </c>
      <c r="C23" s="6">
        <f t="shared" si="5"/>
        <v>5.8853792000000002E-2</v>
      </c>
      <c r="D23" s="6">
        <f t="shared" si="5"/>
        <v>5.8203000000000005E-2</v>
      </c>
      <c r="E23" s="6">
        <f t="shared" si="5"/>
        <v>5.8769799999999997E-2</v>
      </c>
      <c r="F23" s="6">
        <f t="shared" si="5"/>
        <v>5.8416039999999995E-2</v>
      </c>
      <c r="G23" s="6">
        <f t="shared" si="5"/>
        <v>5.7636399999999997E-2</v>
      </c>
      <c r="H23" s="6">
        <f t="shared" si="5"/>
        <v>5.6550523999999998E-2</v>
      </c>
      <c r="I23" s="6">
        <f t="shared" si="5"/>
        <v>5.7449639999999996E-2</v>
      </c>
      <c r="J23" s="6">
        <f t="shared" si="5"/>
        <v>5.7663079999999999E-2</v>
      </c>
      <c r="K23" s="6">
        <f t="shared" si="5"/>
        <v>5.7182839999999999E-2</v>
      </c>
      <c r="L23" s="85"/>
    </row>
    <row r="24" spans="1:21" x14ac:dyDescent="0.35">
      <c r="A24" s="29" t="s">
        <v>8</v>
      </c>
      <c r="B24" s="7">
        <f t="shared" ref="B24:K24" si="6">1/(1+B23)^B20</f>
        <v>0.94507053834495358</v>
      </c>
      <c r="C24" s="7">
        <f t="shared" si="6"/>
        <v>0.89192432314059322</v>
      </c>
      <c r="D24" s="7">
        <f t="shared" si="6"/>
        <v>0.84390397930006911</v>
      </c>
      <c r="E24" s="7">
        <f t="shared" si="6"/>
        <v>0.79578146488588497</v>
      </c>
      <c r="F24" s="7">
        <f t="shared" si="6"/>
        <v>0.75286643560248256</v>
      </c>
      <c r="G24" s="7">
        <f t="shared" si="6"/>
        <v>0.71446616149479714</v>
      </c>
      <c r="H24" s="7">
        <f t="shared" si="6"/>
        <v>0.68040596411929677</v>
      </c>
      <c r="I24" s="7">
        <f t="shared" si="6"/>
        <v>0.6396206118149057</v>
      </c>
      <c r="J24" s="7">
        <f t="shared" si="6"/>
        <v>0.6037732923292547</v>
      </c>
      <c r="K24" s="7">
        <f t="shared" si="6"/>
        <v>0.57345447840936892</v>
      </c>
      <c r="L24" s="86"/>
    </row>
    <row r="25" spans="1:21" x14ac:dyDescent="0.35">
      <c r="A25" s="30"/>
      <c r="B25" s="4"/>
      <c r="C25" s="4"/>
      <c r="D25" s="4"/>
      <c r="E25" s="4"/>
      <c r="F25" s="4"/>
      <c r="G25" s="4"/>
      <c r="H25" s="17"/>
      <c r="K25" s="9">
        <f>(J153+$B$4)*EXP(10*K$22)</f>
        <v>0.49093978958290557</v>
      </c>
      <c r="L25" s="86"/>
      <c r="M25" s="87"/>
      <c r="N25" s="87"/>
      <c r="O25" s="87"/>
      <c r="P25" s="87"/>
      <c r="Q25" s="87"/>
      <c r="R25" s="87"/>
      <c r="S25" s="87"/>
      <c r="T25" s="87"/>
      <c r="U25" s="88">
        <f t="shared" ref="U25:U88" si="7">MIN($B$8,((100+$B$7)/(1+K25+$D$8/10000)))+$B$7</f>
        <v>81.972137265930357</v>
      </c>
    </row>
    <row r="26" spans="1:21" x14ac:dyDescent="0.35">
      <c r="A26" s="30"/>
      <c r="B26" s="4"/>
      <c r="C26" s="4"/>
      <c r="D26" s="4"/>
      <c r="E26" s="4"/>
      <c r="F26" s="4"/>
      <c r="G26" s="38"/>
      <c r="H26" s="17"/>
      <c r="K26" s="8">
        <f>(J153)*EXP(10*$K$22)</f>
        <v>0.48846502028041838</v>
      </c>
      <c r="L26" s="87"/>
      <c r="M26" s="87"/>
      <c r="N26" s="87"/>
      <c r="O26" s="87"/>
      <c r="P26" s="87"/>
      <c r="Q26" s="87"/>
      <c r="R26" s="87"/>
      <c r="S26" s="87"/>
      <c r="T26" s="87"/>
      <c r="U26" s="88">
        <f t="shared" si="7"/>
        <v>82.117076780639735</v>
      </c>
    </row>
    <row r="27" spans="1:21" x14ac:dyDescent="0.35">
      <c r="A27" s="30"/>
      <c r="B27" s="4"/>
      <c r="C27" s="4"/>
      <c r="D27" s="4"/>
      <c r="E27" s="4"/>
      <c r="F27" s="4"/>
      <c r="G27" s="4"/>
      <c r="H27" s="17"/>
      <c r="K27" s="9">
        <f>(J154+$B$4)*EXP(10*$K$22)</f>
        <v>0.48782192861166179</v>
      </c>
      <c r="L27" s="87"/>
      <c r="M27" s="87"/>
      <c r="N27" s="87"/>
      <c r="O27" s="87"/>
      <c r="P27" s="87"/>
      <c r="Q27" s="87"/>
      <c r="R27" s="87"/>
      <c r="S27" s="87"/>
      <c r="T27" s="87"/>
      <c r="U27" s="88">
        <f t="shared" si="7"/>
        <v>82.154828900559522</v>
      </c>
    </row>
    <row r="28" spans="1:21" x14ac:dyDescent="0.35">
      <c r="A28" s="30"/>
      <c r="B28" s="4"/>
      <c r="C28" s="4"/>
      <c r="D28" s="4"/>
      <c r="E28" s="4"/>
      <c r="F28" s="4"/>
      <c r="G28" s="38"/>
      <c r="H28" s="17"/>
      <c r="K28" s="8">
        <f>J154*EXP(10*K$22)</f>
        <v>0.4853471593091746</v>
      </c>
      <c r="L28" s="87"/>
      <c r="M28" s="87"/>
      <c r="N28" s="87"/>
      <c r="O28" s="87"/>
      <c r="P28" s="87"/>
      <c r="Q28" s="87"/>
      <c r="R28" s="87"/>
      <c r="S28" s="87"/>
      <c r="T28" s="87"/>
      <c r="U28" s="88">
        <f t="shared" si="7"/>
        <v>82.300449042603788</v>
      </c>
    </row>
    <row r="29" spans="1:21" x14ac:dyDescent="0.35">
      <c r="A29" s="30"/>
      <c r="B29" s="4"/>
      <c r="C29" s="4"/>
      <c r="D29" s="4"/>
      <c r="E29" s="4"/>
      <c r="F29" s="4"/>
      <c r="G29" s="4"/>
      <c r="H29" s="17"/>
      <c r="K29" s="9">
        <f>(J155+$B$4)*EXP(10*$K$22)</f>
        <v>0.48704302279499662</v>
      </c>
      <c r="L29" s="87"/>
      <c r="M29" s="87"/>
      <c r="N29" s="87"/>
      <c r="O29" s="87"/>
      <c r="P29" s="87"/>
      <c r="Q29" s="87"/>
      <c r="R29" s="87"/>
      <c r="S29" s="87"/>
      <c r="T29" s="87"/>
      <c r="U29" s="88">
        <f t="shared" si="7"/>
        <v>82.200602759291414</v>
      </c>
    </row>
    <row r="30" spans="1:21" x14ac:dyDescent="0.35">
      <c r="A30" s="30"/>
      <c r="B30" s="4"/>
      <c r="C30" s="4"/>
      <c r="D30" s="4"/>
      <c r="E30" s="4"/>
      <c r="F30" s="4"/>
      <c r="G30" s="38"/>
      <c r="H30" s="17"/>
      <c r="K30" s="8">
        <f>J155*EXP(10*K$22)</f>
        <v>0.48456825349250943</v>
      </c>
      <c r="L30" s="87"/>
      <c r="M30" s="87"/>
      <c r="N30" s="87"/>
      <c r="O30" s="87"/>
      <c r="P30" s="87"/>
      <c r="Q30" s="87"/>
      <c r="R30" s="87"/>
      <c r="S30" s="87"/>
      <c r="T30" s="87"/>
      <c r="U30" s="88">
        <f t="shared" si="7"/>
        <v>82.346393684508087</v>
      </c>
    </row>
    <row r="31" spans="1:21" x14ac:dyDescent="0.35">
      <c r="A31" s="30"/>
      <c r="B31" s="4"/>
      <c r="C31" s="4"/>
      <c r="D31" s="4"/>
      <c r="E31" s="4"/>
      <c r="F31" s="4"/>
      <c r="G31" s="38"/>
      <c r="H31" s="17"/>
      <c r="K31" s="9">
        <f>(J156+$B$4)*EXP(10*$K$22)</f>
        <v>0.48392516182375278</v>
      </c>
      <c r="L31" s="87"/>
      <c r="M31" s="87"/>
      <c r="N31" s="87"/>
      <c r="O31" s="87"/>
      <c r="P31" s="87"/>
      <c r="Q31" s="87"/>
      <c r="R31" s="87"/>
      <c r="S31" s="87"/>
      <c r="T31" s="87"/>
      <c r="U31" s="88">
        <f t="shared" si="7"/>
        <v>82.384367830408948</v>
      </c>
    </row>
    <row r="32" spans="1:21" x14ac:dyDescent="0.35">
      <c r="A32" s="30"/>
      <c r="B32" s="4"/>
      <c r="C32" s="4"/>
      <c r="D32" s="4"/>
      <c r="E32" s="4"/>
      <c r="F32" s="4"/>
      <c r="G32" s="4"/>
      <c r="H32" s="17"/>
      <c r="K32" s="8">
        <f>J156*EXP(10*K$22)</f>
        <v>0.48145039252126559</v>
      </c>
      <c r="L32" s="87"/>
      <c r="M32" s="87"/>
      <c r="N32" s="87"/>
      <c r="O32" s="87"/>
      <c r="P32" s="87"/>
      <c r="Q32" s="87"/>
      <c r="R32" s="87"/>
      <c r="S32" s="87"/>
      <c r="T32" s="87"/>
      <c r="U32" s="88">
        <f t="shared" si="7"/>
        <v>82.530845396107566</v>
      </c>
    </row>
    <row r="33" spans="1:21" x14ac:dyDescent="0.35">
      <c r="A33" s="30"/>
      <c r="B33" s="4"/>
      <c r="C33" s="4"/>
      <c r="D33" s="4"/>
      <c r="E33" s="4"/>
      <c r="F33" s="4"/>
      <c r="G33" s="4"/>
      <c r="H33" s="17"/>
      <c r="K33" s="9">
        <f>(J157+$B$4)*EXP(10*$K$22)</f>
        <v>0.57436988220176155</v>
      </c>
      <c r="L33" s="87"/>
      <c r="M33" s="87"/>
      <c r="N33" s="87"/>
      <c r="O33" s="87"/>
      <c r="P33" s="87"/>
      <c r="Q33" s="87"/>
      <c r="R33" s="87"/>
      <c r="S33" s="87"/>
      <c r="T33" s="87"/>
      <c r="U33" s="88">
        <f t="shared" si="7"/>
        <v>77.382072651265062</v>
      </c>
    </row>
    <row r="34" spans="1:21" x14ac:dyDescent="0.35">
      <c r="A34" s="30"/>
      <c r="B34" s="4"/>
      <c r="C34" s="4"/>
      <c r="D34" s="4"/>
      <c r="E34" s="4"/>
      <c r="F34" s="4"/>
      <c r="G34" s="38"/>
      <c r="H34" s="17"/>
      <c r="K34" s="8">
        <f>J157*EXP(10*K$22)</f>
        <v>0.5718951128992743</v>
      </c>
      <c r="L34" s="87"/>
      <c r="M34" s="87"/>
      <c r="N34" s="87"/>
      <c r="O34" s="87"/>
      <c r="P34" s="87"/>
      <c r="Q34" s="87"/>
      <c r="R34" s="87"/>
      <c r="S34" s="87"/>
      <c r="T34" s="87"/>
      <c r="U34" s="88">
        <f t="shared" si="7"/>
        <v>77.510435797270318</v>
      </c>
    </row>
    <row r="35" spans="1:21" x14ac:dyDescent="0.35">
      <c r="A35" s="30"/>
      <c r="B35" s="4"/>
      <c r="C35" s="4"/>
      <c r="D35" s="4"/>
      <c r="E35" s="4"/>
      <c r="F35" s="4"/>
      <c r="G35" s="4"/>
      <c r="H35" s="17"/>
      <c r="K35" s="9">
        <f>(J158+$B$4)*EXP(10*$K$22)</f>
        <v>0.57125202123051766</v>
      </c>
      <c r="L35" s="87"/>
      <c r="M35" s="87"/>
      <c r="N35" s="87"/>
      <c r="O35" s="87"/>
      <c r="P35" s="87"/>
      <c r="Q35" s="87"/>
      <c r="R35" s="87"/>
      <c r="S35" s="87"/>
      <c r="T35" s="87"/>
      <c r="U35" s="88">
        <f t="shared" si="7"/>
        <v>77.543865690955698</v>
      </c>
    </row>
    <row r="36" spans="1:21" x14ac:dyDescent="0.35">
      <c r="A36" s="30"/>
      <c r="B36" s="4"/>
      <c r="C36" s="4"/>
      <c r="D36" s="4"/>
      <c r="E36" s="4"/>
      <c r="F36" s="4"/>
      <c r="G36" s="38"/>
      <c r="H36" s="15"/>
      <c r="I36" s="16"/>
      <c r="J36" s="16"/>
      <c r="K36" s="8">
        <f>J158*EXP(10*K$22)</f>
        <v>0.56877725192803053</v>
      </c>
      <c r="L36" s="87"/>
      <c r="M36" s="87"/>
      <c r="N36" s="87"/>
      <c r="O36" s="87"/>
      <c r="P36" s="87"/>
      <c r="Q36" s="87"/>
      <c r="R36" s="87"/>
      <c r="S36" s="87"/>
      <c r="T36" s="87"/>
      <c r="U36" s="88">
        <f t="shared" si="7"/>
        <v>77.672795989193901</v>
      </c>
    </row>
    <row r="37" spans="1:21" x14ac:dyDescent="0.35">
      <c r="A37" s="30"/>
      <c r="B37" s="4"/>
      <c r="C37" s="4"/>
      <c r="D37" s="4"/>
      <c r="E37" s="4"/>
      <c r="F37" s="4"/>
      <c r="G37" s="4"/>
      <c r="I37" s="16"/>
      <c r="J37" s="16"/>
      <c r="K37" s="9">
        <f>(J159+$B$4)*EXP(10*$K$22)</f>
        <v>0.57047311541385248</v>
      </c>
      <c r="L37" s="87"/>
      <c r="M37" s="87"/>
      <c r="N37" s="87"/>
      <c r="O37" s="87"/>
      <c r="P37" s="87"/>
      <c r="Q37" s="87"/>
      <c r="R37" s="87"/>
      <c r="S37" s="87"/>
      <c r="T37" s="87"/>
      <c r="U37" s="88">
        <f t="shared" si="7"/>
        <v>77.584396361917342</v>
      </c>
    </row>
    <row r="38" spans="1:21" x14ac:dyDescent="0.35">
      <c r="A38" s="30"/>
      <c r="B38" s="4"/>
      <c r="C38" s="4"/>
      <c r="D38" s="4"/>
      <c r="E38" s="4"/>
      <c r="F38" s="38"/>
      <c r="G38" s="38"/>
      <c r="J38" s="16"/>
      <c r="K38" s="8">
        <f>J159*EXP(10*K$22)</f>
        <v>0.56799834611136535</v>
      </c>
      <c r="L38" s="87"/>
      <c r="M38" s="87"/>
      <c r="N38" s="87"/>
      <c r="O38" s="87"/>
      <c r="P38" s="87"/>
      <c r="Q38" s="87"/>
      <c r="R38" s="87"/>
      <c r="S38" s="87"/>
      <c r="T38" s="87"/>
      <c r="U38" s="88">
        <f t="shared" si="7"/>
        <v>77.713468933259961</v>
      </c>
    </row>
    <row r="39" spans="1:21" x14ac:dyDescent="0.35">
      <c r="A39" s="30"/>
      <c r="B39" s="4"/>
      <c r="C39" s="4"/>
      <c r="D39" s="4"/>
      <c r="E39" s="4"/>
      <c r="F39" s="4"/>
      <c r="G39" s="4"/>
      <c r="K39" s="9">
        <f>(J160+$B$4)*EXP(10*$K$22)</f>
        <v>0.5673552544426087</v>
      </c>
      <c r="L39" s="87"/>
      <c r="M39" s="87"/>
      <c r="N39" s="87"/>
      <c r="O39" s="87"/>
      <c r="P39" s="87"/>
      <c r="Q39" s="87"/>
      <c r="R39" s="87"/>
      <c r="S39" s="87"/>
      <c r="T39" s="87"/>
      <c r="U39" s="88">
        <f t="shared" si="7"/>
        <v>77.747083788473191</v>
      </c>
    </row>
    <row r="40" spans="1:21" x14ac:dyDescent="0.35">
      <c r="A40" s="30"/>
      <c r="B40" s="4"/>
      <c r="C40" s="4"/>
      <c r="D40" s="4"/>
      <c r="E40" s="4"/>
      <c r="F40" s="38"/>
      <c r="G40" s="38"/>
      <c r="K40" s="8">
        <f>J160*EXP(10*K$22)</f>
        <v>0.56488048514012157</v>
      </c>
      <c r="L40" s="87"/>
      <c r="M40" s="87"/>
      <c r="N40" s="87"/>
      <c r="O40" s="87"/>
      <c r="P40" s="87"/>
      <c r="Q40" s="87"/>
      <c r="R40" s="87"/>
      <c r="S40" s="87"/>
      <c r="T40" s="87"/>
      <c r="U40" s="88">
        <f t="shared" si="7"/>
        <v>77.876728225491092</v>
      </c>
    </row>
    <row r="41" spans="1:21" x14ac:dyDescent="0.35">
      <c r="A41" s="30"/>
      <c r="B41" s="4"/>
      <c r="C41" s="4"/>
      <c r="D41" s="4"/>
      <c r="E41" s="4"/>
      <c r="F41" s="4"/>
      <c r="G41" s="4"/>
      <c r="K41" s="9">
        <f>(J161+$B$4)*EXP(10*$K$22)</f>
        <v>0.57558759507630597</v>
      </c>
      <c r="L41" s="87"/>
      <c r="M41" s="87"/>
      <c r="N41" s="87"/>
      <c r="O41" s="87"/>
      <c r="P41" s="87"/>
      <c r="Q41" s="87"/>
      <c r="R41" s="87"/>
      <c r="S41" s="87"/>
      <c r="T41" s="87"/>
      <c r="U41" s="88">
        <f t="shared" si="7"/>
        <v>77.319075847597205</v>
      </c>
    </row>
    <row r="42" spans="1:21" x14ac:dyDescent="0.35">
      <c r="A42" s="30"/>
      <c r="B42" s="4"/>
      <c r="C42" s="4"/>
      <c r="D42" s="4"/>
      <c r="E42" s="38"/>
      <c r="F42" s="38"/>
      <c r="G42" s="38"/>
      <c r="K42" s="8">
        <f>J161*EXP(10*K$22)</f>
        <v>0.57311282577381872</v>
      </c>
      <c r="L42" s="87"/>
      <c r="M42" s="87"/>
      <c r="N42" s="87"/>
      <c r="O42" s="87"/>
      <c r="P42" s="87"/>
      <c r="Q42" s="87"/>
      <c r="R42" s="87"/>
      <c r="S42" s="87"/>
      <c r="T42" s="87"/>
      <c r="U42" s="88">
        <f t="shared" si="7"/>
        <v>77.447218502219599</v>
      </c>
    </row>
    <row r="43" spans="1:21" x14ac:dyDescent="0.35">
      <c r="A43" s="30"/>
      <c r="B43" s="4"/>
      <c r="C43" s="4"/>
      <c r="D43" s="38"/>
      <c r="E43" s="38"/>
      <c r="F43" s="38"/>
      <c r="G43" s="38"/>
      <c r="H43" s="17"/>
      <c r="J43" s="38"/>
      <c r="K43" s="9">
        <f>(J162+$B$4)*EXP(10*$K$22)</f>
        <v>0.57246973410506219</v>
      </c>
      <c r="L43" s="87"/>
      <c r="M43" s="87"/>
      <c r="N43" s="87"/>
      <c r="O43" s="87"/>
      <c r="P43" s="87"/>
      <c r="Q43" s="87"/>
      <c r="R43" s="87"/>
      <c r="S43" s="87"/>
      <c r="T43" s="87"/>
      <c r="U43" s="88">
        <f t="shared" si="7"/>
        <v>77.480590909687535</v>
      </c>
    </row>
    <row r="44" spans="1:21" x14ac:dyDescent="0.35">
      <c r="A44" s="30"/>
      <c r="B44" s="4"/>
      <c r="C44" s="4"/>
      <c r="D44" s="4"/>
      <c r="E44" s="4"/>
      <c r="F44" s="4"/>
      <c r="G44" s="4"/>
      <c r="H44" s="19"/>
      <c r="I44" s="16"/>
      <c r="J44" s="4"/>
      <c r="K44" s="8">
        <f>J162*EXP(10*K$22)</f>
        <v>0.56999496480257494</v>
      </c>
      <c r="L44" s="87"/>
      <c r="M44" s="87"/>
      <c r="N44" s="87"/>
      <c r="O44" s="87"/>
      <c r="P44" s="87"/>
      <c r="Q44" s="87"/>
      <c r="R44" s="87"/>
      <c r="S44" s="87"/>
      <c r="T44" s="87"/>
      <c r="U44" s="88">
        <f t="shared" si="7"/>
        <v>77.609299254251312</v>
      </c>
    </row>
    <row r="45" spans="1:21" x14ac:dyDescent="0.35">
      <c r="A45" s="30"/>
      <c r="B45" s="4"/>
      <c r="C45" s="4"/>
      <c r="D45" s="4"/>
      <c r="E45" s="4"/>
      <c r="F45" s="4"/>
      <c r="G45" s="4"/>
      <c r="H45" s="17"/>
      <c r="K45" s="9">
        <f>(J163+$B$4)*EXP(10*$K$22)</f>
        <v>0.57169082828839701</v>
      </c>
      <c r="L45" s="87"/>
      <c r="M45" s="87"/>
      <c r="N45" s="87"/>
      <c r="O45" s="87"/>
      <c r="P45" s="87"/>
      <c r="Q45" s="87"/>
      <c r="R45" s="87"/>
      <c r="S45" s="87"/>
      <c r="T45" s="87"/>
      <c r="U45" s="88">
        <f t="shared" si="7"/>
        <v>77.521051848889982</v>
      </c>
    </row>
    <row r="46" spans="1:21" x14ac:dyDescent="0.35">
      <c r="A46" s="30"/>
      <c r="B46" s="4"/>
      <c r="C46" s="4"/>
      <c r="D46" s="4"/>
      <c r="E46" s="4"/>
      <c r="F46" s="4"/>
      <c r="G46" s="38"/>
      <c r="H46" s="17"/>
      <c r="K46" s="8">
        <f>J163*EXP(10*K$22)</f>
        <v>0.56921605898590977</v>
      </c>
      <c r="L46" s="87"/>
      <c r="M46" s="87"/>
      <c r="N46" s="87"/>
      <c r="O46" s="87"/>
      <c r="P46" s="87"/>
      <c r="Q46" s="87"/>
      <c r="R46" s="87"/>
      <c r="S46" s="87"/>
      <c r="T46" s="87"/>
      <c r="U46" s="88">
        <f t="shared" si="7"/>
        <v>77.649902099230161</v>
      </c>
    </row>
    <row r="47" spans="1:21" x14ac:dyDescent="0.35">
      <c r="A47" s="30"/>
      <c r="B47" s="4"/>
      <c r="C47" s="4"/>
      <c r="D47" s="4"/>
      <c r="E47" s="4"/>
      <c r="F47" s="4"/>
      <c r="G47" s="4"/>
      <c r="H47" s="17"/>
      <c r="K47" s="9">
        <f>(J164+$B$4)*EXP(10*$K$22)</f>
        <v>0.56857296731715312</v>
      </c>
      <c r="L47" s="87"/>
      <c r="M47" s="87"/>
      <c r="N47" s="87"/>
      <c r="O47" s="87"/>
      <c r="P47" s="87"/>
      <c r="Q47" s="87"/>
      <c r="R47" s="87"/>
      <c r="S47" s="87"/>
      <c r="T47" s="87"/>
      <c r="U47" s="88">
        <f t="shared" si="7"/>
        <v>77.683458990682027</v>
      </c>
    </row>
    <row r="48" spans="1:21" x14ac:dyDescent="0.35">
      <c r="A48" s="30"/>
      <c r="B48" s="4"/>
      <c r="C48" s="4"/>
      <c r="D48" s="4"/>
      <c r="E48" s="4"/>
      <c r="F48" s="4"/>
      <c r="G48" s="38"/>
      <c r="H48" s="17"/>
      <c r="K48" s="8">
        <f>J164*EXP(10*K$22)</f>
        <v>0.56609819801466599</v>
      </c>
      <c r="L48" s="87"/>
      <c r="M48" s="87"/>
      <c r="N48" s="87"/>
      <c r="O48" s="87"/>
      <c r="P48" s="87"/>
      <c r="Q48" s="87"/>
      <c r="R48" s="87"/>
      <c r="S48" s="87"/>
      <c r="T48" s="87"/>
      <c r="U48" s="88">
        <f t="shared" si="7"/>
        <v>77.812879628186934</v>
      </c>
    </row>
    <row r="49" spans="1:21" x14ac:dyDescent="0.35">
      <c r="A49" s="30"/>
      <c r="B49" s="4"/>
      <c r="C49" s="4"/>
      <c r="D49" s="4"/>
      <c r="E49" s="4"/>
      <c r="F49" s="4"/>
      <c r="G49" s="4"/>
      <c r="H49" s="17"/>
      <c r="K49" s="9">
        <f>(J165+$B$4)*EXP(10*$K$22)</f>
        <v>0.58029646138639057</v>
      </c>
      <c r="L49" s="87"/>
      <c r="M49" s="87"/>
      <c r="N49" s="87"/>
      <c r="O49" s="87"/>
      <c r="P49" s="87"/>
      <c r="Q49" s="87"/>
      <c r="R49" s="87"/>
      <c r="S49" s="87"/>
      <c r="T49" s="87"/>
      <c r="U49" s="88">
        <f t="shared" si="7"/>
        <v>77.076483195569025</v>
      </c>
    </row>
    <row r="50" spans="1:21" x14ac:dyDescent="0.35">
      <c r="A50" s="30">
        <v>6</v>
      </c>
      <c r="B50" s="4"/>
      <c r="C50" s="4"/>
      <c r="D50" s="4"/>
      <c r="E50" s="4"/>
      <c r="F50" s="4"/>
      <c r="G50" s="38"/>
      <c r="H50" s="17"/>
      <c r="K50" s="8">
        <f>J165*EXP(10*K$22)</f>
        <v>0.57782169208390333</v>
      </c>
      <c r="L50" s="87"/>
      <c r="M50" s="87"/>
      <c r="N50" s="87"/>
      <c r="O50" s="87"/>
      <c r="P50" s="87"/>
      <c r="Q50" s="87"/>
      <c r="R50" s="87"/>
      <c r="S50" s="87"/>
      <c r="T50" s="87"/>
      <c r="U50" s="88">
        <f t="shared" si="7"/>
        <v>77.203778539346857</v>
      </c>
    </row>
    <row r="51" spans="1:21" x14ac:dyDescent="0.35">
      <c r="A51" s="30"/>
      <c r="B51" s="4"/>
      <c r="C51" s="4"/>
      <c r="D51" s="4"/>
      <c r="E51" s="4"/>
      <c r="F51" s="4"/>
      <c r="G51" s="4"/>
      <c r="H51" s="17"/>
      <c r="K51" s="9">
        <f>(J166+$B$4)*EXP(10*$K$22)</f>
        <v>0.57717860041514668</v>
      </c>
      <c r="L51" s="87"/>
      <c r="M51" s="87"/>
      <c r="N51" s="87"/>
      <c r="O51" s="87"/>
      <c r="P51" s="87"/>
      <c r="Q51" s="87"/>
      <c r="R51" s="87"/>
      <c r="S51" s="87"/>
      <c r="T51" s="87"/>
      <c r="U51" s="88">
        <f t="shared" si="7"/>
        <v>77.236930038588767</v>
      </c>
    </row>
    <row r="52" spans="1:21" x14ac:dyDescent="0.35">
      <c r="A52" s="30"/>
      <c r="B52" s="4"/>
      <c r="C52" s="4"/>
      <c r="D52" s="4"/>
      <c r="E52" s="4"/>
      <c r="F52" s="4"/>
      <c r="G52" s="38"/>
      <c r="H52" s="15"/>
      <c r="I52" s="16"/>
      <c r="J52" s="16"/>
      <c r="K52" s="8">
        <f>J166*EXP(10*K$22)</f>
        <v>0.57470383111265944</v>
      </c>
      <c r="L52" s="87"/>
      <c r="M52" s="87"/>
      <c r="N52" s="87"/>
      <c r="O52" s="87"/>
      <c r="P52" s="87"/>
      <c r="Q52" s="87"/>
      <c r="R52" s="87"/>
      <c r="S52" s="87"/>
      <c r="T52" s="87"/>
      <c r="U52" s="88">
        <f t="shared" si="7"/>
        <v>77.36478546473306</v>
      </c>
    </row>
    <row r="53" spans="1:21" x14ac:dyDescent="0.35">
      <c r="A53" s="30"/>
      <c r="B53" s="4"/>
      <c r="C53" s="4"/>
      <c r="D53" s="4"/>
      <c r="E53" s="4"/>
      <c r="F53" s="4"/>
      <c r="G53" s="4"/>
      <c r="I53" s="16"/>
      <c r="J53" s="16"/>
      <c r="K53" s="9">
        <f>(J167+$B$4)*EXP(10*$K$22)</f>
        <v>0.5763996945984815</v>
      </c>
      <c r="L53" s="87"/>
      <c r="M53" s="87"/>
      <c r="N53" s="87"/>
      <c r="O53" s="87"/>
      <c r="P53" s="87"/>
      <c r="Q53" s="87"/>
      <c r="R53" s="87"/>
      <c r="S53" s="87"/>
      <c r="T53" s="87"/>
      <c r="U53" s="88">
        <f t="shared" si="7"/>
        <v>77.277123013200196</v>
      </c>
    </row>
    <row r="54" spans="1:21" x14ac:dyDescent="0.35">
      <c r="A54" s="30"/>
      <c r="B54" s="4"/>
      <c r="C54" s="4"/>
      <c r="D54" s="4"/>
      <c r="E54" s="4"/>
      <c r="F54" s="38"/>
      <c r="G54" s="38"/>
      <c r="J54" s="16"/>
      <c r="K54" s="8">
        <f>J167*EXP(10*K$22)</f>
        <v>0.57392492529599426</v>
      </c>
      <c r="L54" s="87"/>
      <c r="M54" s="87"/>
      <c r="N54" s="87"/>
      <c r="O54" s="87"/>
      <c r="P54" s="87"/>
      <c r="Q54" s="87"/>
      <c r="R54" s="87"/>
      <c r="S54" s="87"/>
      <c r="T54" s="87"/>
      <c r="U54" s="88">
        <f t="shared" si="7"/>
        <v>77.405118936512636</v>
      </c>
    </row>
    <row r="55" spans="1:21" x14ac:dyDescent="0.35">
      <c r="A55" s="30"/>
      <c r="B55" s="4"/>
      <c r="C55" s="4"/>
      <c r="D55" s="4"/>
      <c r="E55" s="4"/>
      <c r="F55" s="4"/>
      <c r="G55" s="4"/>
      <c r="K55" s="9">
        <f>(J168+$B$4)*EXP(10*$K$22)</f>
        <v>0.57328183362723772</v>
      </c>
      <c r="L55" s="87"/>
      <c r="M55" s="87"/>
      <c r="N55" s="87"/>
      <c r="O55" s="87"/>
      <c r="P55" s="87"/>
      <c r="Q55" s="87"/>
      <c r="R55" s="87"/>
      <c r="S55" s="87"/>
      <c r="T55" s="87"/>
      <c r="U55" s="88">
        <f t="shared" si="7"/>
        <v>77.438453088480827</v>
      </c>
    </row>
    <row r="56" spans="1:21" x14ac:dyDescent="0.35">
      <c r="A56" s="30"/>
      <c r="B56" s="4"/>
      <c r="C56" s="4"/>
      <c r="D56" s="4"/>
      <c r="E56" s="4"/>
      <c r="F56" s="38"/>
      <c r="G56" s="38"/>
      <c r="K56" s="8">
        <f>J168*EXP(10*K$22)</f>
        <v>0.57080706432475048</v>
      </c>
      <c r="L56" s="87"/>
      <c r="M56" s="87"/>
      <c r="N56" s="87"/>
      <c r="O56" s="87"/>
      <c r="P56" s="87"/>
      <c r="Q56" s="87"/>
      <c r="R56" s="87"/>
      <c r="S56" s="87"/>
      <c r="T56" s="87"/>
      <c r="U56" s="88">
        <f t="shared" si="7"/>
        <v>77.567013729317381</v>
      </c>
    </row>
    <row r="57" spans="1:21" x14ac:dyDescent="0.35">
      <c r="A57" s="30"/>
      <c r="B57" s="4"/>
      <c r="C57" s="4"/>
      <c r="D57" s="4"/>
      <c r="E57" s="4"/>
      <c r="F57" s="4"/>
      <c r="G57" s="4"/>
      <c r="K57" s="9">
        <f>(J169+$B$4)*EXP(10*$K$22)</f>
        <v>0.57692150488165461</v>
      </c>
      <c r="L57" s="87"/>
      <c r="M57" s="87"/>
      <c r="N57" s="87"/>
      <c r="O57" s="87"/>
      <c r="P57" s="87"/>
      <c r="Q57" s="87"/>
      <c r="R57" s="87"/>
      <c r="S57" s="87"/>
      <c r="T57" s="87"/>
      <c r="U57" s="88">
        <f t="shared" si="7"/>
        <v>77.250191765775369</v>
      </c>
    </row>
    <row r="58" spans="1:21" x14ac:dyDescent="0.35">
      <c r="A58" s="30"/>
      <c r="B58" s="4"/>
      <c r="C58" s="4"/>
      <c r="D58" s="4"/>
      <c r="E58" s="38"/>
      <c r="F58" s="38"/>
      <c r="G58" s="38"/>
      <c r="K58" s="8">
        <f>J169*EXP(10*K$22)</f>
        <v>0.57444673557916748</v>
      </c>
      <c r="L58" s="87"/>
      <c r="M58" s="87"/>
      <c r="N58" s="87"/>
      <c r="O58" s="87"/>
      <c r="P58" s="87"/>
      <c r="Q58" s="87"/>
      <c r="R58" s="87"/>
      <c r="S58" s="87"/>
      <c r="T58" s="87"/>
      <c r="U58" s="88">
        <f t="shared" si="7"/>
        <v>77.378093540609896</v>
      </c>
    </row>
    <row r="59" spans="1:21" x14ac:dyDescent="0.35">
      <c r="A59" s="30"/>
      <c r="B59" s="4"/>
      <c r="C59" s="4"/>
      <c r="D59" s="38"/>
      <c r="E59" s="38"/>
      <c r="F59" s="38"/>
      <c r="G59" s="38"/>
      <c r="H59" s="17"/>
      <c r="J59" s="38"/>
      <c r="K59" s="9">
        <f>(J170+$B$4)*EXP(10*$K$22)</f>
        <v>0.57380364391041083</v>
      </c>
      <c r="L59" s="87"/>
      <c r="M59" s="87"/>
      <c r="N59" s="87"/>
      <c r="O59" s="87"/>
      <c r="P59" s="87"/>
      <c r="Q59" s="87"/>
      <c r="R59" s="87"/>
      <c r="S59" s="87"/>
      <c r="T59" s="87"/>
      <c r="U59" s="88">
        <f t="shared" si="7"/>
        <v>77.411403146409398</v>
      </c>
    </row>
    <row r="60" spans="1:21" x14ac:dyDescent="0.35">
      <c r="A60" s="30"/>
      <c r="B60" s="4"/>
      <c r="C60" s="4"/>
      <c r="D60" s="4"/>
      <c r="E60" s="4"/>
      <c r="F60" s="4"/>
      <c r="G60" s="4"/>
      <c r="H60" s="19"/>
      <c r="I60" s="16"/>
      <c r="J60" s="4"/>
      <c r="K60" s="8">
        <f>J170*EXP(10*K$22)</f>
        <v>0.57132887460792359</v>
      </c>
      <c r="L60" s="87"/>
      <c r="M60" s="87"/>
      <c r="N60" s="87"/>
      <c r="O60" s="87"/>
      <c r="P60" s="87"/>
      <c r="Q60" s="87"/>
      <c r="R60" s="87"/>
      <c r="S60" s="87"/>
      <c r="T60" s="87"/>
      <c r="U60" s="88">
        <f t="shared" si="7"/>
        <v>77.53986901512225</v>
      </c>
    </row>
    <row r="61" spans="1:21" x14ac:dyDescent="0.35">
      <c r="A61" s="30"/>
      <c r="B61" s="4"/>
      <c r="C61" s="4"/>
      <c r="D61" s="4"/>
      <c r="E61" s="4"/>
      <c r="F61" s="4"/>
      <c r="G61" s="4"/>
      <c r="H61" s="17"/>
      <c r="K61" s="9">
        <f>(J171+$B$4)*EXP(10*$K$22)</f>
        <v>0.57302473809374577</v>
      </c>
      <c r="L61" s="87"/>
      <c r="M61" s="87"/>
      <c r="N61" s="87"/>
      <c r="O61" s="87"/>
      <c r="P61" s="87"/>
      <c r="Q61" s="87"/>
      <c r="R61" s="87"/>
      <c r="S61" s="87"/>
      <c r="T61" s="87"/>
      <c r="U61" s="88">
        <f t="shared" si="7"/>
        <v>77.451787906223714</v>
      </c>
    </row>
    <row r="62" spans="1:21" x14ac:dyDescent="0.35">
      <c r="A62" s="30"/>
      <c r="B62" s="4"/>
      <c r="C62" s="4"/>
      <c r="D62" s="4"/>
      <c r="E62" s="4"/>
      <c r="F62" s="4"/>
      <c r="G62" s="38"/>
      <c r="H62" s="17"/>
      <c r="K62" s="8">
        <f>J171*EXP(10*K$22)</f>
        <v>0.57054996879125852</v>
      </c>
      <c r="L62" s="87"/>
      <c r="M62" s="87"/>
      <c r="N62" s="87"/>
      <c r="O62" s="87"/>
      <c r="P62" s="87"/>
      <c r="Q62" s="87"/>
      <c r="R62" s="87"/>
      <c r="S62" s="87"/>
      <c r="T62" s="87"/>
      <c r="U62" s="88">
        <f t="shared" si="7"/>
        <v>77.58039527978346</v>
      </c>
    </row>
    <row r="63" spans="1:21" x14ac:dyDescent="0.35">
      <c r="A63" s="30"/>
      <c r="B63" s="4"/>
      <c r="C63" s="4"/>
      <c r="D63" s="4"/>
      <c r="E63" s="4"/>
      <c r="F63" s="4"/>
      <c r="G63" s="4"/>
      <c r="H63" s="17"/>
      <c r="K63" s="9">
        <f>(J172+$B$4)*EXP(10*$K$22)</f>
        <v>0.56990687712250188</v>
      </c>
      <c r="L63" s="87"/>
      <c r="M63" s="87"/>
      <c r="N63" s="87"/>
      <c r="O63" s="87"/>
      <c r="P63" s="87"/>
      <c r="Q63" s="87"/>
      <c r="R63" s="87"/>
      <c r="S63" s="87"/>
      <c r="T63" s="87"/>
      <c r="U63" s="88">
        <f t="shared" si="7"/>
        <v>77.613888848339471</v>
      </c>
    </row>
    <row r="64" spans="1:21" x14ac:dyDescent="0.35">
      <c r="A64" s="30"/>
      <c r="B64" s="4"/>
      <c r="C64" s="4"/>
      <c r="D64" s="4"/>
      <c r="E64" s="4"/>
      <c r="F64" s="4"/>
      <c r="G64" s="38"/>
      <c r="H64" s="17"/>
      <c r="K64" s="8">
        <f>J172*EXP(10*K$22)</f>
        <v>0.56743210782001474</v>
      </c>
      <c r="L64" s="87"/>
      <c r="M64" s="87"/>
      <c r="N64" s="87"/>
      <c r="O64" s="87"/>
      <c r="P64" s="87"/>
      <c r="Q64" s="87"/>
      <c r="R64" s="87"/>
      <c r="S64" s="87"/>
      <c r="T64" s="87"/>
      <c r="U64" s="88">
        <f t="shared" si="7"/>
        <v>77.743064995314228</v>
      </c>
    </row>
    <row r="65" spans="1:21" x14ac:dyDescent="0.35">
      <c r="A65" s="30"/>
      <c r="B65" s="4"/>
      <c r="C65" s="4"/>
      <c r="D65" s="4"/>
      <c r="E65" s="4"/>
      <c r="F65" s="4"/>
      <c r="G65" s="4"/>
      <c r="H65" s="17"/>
      <c r="K65" s="9">
        <f>(J173+$B$4)*EXP(10*$K$22)</f>
        <v>0.58163037119173921</v>
      </c>
      <c r="L65" s="87"/>
      <c r="M65" s="87"/>
      <c r="N65" s="87"/>
      <c r="O65" s="87"/>
      <c r="P65" s="87"/>
      <c r="Q65" s="87"/>
      <c r="R65" s="87"/>
      <c r="S65" s="87"/>
      <c r="T65" s="87"/>
      <c r="U65" s="88">
        <f t="shared" si="7"/>
        <v>77.008053983863434</v>
      </c>
    </row>
    <row r="66" spans="1:21" x14ac:dyDescent="0.35">
      <c r="A66" s="30"/>
      <c r="B66" s="4"/>
      <c r="C66" s="4"/>
      <c r="D66" s="4"/>
      <c r="E66" s="4"/>
      <c r="F66" s="4"/>
      <c r="G66" s="38"/>
      <c r="H66" s="17"/>
      <c r="K66" s="8">
        <f>J173*EXP(10*K$22)</f>
        <v>0.57915560188925197</v>
      </c>
      <c r="L66" s="87"/>
      <c r="M66" s="87"/>
      <c r="N66" s="87"/>
      <c r="O66" s="87"/>
      <c r="P66" s="87"/>
      <c r="Q66" s="87"/>
      <c r="R66" s="87"/>
      <c r="S66" s="87"/>
      <c r="T66" s="87"/>
      <c r="U66" s="88">
        <f t="shared" si="7"/>
        <v>77.135110831921281</v>
      </c>
    </row>
    <row r="67" spans="1:21" x14ac:dyDescent="0.35">
      <c r="A67" s="30"/>
      <c r="B67" s="4"/>
      <c r="C67" s="4"/>
      <c r="D67" s="4"/>
      <c r="E67" s="4"/>
      <c r="F67" s="4"/>
      <c r="G67" s="4"/>
      <c r="H67" s="17"/>
      <c r="K67" s="9">
        <f>(J174+$B$4)*EXP(10*$K$22)</f>
        <v>0.57851251022049532</v>
      </c>
      <c r="L67" s="87"/>
      <c r="M67" s="87"/>
      <c r="N67" s="87"/>
      <c r="O67" s="87"/>
      <c r="P67" s="87"/>
      <c r="Q67" s="87"/>
      <c r="R67" s="87"/>
      <c r="S67" s="87"/>
      <c r="T67" s="87"/>
      <c r="U67" s="88">
        <f t="shared" si="7"/>
        <v>77.168200151742937</v>
      </c>
    </row>
    <row r="68" spans="1:21" x14ac:dyDescent="0.35">
      <c r="A68" s="30"/>
      <c r="B68" s="4"/>
      <c r="C68" s="4"/>
      <c r="D68" s="4"/>
      <c r="E68" s="4"/>
      <c r="F68" s="4"/>
      <c r="G68" s="38"/>
      <c r="H68" s="15"/>
      <c r="I68" s="16"/>
      <c r="J68" s="16"/>
      <c r="K68" s="8">
        <f>J174*EXP(10*K$22)</f>
        <v>0.57603774091800819</v>
      </c>
      <c r="L68" s="87"/>
      <c r="M68" s="87"/>
      <c r="N68" s="87"/>
      <c r="O68" s="87"/>
      <c r="P68" s="87"/>
      <c r="Q68" s="87"/>
      <c r="R68" s="87"/>
      <c r="S68" s="87"/>
      <c r="T68" s="87"/>
      <c r="U68" s="88">
        <f t="shared" si="7"/>
        <v>77.295815507154714</v>
      </c>
    </row>
    <row r="69" spans="1:21" x14ac:dyDescent="0.35">
      <c r="A69" s="30"/>
      <c r="B69" s="4"/>
      <c r="C69" s="4"/>
      <c r="D69" s="4"/>
      <c r="E69" s="4"/>
      <c r="F69" s="4"/>
      <c r="G69" s="4"/>
      <c r="I69" s="16"/>
      <c r="J69" s="16"/>
      <c r="K69" s="9">
        <f>(J175+$B$4)*EXP(10*$K$22)</f>
        <v>0.57773360440383015</v>
      </c>
      <c r="L69" s="87"/>
      <c r="M69" s="87"/>
      <c r="N69" s="87"/>
      <c r="O69" s="87"/>
      <c r="P69" s="87"/>
      <c r="Q69" s="87"/>
      <c r="R69" s="87"/>
      <c r="S69" s="87"/>
      <c r="T69" s="87"/>
      <c r="U69" s="88">
        <f t="shared" si="7"/>
        <v>77.208317702139425</v>
      </c>
    </row>
    <row r="70" spans="1:21" x14ac:dyDescent="0.35">
      <c r="A70" s="30"/>
      <c r="B70" s="4"/>
      <c r="C70" s="4"/>
      <c r="D70" s="4"/>
      <c r="E70" s="4"/>
      <c r="F70" s="38"/>
      <c r="G70" s="38"/>
      <c r="J70" s="16"/>
      <c r="K70" s="8">
        <f>J175*EXP(10*K$22)</f>
        <v>0.57525883510134301</v>
      </c>
      <c r="L70" s="87"/>
      <c r="M70" s="87"/>
      <c r="N70" s="87"/>
      <c r="O70" s="87"/>
      <c r="P70" s="87"/>
      <c r="Q70" s="87"/>
      <c r="R70" s="87"/>
      <c r="S70" s="87"/>
      <c r="T70" s="87"/>
      <c r="U70" s="88">
        <f t="shared" si="7"/>
        <v>77.336073159084947</v>
      </c>
    </row>
    <row r="71" spans="1:21" x14ac:dyDescent="0.35">
      <c r="A71" s="30"/>
      <c r="B71" s="4"/>
      <c r="C71" s="4"/>
      <c r="D71" s="4"/>
      <c r="E71" s="4"/>
      <c r="F71" s="4"/>
      <c r="G71" s="4"/>
      <c r="K71" s="9">
        <f>(J176+$B$4)*EXP(10*$K$22)</f>
        <v>0.57461574343258637</v>
      </c>
      <c r="L71" s="87"/>
      <c r="M71" s="87"/>
      <c r="N71" s="87"/>
      <c r="O71" s="87"/>
      <c r="P71" s="87"/>
      <c r="Q71" s="87"/>
      <c r="R71" s="87"/>
      <c r="S71" s="87"/>
      <c r="T71" s="87"/>
      <c r="U71" s="88">
        <f t="shared" si="7"/>
        <v>77.369344617289343</v>
      </c>
    </row>
    <row r="72" spans="1:21" x14ac:dyDescent="0.35">
      <c r="A72" s="30"/>
      <c r="B72" s="4"/>
      <c r="C72" s="4"/>
      <c r="D72" s="4"/>
      <c r="E72" s="4"/>
      <c r="F72" s="38"/>
      <c r="G72" s="38"/>
      <c r="K72" s="8">
        <f>J176*EXP(10*K$22)</f>
        <v>0.57214097413009923</v>
      </c>
      <c r="L72" s="87"/>
      <c r="M72" s="87"/>
      <c r="N72" s="87"/>
      <c r="O72" s="87"/>
      <c r="P72" s="87"/>
      <c r="Q72" s="87"/>
      <c r="R72" s="87"/>
      <c r="S72" s="87"/>
      <c r="T72" s="87"/>
      <c r="U72" s="88">
        <f t="shared" si="7"/>
        <v>77.49766319935128</v>
      </c>
    </row>
    <row r="73" spans="1:21" x14ac:dyDescent="0.35">
      <c r="A73" s="30"/>
      <c r="B73" s="4"/>
      <c r="C73" s="4"/>
      <c r="D73" s="4"/>
      <c r="E73" s="4"/>
      <c r="F73" s="4"/>
      <c r="G73" s="4"/>
      <c r="K73" s="9">
        <f>(J177+$B$4)*EXP(10*$K$22)</f>
        <v>0.58284808406628363</v>
      </c>
      <c r="L73" s="87"/>
      <c r="M73" s="87"/>
      <c r="N73" s="87"/>
      <c r="O73" s="87"/>
      <c r="P73" s="87"/>
      <c r="Q73" s="87"/>
      <c r="R73" s="87"/>
      <c r="S73" s="87"/>
      <c r="T73" s="87"/>
      <c r="U73" s="88">
        <f t="shared" si="7"/>
        <v>76.945697443482032</v>
      </c>
    </row>
    <row r="74" spans="1:21" x14ac:dyDescent="0.35">
      <c r="A74" s="30"/>
      <c r="B74" s="4"/>
      <c r="C74" s="4"/>
      <c r="D74" s="4"/>
      <c r="E74" s="38"/>
      <c r="F74" s="38"/>
      <c r="G74" s="38"/>
      <c r="K74" s="8">
        <f>J177*EXP(10*K$22)</f>
        <v>0.58037331476379639</v>
      </c>
      <c r="L74" s="87"/>
      <c r="M74" s="87"/>
      <c r="N74" s="87"/>
      <c r="O74" s="87"/>
      <c r="P74" s="87"/>
      <c r="Q74" s="87"/>
      <c r="R74" s="87"/>
      <c r="S74" s="87"/>
      <c r="T74" s="87"/>
      <c r="U74" s="88">
        <f t="shared" si="7"/>
        <v>77.072537155925446</v>
      </c>
    </row>
    <row r="75" spans="1:21" x14ac:dyDescent="0.35">
      <c r="A75" s="30"/>
      <c r="B75" s="4"/>
      <c r="C75" s="4"/>
      <c r="D75" s="38"/>
      <c r="E75" s="38"/>
      <c r="F75" s="38"/>
      <c r="G75" s="38"/>
      <c r="H75" s="17"/>
      <c r="J75" s="38"/>
      <c r="K75" s="9">
        <f>(J178+$B$4)*EXP(10*$K$22)</f>
        <v>0.57973022309503974</v>
      </c>
      <c r="L75" s="87"/>
      <c r="M75" s="87"/>
      <c r="N75" s="87"/>
      <c r="O75" s="87"/>
      <c r="P75" s="87"/>
      <c r="Q75" s="87"/>
      <c r="R75" s="87"/>
      <c r="S75" s="87"/>
      <c r="T75" s="87"/>
      <c r="U75" s="88">
        <f t="shared" si="7"/>
        <v>77.10556986539433</v>
      </c>
    </row>
    <row r="76" spans="1:21" x14ac:dyDescent="0.35">
      <c r="A76" s="30"/>
      <c r="B76" s="4"/>
      <c r="C76" s="4"/>
      <c r="D76" s="4"/>
      <c r="E76" s="4"/>
      <c r="F76" s="4"/>
      <c r="G76" s="4"/>
      <c r="H76" s="19"/>
      <c r="I76" s="16"/>
      <c r="J76" s="4"/>
      <c r="K76" s="8">
        <f>J178*EXP(10*K$22)</f>
        <v>0.57725545379255261</v>
      </c>
      <c r="L76" s="87"/>
      <c r="M76" s="87"/>
      <c r="N76" s="87"/>
      <c r="O76" s="87"/>
      <c r="P76" s="87"/>
      <c r="Q76" s="87"/>
      <c r="R76" s="87"/>
      <c r="S76" s="87"/>
      <c r="T76" s="87"/>
      <c r="U76" s="88">
        <f t="shared" si="7"/>
        <v>77.232966652530678</v>
      </c>
    </row>
    <row r="77" spans="1:21" x14ac:dyDescent="0.35">
      <c r="A77" s="30"/>
      <c r="B77" s="4"/>
      <c r="C77" s="4"/>
      <c r="D77" s="4"/>
      <c r="E77" s="4"/>
      <c r="F77" s="4"/>
      <c r="G77" s="4"/>
      <c r="H77" s="17"/>
      <c r="K77" s="9">
        <f>(J179+$B$4)*EXP(10*$K$22)</f>
        <v>0.57895131727837457</v>
      </c>
      <c r="L77" s="87"/>
      <c r="M77" s="87"/>
      <c r="N77" s="87"/>
      <c r="O77" s="87"/>
      <c r="P77" s="87"/>
      <c r="Q77" s="87"/>
      <c r="R77" s="87"/>
      <c r="S77" s="87"/>
      <c r="T77" s="87"/>
      <c r="U77" s="88">
        <f t="shared" si="7"/>
        <v>77.145618746999077</v>
      </c>
    </row>
    <row r="78" spans="1:21" x14ac:dyDescent="0.35">
      <c r="A78" s="30"/>
      <c r="B78" s="4"/>
      <c r="C78" s="4"/>
      <c r="D78" s="4"/>
      <c r="E78" s="4"/>
      <c r="F78" s="4"/>
      <c r="G78" s="38"/>
      <c r="H78" s="17"/>
      <c r="K78" s="8">
        <f>J179*EXP(10*K$22)</f>
        <v>0.57647654797588743</v>
      </c>
      <c r="L78" s="87"/>
      <c r="M78" s="87"/>
      <c r="N78" s="87"/>
      <c r="O78" s="87"/>
      <c r="P78" s="87"/>
      <c r="Q78" s="87"/>
      <c r="R78" s="87"/>
      <c r="S78" s="87"/>
      <c r="T78" s="87"/>
      <c r="U78" s="88">
        <f t="shared" si="7"/>
        <v>77.273155275794423</v>
      </c>
    </row>
    <row r="79" spans="1:21" x14ac:dyDescent="0.35">
      <c r="A79" s="30"/>
      <c r="B79" s="4"/>
      <c r="C79" s="4"/>
      <c r="D79" s="4"/>
      <c r="E79" s="4"/>
      <c r="F79" s="4"/>
      <c r="G79" s="4"/>
      <c r="H79" s="17"/>
      <c r="K79" s="9">
        <f>(J180+$B$4)*EXP(10*$K$22)</f>
        <v>0.57583345630713079</v>
      </c>
      <c r="L79" s="87"/>
      <c r="M79" s="87"/>
      <c r="N79" s="87"/>
      <c r="O79" s="87"/>
      <c r="P79" s="87"/>
      <c r="Q79" s="87"/>
      <c r="R79" s="87"/>
      <c r="S79" s="87"/>
      <c r="T79" s="87"/>
      <c r="U79" s="88">
        <f t="shared" si="7"/>
        <v>77.306369655791798</v>
      </c>
    </row>
    <row r="80" spans="1:21" x14ac:dyDescent="0.35">
      <c r="A80" s="30"/>
      <c r="B80" s="4"/>
      <c r="C80" s="4"/>
      <c r="D80" s="4"/>
      <c r="E80" s="4"/>
      <c r="F80" s="4"/>
      <c r="G80" s="38"/>
      <c r="H80" s="17"/>
      <c r="K80" s="8">
        <f>J180*EXP(10*K$22)</f>
        <v>0.57335868700464365</v>
      </c>
      <c r="L80" s="87"/>
      <c r="M80" s="87"/>
      <c r="N80" s="87"/>
      <c r="O80" s="87"/>
      <c r="P80" s="87"/>
      <c r="Q80" s="87"/>
      <c r="R80" s="87"/>
      <c r="S80" s="87"/>
      <c r="T80" s="87"/>
      <c r="U80" s="88">
        <f t="shared" si="7"/>
        <v>77.434467861233912</v>
      </c>
    </row>
    <row r="81" spans="1:21" x14ac:dyDescent="0.35">
      <c r="A81" s="30"/>
      <c r="B81" s="4"/>
      <c r="C81" s="4"/>
      <c r="D81" s="4"/>
      <c r="E81" s="4"/>
      <c r="F81" s="4"/>
      <c r="G81" s="4"/>
      <c r="H81" s="17"/>
      <c r="K81" s="9">
        <f>(J181+$B$4)*EXP(10*$K$22)</f>
        <v>0.58755695037636824</v>
      </c>
      <c r="L81" s="87"/>
      <c r="M81" s="87"/>
      <c r="N81" s="87"/>
      <c r="O81" s="87"/>
      <c r="P81" s="87"/>
      <c r="Q81" s="87"/>
      <c r="R81" s="87"/>
      <c r="S81" s="87"/>
      <c r="T81" s="87"/>
      <c r="U81" s="88">
        <f t="shared" si="7"/>
        <v>76.705565266814872</v>
      </c>
    </row>
    <row r="82" spans="1:21" x14ac:dyDescent="0.35">
      <c r="A82" s="30"/>
      <c r="B82" s="4"/>
      <c r="C82" s="4"/>
      <c r="D82" s="4"/>
      <c r="E82" s="4"/>
      <c r="F82" s="4"/>
      <c r="G82" s="38"/>
      <c r="H82" s="17"/>
      <c r="K82" s="8">
        <f>J181*EXP(10*K$22)</f>
        <v>0.5850821810738811</v>
      </c>
      <c r="L82" s="87"/>
      <c r="M82" s="87"/>
      <c r="N82" s="87"/>
      <c r="O82" s="87"/>
      <c r="P82" s="87"/>
      <c r="Q82" s="87"/>
      <c r="R82" s="87"/>
      <c r="S82" s="87"/>
      <c r="T82" s="87"/>
      <c r="U82" s="88">
        <f t="shared" si="7"/>
        <v>76.831570537458447</v>
      </c>
    </row>
    <row r="83" spans="1:21" x14ac:dyDescent="0.35">
      <c r="A83" s="30"/>
      <c r="B83" s="4"/>
      <c r="C83" s="4"/>
      <c r="D83" s="4"/>
      <c r="E83" s="4"/>
      <c r="F83" s="4"/>
      <c r="G83" s="4"/>
      <c r="H83" s="17"/>
      <c r="K83" s="9">
        <f>(J182+$B$4)*EXP(10*$K$22)</f>
        <v>0.58443908940512446</v>
      </c>
      <c r="L83" s="87"/>
      <c r="M83" s="87"/>
      <c r="N83" s="87"/>
      <c r="O83" s="87"/>
      <c r="P83" s="87"/>
      <c r="Q83" s="87"/>
      <c r="R83" s="87"/>
      <c r="S83" s="87"/>
      <c r="T83" s="87"/>
      <c r="U83" s="88">
        <f t="shared" si="7"/>
        <v>76.864385697526274</v>
      </c>
    </row>
    <row r="84" spans="1:21" x14ac:dyDescent="0.35">
      <c r="A84" s="30"/>
      <c r="B84" s="4"/>
      <c r="C84" s="4"/>
      <c r="D84" s="4"/>
      <c r="E84" s="4"/>
      <c r="F84" s="4"/>
      <c r="G84" s="38"/>
      <c r="H84" s="15"/>
      <c r="I84" s="16"/>
      <c r="J84" s="16"/>
      <c r="K84" s="8">
        <f>J182*EXP(10*K$22)</f>
        <v>0.58196432010263721</v>
      </c>
      <c r="L84" s="87"/>
      <c r="M84" s="87"/>
      <c r="N84" s="87"/>
      <c r="O84" s="87"/>
      <c r="P84" s="87"/>
      <c r="Q84" s="87"/>
      <c r="R84" s="87"/>
      <c r="S84" s="87"/>
      <c r="T84" s="87"/>
      <c r="U84" s="88">
        <f t="shared" si="7"/>
        <v>76.990942548680621</v>
      </c>
    </row>
    <row r="85" spans="1:21" x14ac:dyDescent="0.35">
      <c r="A85" s="30"/>
      <c r="B85" s="4"/>
      <c r="C85" s="4"/>
      <c r="D85" s="4"/>
      <c r="E85" s="4"/>
      <c r="F85" s="4"/>
      <c r="G85" s="4"/>
      <c r="I85" s="16"/>
      <c r="J85" s="16"/>
      <c r="K85" s="9">
        <f>(J183+$B$4)*EXP(10*$K$22)</f>
        <v>0.58366018358845928</v>
      </c>
      <c r="L85" s="87"/>
      <c r="M85" s="87"/>
      <c r="N85" s="87"/>
      <c r="O85" s="87"/>
      <c r="P85" s="87"/>
      <c r="Q85" s="87"/>
      <c r="R85" s="87"/>
      <c r="S85" s="87"/>
      <c r="T85" s="87"/>
      <c r="U85" s="88">
        <f t="shared" si="7"/>
        <v>76.904170690862188</v>
      </c>
    </row>
    <row r="86" spans="1:21" x14ac:dyDescent="0.35">
      <c r="A86" s="30"/>
      <c r="B86" s="4"/>
      <c r="C86" s="4"/>
      <c r="D86" s="4"/>
      <c r="E86" s="4"/>
      <c r="F86" s="38"/>
      <c r="G86" s="38"/>
      <c r="J86" s="16"/>
      <c r="K86" s="8">
        <f>J183*EXP(10*K$22)</f>
        <v>0.58118541428597204</v>
      </c>
      <c r="L86" s="87"/>
      <c r="M86" s="87"/>
      <c r="N86" s="87"/>
      <c r="O86" s="87"/>
      <c r="P86" s="87"/>
      <c r="Q86" s="87"/>
      <c r="R86" s="87"/>
      <c r="S86" s="87"/>
      <c r="T86" s="87"/>
      <c r="U86" s="88">
        <f t="shared" si="7"/>
        <v>77.030865903589913</v>
      </c>
    </row>
    <row r="87" spans="1:21" x14ac:dyDescent="0.35">
      <c r="A87" s="30"/>
      <c r="B87" s="4"/>
      <c r="C87" s="4"/>
      <c r="D87" s="4"/>
      <c r="E87" s="4"/>
      <c r="F87" s="4"/>
      <c r="G87" s="4"/>
      <c r="K87" s="9">
        <f>(J184+$B$4)*EXP(10*$K$22)</f>
        <v>0.5805423226172155</v>
      </c>
      <c r="L87" s="87"/>
      <c r="M87" s="87"/>
      <c r="N87" s="87"/>
      <c r="O87" s="87"/>
      <c r="P87" s="87"/>
      <c r="Q87" s="87"/>
      <c r="R87" s="87"/>
      <c r="S87" s="87"/>
      <c r="T87" s="87"/>
      <c r="U87" s="88">
        <f t="shared" si="7"/>
        <v>77.063860940009377</v>
      </c>
    </row>
    <row r="88" spans="1:21" x14ac:dyDescent="0.35">
      <c r="A88" s="30"/>
      <c r="B88" s="4"/>
      <c r="C88" s="4"/>
      <c r="D88" s="4"/>
      <c r="E88" s="4"/>
      <c r="F88" s="38"/>
      <c r="G88" s="38"/>
      <c r="K88" s="8">
        <f>J184*EXP(10*K$22)</f>
        <v>0.57806755331472826</v>
      </c>
      <c r="L88" s="87"/>
      <c r="M88" s="87"/>
      <c r="N88" s="87"/>
      <c r="O88" s="87"/>
      <c r="P88" s="87"/>
      <c r="Q88" s="87"/>
      <c r="R88" s="87"/>
      <c r="S88" s="87"/>
      <c r="T88" s="87"/>
      <c r="U88" s="88">
        <f t="shared" si="7"/>
        <v>77.191112274702959</v>
      </c>
    </row>
    <row r="89" spans="1:21" x14ac:dyDescent="0.35">
      <c r="A89" s="30"/>
      <c r="B89" s="4"/>
      <c r="C89" s="4"/>
      <c r="D89" s="4"/>
      <c r="E89" s="4"/>
      <c r="F89" s="4"/>
      <c r="G89" s="4"/>
      <c r="K89" s="9">
        <f>(J185+$B$4)*EXP(10*$K$22)</f>
        <v>0.57884487208038837</v>
      </c>
      <c r="L89" s="87"/>
      <c r="M89" s="87"/>
      <c r="N89" s="87"/>
      <c r="O89" s="87"/>
      <c r="P89" s="87"/>
      <c r="Q89" s="87"/>
      <c r="R89" s="87"/>
      <c r="S89" s="87"/>
      <c r="T89" s="87"/>
      <c r="U89" s="88">
        <f t="shared" ref="U89:U152" si="8">MIN($B$8,((100+$B$7)/(1+K89+$D$8/10000)))+$B$7</f>
        <v>77.151095231786741</v>
      </c>
    </row>
    <row r="90" spans="1:21" x14ac:dyDescent="0.35">
      <c r="A90" s="30"/>
      <c r="B90" s="4"/>
      <c r="C90" s="4"/>
      <c r="D90" s="4"/>
      <c r="E90" s="38"/>
      <c r="F90" s="38"/>
      <c r="G90" s="38"/>
      <c r="K90" s="8">
        <f>J185*EXP(10*K$22)</f>
        <v>0.57637010277790113</v>
      </c>
      <c r="L90" s="87"/>
      <c r="M90" s="87"/>
      <c r="N90" s="87"/>
      <c r="O90" s="87"/>
      <c r="P90" s="87"/>
      <c r="Q90" s="87"/>
      <c r="R90" s="87"/>
      <c r="S90" s="87"/>
      <c r="T90" s="87"/>
      <c r="U90" s="88">
        <f t="shared" si="8"/>
        <v>77.278650875520754</v>
      </c>
    </row>
    <row r="91" spans="1:21" x14ac:dyDescent="0.35">
      <c r="A91" s="30"/>
      <c r="B91" s="4"/>
      <c r="C91" s="4"/>
      <c r="D91" s="38"/>
      <c r="E91" s="38"/>
      <c r="F91" s="38"/>
      <c r="G91" s="38"/>
      <c r="H91" s="17"/>
      <c r="J91" s="38"/>
      <c r="K91" s="9">
        <f>(J186+$B$4)*EXP(10*$K$22)</f>
        <v>0.57572701110914448</v>
      </c>
      <c r="L91" s="87"/>
      <c r="M91" s="87"/>
      <c r="N91" s="87"/>
      <c r="O91" s="87"/>
      <c r="P91" s="87"/>
      <c r="Q91" s="87"/>
      <c r="R91" s="87"/>
      <c r="S91" s="87"/>
      <c r="T91" s="87"/>
      <c r="U91" s="88">
        <f t="shared" si="8"/>
        <v>77.311870239093878</v>
      </c>
    </row>
    <row r="92" spans="1:21" x14ac:dyDescent="0.35">
      <c r="A92" s="30"/>
      <c r="B92" s="4"/>
      <c r="C92" s="4"/>
      <c r="D92" s="4"/>
      <c r="E92" s="4"/>
      <c r="F92" s="4"/>
      <c r="G92" s="4"/>
      <c r="H92" s="19"/>
      <c r="I92" s="16"/>
      <c r="J92" s="4"/>
      <c r="K92" s="8">
        <f>J186*EXP(10*K$22)</f>
        <v>0.57325224180665735</v>
      </c>
      <c r="L92" s="87"/>
      <c r="M92" s="87"/>
      <c r="N92" s="87"/>
      <c r="O92" s="87"/>
      <c r="P92" s="87"/>
      <c r="Q92" s="87"/>
      <c r="R92" s="87"/>
      <c r="S92" s="87"/>
      <c r="T92" s="87"/>
      <c r="U92" s="88">
        <f t="shared" si="8"/>
        <v>77.439987685892916</v>
      </c>
    </row>
    <row r="93" spans="1:21" x14ac:dyDescent="0.35">
      <c r="A93" s="30"/>
      <c r="B93" s="4"/>
      <c r="C93" s="4"/>
      <c r="D93" s="4"/>
      <c r="E93" s="4"/>
      <c r="F93" s="4"/>
      <c r="G93" s="4"/>
      <c r="H93" s="17"/>
      <c r="K93" s="9">
        <f>(J187+$B$4)*EXP(10*$K$22)</f>
        <v>0.57494810529247931</v>
      </c>
      <c r="L93" s="87"/>
      <c r="M93" s="87"/>
      <c r="N93" s="87"/>
      <c r="O93" s="87"/>
      <c r="P93" s="87"/>
      <c r="Q93" s="87"/>
      <c r="R93" s="87"/>
      <c r="S93" s="87"/>
      <c r="T93" s="87"/>
      <c r="U93" s="88">
        <f t="shared" si="8"/>
        <v>77.352145533891331</v>
      </c>
    </row>
    <row r="94" spans="1:21" x14ac:dyDescent="0.35">
      <c r="A94" s="30"/>
      <c r="B94" s="4"/>
      <c r="C94" s="4"/>
      <c r="D94" s="4"/>
      <c r="E94" s="4"/>
      <c r="F94" s="4"/>
      <c r="G94" s="38"/>
      <c r="H94" s="17"/>
      <c r="K94" s="8">
        <f>J187*EXP(10*K$22)</f>
        <v>0.57247333598999217</v>
      </c>
      <c r="L94" s="87"/>
      <c r="M94" s="87"/>
      <c r="N94" s="87"/>
      <c r="O94" s="87"/>
      <c r="P94" s="87"/>
      <c r="Q94" s="87"/>
      <c r="R94" s="87"/>
      <c r="S94" s="87"/>
      <c r="T94" s="87"/>
      <c r="U94" s="88">
        <f t="shared" si="8"/>
        <v>77.480403910090814</v>
      </c>
    </row>
    <row r="95" spans="1:21" x14ac:dyDescent="0.35">
      <c r="A95" s="30"/>
      <c r="B95" s="4"/>
      <c r="C95" s="4"/>
      <c r="D95" s="4"/>
      <c r="E95" s="4"/>
      <c r="F95" s="4"/>
      <c r="G95" s="4"/>
      <c r="H95" s="17"/>
      <c r="K95" s="9">
        <f>(J188+$B$4)*EXP(10*$K$22)</f>
        <v>0.57183024432123553</v>
      </c>
      <c r="L95" s="87"/>
      <c r="M95" s="87"/>
      <c r="N95" s="87"/>
      <c r="O95" s="87"/>
      <c r="P95" s="87"/>
      <c r="Q95" s="87"/>
      <c r="R95" s="87"/>
      <c r="S95" s="87"/>
      <c r="T95" s="87"/>
      <c r="U95" s="88">
        <f t="shared" si="8"/>
        <v>77.513806488312696</v>
      </c>
    </row>
    <row r="96" spans="1:21" x14ac:dyDescent="0.35">
      <c r="A96" s="30"/>
      <c r="B96" s="4"/>
      <c r="C96" s="4"/>
      <c r="D96" s="4"/>
      <c r="E96" s="4"/>
      <c r="F96" s="4"/>
      <c r="G96" s="38"/>
      <c r="H96" s="17"/>
      <c r="K96" s="8">
        <f>J188*EXP(10*K$22)</f>
        <v>0.56935547501874839</v>
      </c>
      <c r="L96" s="87"/>
      <c r="M96" s="87"/>
      <c r="N96" s="87"/>
      <c r="O96" s="87"/>
      <c r="P96" s="87"/>
      <c r="Q96" s="87"/>
      <c r="R96" s="87"/>
      <c r="S96" s="87"/>
      <c r="T96" s="87"/>
      <c r="U96" s="88">
        <f t="shared" si="8"/>
        <v>77.642631321757818</v>
      </c>
    </row>
    <row r="97" spans="1:21" x14ac:dyDescent="0.35">
      <c r="A97" s="30"/>
      <c r="B97" s="4"/>
      <c r="C97" s="4"/>
      <c r="D97" s="4"/>
      <c r="E97" s="4"/>
      <c r="F97" s="4"/>
      <c r="G97" s="4"/>
      <c r="H97" s="17"/>
      <c r="K97" s="9">
        <f>(J189+$B$4)*EXP(10*$K$22)</f>
        <v>0.58355373839047298</v>
      </c>
      <c r="L97" s="87"/>
      <c r="M97" s="87"/>
      <c r="N97" s="87"/>
      <c r="O97" s="87"/>
      <c r="P97" s="87"/>
      <c r="Q97" s="87"/>
      <c r="R97" s="87"/>
      <c r="S97" s="87"/>
      <c r="T97" s="87"/>
      <c r="U97" s="88">
        <f t="shared" si="8"/>
        <v>76.90961107906827</v>
      </c>
    </row>
    <row r="98" spans="1:21" x14ac:dyDescent="0.35">
      <c r="A98" s="30"/>
      <c r="B98" s="4"/>
      <c r="C98" s="4"/>
      <c r="D98" s="4"/>
      <c r="E98" s="4"/>
      <c r="F98" s="4"/>
      <c r="G98" s="38"/>
      <c r="H98" s="17"/>
      <c r="K98" s="8">
        <f>J189*EXP(10*K$22)</f>
        <v>0.58107896908798573</v>
      </c>
      <c r="L98" s="87"/>
      <c r="M98" s="87"/>
      <c r="N98" s="87"/>
      <c r="O98" s="87"/>
      <c r="P98" s="87"/>
      <c r="Q98" s="87"/>
      <c r="R98" s="87"/>
      <c r="S98" s="87"/>
      <c r="T98" s="87"/>
      <c r="U98" s="88">
        <f t="shared" si="8"/>
        <v>77.036325217897499</v>
      </c>
    </row>
    <row r="99" spans="1:21" x14ac:dyDescent="0.35">
      <c r="A99" s="30"/>
      <c r="B99" s="4"/>
      <c r="C99" s="4"/>
      <c r="D99" s="4"/>
      <c r="E99" s="4"/>
      <c r="F99" s="4"/>
      <c r="G99" s="4"/>
      <c r="H99" s="17"/>
      <c r="K99" s="9">
        <f>(J190+$B$4)*EXP(10*$K$22)</f>
        <v>0.58043587741922908</v>
      </c>
      <c r="L99" s="87"/>
      <c r="M99" s="87"/>
      <c r="N99" s="87"/>
      <c r="O99" s="87"/>
      <c r="P99" s="87"/>
      <c r="Q99" s="87"/>
      <c r="R99" s="87"/>
      <c r="S99" s="87"/>
      <c r="T99" s="87"/>
      <c r="U99" s="88">
        <f t="shared" si="8"/>
        <v>77.069325188606115</v>
      </c>
    </row>
    <row r="100" spans="1:21" x14ac:dyDescent="0.35">
      <c r="A100" s="30"/>
      <c r="B100" s="4"/>
      <c r="C100" s="4"/>
      <c r="D100" s="4"/>
      <c r="E100" s="4"/>
      <c r="F100" s="4"/>
      <c r="G100" s="38"/>
      <c r="H100" s="15"/>
      <c r="I100" s="16"/>
      <c r="J100" s="16"/>
      <c r="K100" s="8">
        <f>J190*EXP(10*K$22)</f>
        <v>0.57796110811674184</v>
      </c>
      <c r="L100" s="87"/>
      <c r="M100" s="87"/>
      <c r="N100" s="87"/>
      <c r="O100" s="87"/>
      <c r="P100" s="87"/>
      <c r="Q100" s="87"/>
      <c r="R100" s="87"/>
      <c r="S100" s="87"/>
      <c r="T100" s="87"/>
      <c r="U100" s="88">
        <f t="shared" si="8"/>
        <v>77.196595574155239</v>
      </c>
    </row>
    <row r="101" spans="1:21" x14ac:dyDescent="0.35">
      <c r="A101" s="30"/>
      <c r="B101" s="4"/>
      <c r="C101" s="4"/>
      <c r="D101" s="4"/>
      <c r="E101" s="4"/>
      <c r="F101" s="4"/>
      <c r="G101" s="4"/>
      <c r="I101" s="16"/>
      <c r="J101" s="16"/>
      <c r="K101" s="9">
        <f>(J191+$B$4)*EXP(10*$K$22)</f>
        <v>0.57965697160256391</v>
      </c>
      <c r="L101" s="87"/>
      <c r="M101" s="87"/>
      <c r="N101" s="87"/>
      <c r="O101" s="87"/>
      <c r="P101" s="87"/>
      <c r="Q101" s="87"/>
      <c r="R101" s="87"/>
      <c r="S101" s="87"/>
      <c r="T101" s="87"/>
      <c r="U101" s="88">
        <f t="shared" si="8"/>
        <v>77.109334357883995</v>
      </c>
    </row>
    <row r="102" spans="1:21" x14ac:dyDescent="0.35">
      <c r="A102" s="30"/>
      <c r="B102" s="4"/>
      <c r="C102" s="4"/>
      <c r="D102" s="4"/>
      <c r="E102" s="4"/>
      <c r="F102" s="38"/>
      <c r="G102" s="38"/>
      <c r="J102" s="16"/>
      <c r="K102" s="8">
        <f>J191*EXP(10*K$22)</f>
        <v>0.57718220230007666</v>
      </c>
      <c r="L102" s="87"/>
      <c r="M102" s="87"/>
      <c r="N102" s="87"/>
      <c r="O102" s="87"/>
      <c r="P102" s="87"/>
      <c r="Q102" s="87"/>
      <c r="R102" s="87"/>
      <c r="S102" s="87"/>
      <c r="T102" s="87"/>
      <c r="U102" s="88">
        <f t="shared" si="8"/>
        <v>77.236744277111697</v>
      </c>
    </row>
    <row r="103" spans="1:21" x14ac:dyDescent="0.35">
      <c r="A103" s="30"/>
      <c r="B103" s="4"/>
      <c r="C103" s="4"/>
      <c r="D103" s="4"/>
      <c r="E103" s="4"/>
      <c r="F103" s="4"/>
      <c r="G103" s="4"/>
      <c r="K103" s="9">
        <f>(J192+$B$4)*EXP(10*$K$22)</f>
        <v>0.57653911063132002</v>
      </c>
      <c r="L103" s="87"/>
      <c r="M103" s="87"/>
      <c r="N103" s="87"/>
      <c r="O103" s="87"/>
      <c r="P103" s="87"/>
      <c r="Q103" s="87"/>
      <c r="R103" s="87"/>
      <c r="S103" s="87"/>
      <c r="T103" s="87"/>
      <c r="U103" s="88">
        <f t="shared" si="8"/>
        <v>77.269925647964328</v>
      </c>
    </row>
    <row r="104" spans="1:21" x14ac:dyDescent="0.35">
      <c r="A104" s="30"/>
      <c r="B104" s="4"/>
      <c r="C104" s="4"/>
      <c r="D104" s="4"/>
      <c r="E104" s="4"/>
      <c r="F104" s="38"/>
      <c r="G104" s="38"/>
      <c r="K104" s="8">
        <f>J192*EXP(10*K$22)</f>
        <v>0.57406434132883288</v>
      </c>
      <c r="L104" s="87"/>
      <c r="M104" s="87"/>
      <c r="N104" s="87"/>
      <c r="O104" s="87"/>
      <c r="P104" s="87"/>
      <c r="Q104" s="87"/>
      <c r="R104" s="87"/>
      <c r="S104" s="87"/>
      <c r="T104" s="87"/>
      <c r="U104" s="88">
        <f t="shared" si="8"/>
        <v>77.397896406735725</v>
      </c>
    </row>
    <row r="105" spans="1:21" x14ac:dyDescent="0.35">
      <c r="A105" s="30"/>
      <c r="B105" s="4"/>
      <c r="C105" s="4"/>
      <c r="D105" s="4"/>
      <c r="E105" s="4"/>
      <c r="F105" s="4"/>
      <c r="G105" s="4"/>
      <c r="K105" s="9">
        <f>(J193+$B$4)*EXP(10*$K$22)</f>
        <v>0.58477145126501739</v>
      </c>
      <c r="L105" s="87"/>
      <c r="M105" s="87"/>
      <c r="N105" s="87"/>
      <c r="O105" s="87"/>
      <c r="P105" s="87"/>
      <c r="Q105" s="87"/>
      <c r="R105" s="87"/>
      <c r="S105" s="87"/>
      <c r="T105" s="87"/>
      <c r="U105" s="88">
        <f t="shared" si="8"/>
        <v>76.847422514838541</v>
      </c>
    </row>
    <row r="106" spans="1:21" x14ac:dyDescent="0.35">
      <c r="A106" s="30"/>
      <c r="B106" s="4"/>
      <c r="C106" s="4"/>
      <c r="D106" s="4"/>
      <c r="E106" s="38"/>
      <c r="F106" s="38"/>
      <c r="G106" s="38"/>
      <c r="K106" s="8">
        <f>J193*EXP(10*K$22)</f>
        <v>0.58229668196253026</v>
      </c>
      <c r="L106" s="87"/>
      <c r="M106" s="87"/>
      <c r="N106" s="87"/>
      <c r="O106" s="87"/>
      <c r="P106" s="87"/>
      <c r="Q106" s="87"/>
      <c r="R106" s="87"/>
      <c r="S106" s="87"/>
      <c r="T106" s="87"/>
      <c r="U106" s="88">
        <f t="shared" si="8"/>
        <v>76.973920395603457</v>
      </c>
    </row>
    <row r="107" spans="1:21" x14ac:dyDescent="0.35">
      <c r="A107" s="30"/>
      <c r="B107" s="4"/>
      <c r="C107" s="4"/>
      <c r="D107" s="38"/>
      <c r="E107" s="38"/>
      <c r="F107" s="38"/>
      <c r="G107" s="38"/>
      <c r="H107" s="17"/>
      <c r="J107" s="38"/>
      <c r="K107" s="9">
        <f>(J194+$B$4)*EXP(10*$K$22)</f>
        <v>0.58165359029377361</v>
      </c>
      <c r="L107" s="87"/>
      <c r="M107" s="87"/>
      <c r="N107" s="87"/>
      <c r="O107" s="87"/>
      <c r="P107" s="87"/>
      <c r="Q107" s="87"/>
      <c r="R107" s="87"/>
      <c r="S107" s="87"/>
      <c r="T107" s="87"/>
      <c r="U107" s="88">
        <f t="shared" si="8"/>
        <v>77.006863984999015</v>
      </c>
    </row>
    <row r="108" spans="1:21" x14ac:dyDescent="0.35">
      <c r="A108" s="30"/>
      <c r="B108" s="4"/>
      <c r="C108" s="4"/>
      <c r="D108" s="4"/>
      <c r="E108" s="4"/>
      <c r="F108" s="4"/>
      <c r="G108" s="4"/>
      <c r="H108" s="19"/>
      <c r="I108" s="16"/>
      <c r="J108" s="4"/>
      <c r="K108" s="8">
        <f>J194*EXP(10*K$22)</f>
        <v>0.57917882099128648</v>
      </c>
      <c r="L108" s="87"/>
      <c r="M108" s="87"/>
      <c r="N108" s="87"/>
      <c r="O108" s="87"/>
      <c r="P108" s="87"/>
      <c r="Q108" s="87"/>
      <c r="R108" s="87"/>
      <c r="S108" s="87"/>
      <c r="T108" s="87"/>
      <c r="U108" s="88">
        <f t="shared" si="8"/>
        <v>77.133916687546161</v>
      </c>
    </row>
    <row r="109" spans="1:21" x14ac:dyDescent="0.35">
      <c r="A109" s="30"/>
      <c r="B109" s="4"/>
      <c r="C109" s="4"/>
      <c r="D109" s="4"/>
      <c r="E109" s="4"/>
      <c r="F109" s="4"/>
      <c r="G109" s="4"/>
      <c r="H109" s="17"/>
      <c r="K109" s="9">
        <f>(J195+$B$4)*EXP(10*$K$22)</f>
        <v>0.58087468447710844</v>
      </c>
      <c r="L109" s="87"/>
      <c r="M109" s="87"/>
      <c r="N109" s="87"/>
      <c r="O109" s="87"/>
      <c r="P109" s="87"/>
      <c r="Q109" s="87"/>
      <c r="R109" s="87"/>
      <c r="S109" s="87"/>
      <c r="T109" s="87"/>
      <c r="U109" s="88">
        <f t="shared" si="8"/>
        <v>77.046804763450652</v>
      </c>
    </row>
    <row r="110" spans="1:21" x14ac:dyDescent="0.35">
      <c r="A110" s="30"/>
      <c r="B110" s="4"/>
      <c r="C110" s="4"/>
      <c r="D110" s="4"/>
      <c r="E110" s="4"/>
      <c r="F110" s="4"/>
      <c r="G110" s="38"/>
      <c r="H110" s="17"/>
      <c r="K110" s="8">
        <f>J195*EXP(10*K$22)</f>
        <v>0.5783999151746213</v>
      </c>
      <c r="L110" s="87"/>
      <c r="M110" s="87"/>
      <c r="N110" s="87"/>
      <c r="O110" s="87"/>
      <c r="P110" s="87"/>
      <c r="Q110" s="87"/>
      <c r="R110" s="87"/>
      <c r="S110" s="87"/>
      <c r="T110" s="87"/>
      <c r="U110" s="88">
        <f t="shared" si="8"/>
        <v>77.173996641744338</v>
      </c>
    </row>
    <row r="111" spans="1:21" x14ac:dyDescent="0.35">
      <c r="A111" s="30"/>
      <c r="B111" s="4"/>
      <c r="C111" s="4"/>
      <c r="D111" s="4"/>
      <c r="E111" s="4"/>
      <c r="F111" s="4"/>
      <c r="G111" s="4"/>
      <c r="H111" s="17"/>
      <c r="K111" s="9">
        <f>(J196+$B$4)*EXP(10*$K$22)</f>
        <v>0.57775682350586466</v>
      </c>
      <c r="L111" s="87"/>
      <c r="M111" s="87"/>
      <c r="N111" s="87"/>
      <c r="O111" s="87"/>
      <c r="P111" s="87"/>
      <c r="Q111" s="87"/>
      <c r="R111" s="87"/>
      <c r="S111" s="87"/>
      <c r="T111" s="87"/>
      <c r="U111" s="88">
        <f t="shared" si="8"/>
        <v>77.207121165955272</v>
      </c>
    </row>
    <row r="112" spans="1:21" x14ac:dyDescent="0.35">
      <c r="A112" s="30"/>
      <c r="B112" s="4"/>
      <c r="C112" s="4"/>
      <c r="D112" s="4"/>
      <c r="E112" s="4"/>
      <c r="F112" s="4"/>
      <c r="G112" s="38"/>
      <c r="H112" s="17"/>
      <c r="K112" s="8">
        <f>J196*EXP(10*K$22)</f>
        <v>0.57528205420337741</v>
      </c>
      <c r="L112" s="87"/>
      <c r="M112" s="87"/>
      <c r="N112" s="87"/>
      <c r="O112" s="87"/>
      <c r="P112" s="87"/>
      <c r="Q112" s="87"/>
      <c r="R112" s="87"/>
      <c r="S112" s="87"/>
      <c r="T112" s="87"/>
      <c r="U112" s="88">
        <f t="shared" si="8"/>
        <v>77.334872443152946</v>
      </c>
    </row>
    <row r="113" spans="1:21" x14ac:dyDescent="0.35">
      <c r="A113" s="30"/>
      <c r="B113" s="4"/>
      <c r="C113" s="4"/>
      <c r="D113" s="4"/>
      <c r="E113" s="4"/>
      <c r="F113" s="4"/>
      <c r="G113" s="4"/>
      <c r="H113" s="17"/>
      <c r="K113" s="9">
        <f>(J197+$B$4)*EXP(10*$K$22)</f>
        <v>0.589480317575102</v>
      </c>
      <c r="L113" s="87"/>
      <c r="M113" s="87"/>
      <c r="N113" s="87"/>
      <c r="O113" s="87"/>
      <c r="P113" s="87"/>
      <c r="Q113" s="87"/>
      <c r="R113" s="87"/>
      <c r="S113" s="87"/>
      <c r="T113" s="87"/>
      <c r="U113" s="88">
        <f t="shared" si="8"/>
        <v>76.607935868696444</v>
      </c>
    </row>
    <row r="114" spans="1:21" x14ac:dyDescent="0.35">
      <c r="A114" s="30"/>
      <c r="B114" s="4"/>
      <c r="C114" s="4"/>
      <c r="D114" s="4"/>
      <c r="E114" s="4"/>
      <c r="F114" s="4"/>
      <c r="G114" s="38"/>
      <c r="H114" s="17"/>
      <c r="K114" s="8">
        <f>J197*EXP(10*K$22)</f>
        <v>0.58700554827261475</v>
      </c>
      <c r="L114" s="87"/>
      <c r="M114" s="87"/>
      <c r="N114" s="87"/>
      <c r="O114" s="87"/>
      <c r="P114" s="87"/>
      <c r="Q114" s="87"/>
      <c r="R114" s="87"/>
      <c r="S114" s="87"/>
      <c r="T114" s="87"/>
      <c r="U114" s="88">
        <f t="shared" si="8"/>
        <v>76.733602673071047</v>
      </c>
    </row>
    <row r="115" spans="1:21" x14ac:dyDescent="0.35">
      <c r="A115" s="30"/>
      <c r="B115" s="4"/>
      <c r="C115" s="4"/>
      <c r="D115" s="4"/>
      <c r="E115" s="4"/>
      <c r="F115" s="4"/>
      <c r="G115" s="4"/>
      <c r="H115" s="17"/>
      <c r="K115" s="9">
        <f>(J198+$B$4)*EXP(10*$K$22)</f>
        <v>0.58636245660385811</v>
      </c>
      <c r="L115" s="87"/>
      <c r="M115" s="87"/>
      <c r="N115" s="87"/>
      <c r="O115" s="87"/>
      <c r="P115" s="87"/>
      <c r="Q115" s="87"/>
      <c r="R115" s="87"/>
      <c r="S115" s="87"/>
      <c r="T115" s="87"/>
      <c r="U115" s="88">
        <f t="shared" si="8"/>
        <v>76.766329591426143</v>
      </c>
    </row>
    <row r="116" spans="1:21" x14ac:dyDescent="0.35">
      <c r="A116" s="30"/>
      <c r="B116" s="4"/>
      <c r="C116" s="4"/>
      <c r="D116" s="4"/>
      <c r="E116" s="4"/>
      <c r="F116" s="4"/>
      <c r="G116" s="38"/>
      <c r="H116" s="15"/>
      <c r="I116" s="16"/>
      <c r="J116" s="16"/>
      <c r="K116" s="8">
        <f>J198*EXP(10*K$22)</f>
        <v>0.58388768730137097</v>
      </c>
      <c r="L116" s="87"/>
      <c r="M116" s="87"/>
      <c r="N116" s="87"/>
      <c r="O116" s="87"/>
      <c r="P116" s="87"/>
      <c r="Q116" s="87"/>
      <c r="R116" s="87"/>
      <c r="S116" s="87"/>
      <c r="T116" s="87"/>
      <c r="U116" s="88">
        <f t="shared" si="8"/>
        <v>76.892545752958185</v>
      </c>
    </row>
    <row r="117" spans="1:21" x14ac:dyDescent="0.35">
      <c r="A117" s="30"/>
      <c r="B117" s="4"/>
      <c r="C117" s="4"/>
      <c r="D117" s="4"/>
      <c r="E117" s="4"/>
      <c r="F117" s="4"/>
      <c r="G117" s="4"/>
      <c r="I117" s="16"/>
      <c r="J117" s="16"/>
      <c r="K117" s="9">
        <f>(J199+$B$4)*EXP(10*$K$22)</f>
        <v>0.58558355078719293</v>
      </c>
      <c r="L117" s="87"/>
      <c r="M117" s="87"/>
      <c r="N117" s="87"/>
      <c r="O117" s="87"/>
      <c r="P117" s="87"/>
      <c r="Q117" s="87"/>
      <c r="R117" s="87"/>
      <c r="S117" s="87"/>
      <c r="T117" s="87"/>
      <c r="U117" s="88">
        <f t="shared" si="8"/>
        <v>76.80600754759412</v>
      </c>
    </row>
    <row r="118" spans="1:21" x14ac:dyDescent="0.35">
      <c r="A118" s="30"/>
      <c r="B118" s="4"/>
      <c r="C118" s="4"/>
      <c r="D118" s="4"/>
      <c r="E118" s="4"/>
      <c r="F118" s="38"/>
      <c r="G118" s="38"/>
      <c r="J118" s="16"/>
      <c r="K118" s="8">
        <f>J199*EXP(10*K$22)</f>
        <v>0.5831087814847058</v>
      </c>
      <c r="L118" s="87"/>
      <c r="M118" s="87"/>
      <c r="N118" s="87"/>
      <c r="O118" s="87"/>
      <c r="P118" s="87"/>
      <c r="Q118" s="87"/>
      <c r="R118" s="87"/>
      <c r="S118" s="87"/>
      <c r="T118" s="87"/>
      <c r="U118" s="88">
        <f t="shared" si="8"/>
        <v>76.932361512221732</v>
      </c>
    </row>
    <row r="119" spans="1:21" x14ac:dyDescent="0.35">
      <c r="A119" s="30"/>
      <c r="B119" s="4"/>
      <c r="C119" s="4"/>
      <c r="D119" s="4"/>
      <c r="E119" s="4"/>
      <c r="F119" s="4"/>
      <c r="G119" s="4"/>
      <c r="K119" s="9">
        <f>(J200+$B$4)*EXP(10*$K$22)</f>
        <v>0.58246568981594915</v>
      </c>
      <c r="L119" s="87"/>
      <c r="M119" s="87"/>
      <c r="N119" s="87"/>
      <c r="O119" s="87"/>
      <c r="P119" s="87"/>
      <c r="Q119" s="87"/>
      <c r="R119" s="87"/>
      <c r="S119" s="87"/>
      <c r="T119" s="87"/>
      <c r="U119" s="88">
        <f t="shared" si="8"/>
        <v>76.965267580880763</v>
      </c>
    </row>
    <row r="120" spans="1:21" x14ac:dyDescent="0.35">
      <c r="A120" s="30"/>
      <c r="B120" s="4"/>
      <c r="C120" s="4"/>
      <c r="D120" s="4"/>
      <c r="E120" s="4"/>
      <c r="F120" s="38"/>
      <c r="G120" s="38"/>
      <c r="K120" s="8">
        <f>J200*EXP(10*K$22)</f>
        <v>0.57999092051346202</v>
      </c>
      <c r="L120" s="87"/>
      <c r="M120" s="87"/>
      <c r="N120" s="87"/>
      <c r="O120" s="87"/>
      <c r="P120" s="87"/>
      <c r="Q120" s="87"/>
      <c r="R120" s="87"/>
      <c r="S120" s="87"/>
      <c r="T120" s="87"/>
      <c r="U120" s="88">
        <f t="shared" si="8"/>
        <v>77.092175419695934</v>
      </c>
    </row>
    <row r="121" spans="1:21" x14ac:dyDescent="0.35">
      <c r="A121" s="30"/>
      <c r="B121" s="4"/>
      <c r="C121" s="4"/>
      <c r="D121" s="4"/>
      <c r="E121" s="4"/>
      <c r="F121" s="4"/>
      <c r="G121" s="4"/>
      <c r="K121" s="9">
        <f>(J201+$B$4)*EXP(10*$K$22)</f>
        <v>0.58610536107036604</v>
      </c>
      <c r="L121" s="87"/>
      <c r="M121" s="87"/>
      <c r="N121" s="87"/>
      <c r="O121" s="87"/>
      <c r="P121" s="87"/>
      <c r="Q121" s="87"/>
      <c r="R121" s="87"/>
      <c r="S121" s="87"/>
      <c r="T121" s="87"/>
      <c r="U121" s="88">
        <f t="shared" si="8"/>
        <v>76.77942141850464</v>
      </c>
    </row>
    <row r="122" spans="1:21" x14ac:dyDescent="0.35">
      <c r="A122" s="30"/>
      <c r="B122" s="4"/>
      <c r="C122" s="4"/>
      <c r="D122" s="4"/>
      <c r="E122" s="38"/>
      <c r="F122" s="38"/>
      <c r="G122" s="38"/>
      <c r="K122" s="8">
        <f>J201*EXP(10*K$22)</f>
        <v>0.5836305917678789</v>
      </c>
      <c r="L122" s="87"/>
      <c r="M122" s="87"/>
      <c r="N122" s="87"/>
      <c r="O122" s="87"/>
      <c r="P122" s="87"/>
      <c r="Q122" s="87"/>
      <c r="R122" s="87"/>
      <c r="S122" s="87"/>
      <c r="T122" s="87"/>
      <c r="U122" s="88">
        <f t="shared" si="8"/>
        <v>76.905683040139209</v>
      </c>
    </row>
    <row r="123" spans="1:21" x14ac:dyDescent="0.35">
      <c r="A123" s="30"/>
      <c r="B123" s="4"/>
      <c r="C123" s="4"/>
      <c r="D123" s="38"/>
      <c r="E123" s="38"/>
      <c r="F123" s="38"/>
      <c r="G123" s="38"/>
      <c r="H123" s="17"/>
      <c r="J123" s="38"/>
      <c r="K123" s="9">
        <f>(J202+$B$4)*EXP(10*$K$22)</f>
        <v>0.58298750009912226</v>
      </c>
      <c r="L123" s="87"/>
      <c r="M123" s="87"/>
      <c r="N123" s="87"/>
      <c r="O123" s="87"/>
      <c r="P123" s="87"/>
      <c r="Q123" s="87"/>
      <c r="R123" s="87"/>
      <c r="S123" s="87"/>
      <c r="T123" s="87"/>
      <c r="U123" s="88">
        <f t="shared" si="8"/>
        <v>76.93856503386219</v>
      </c>
    </row>
    <row r="124" spans="1:21" x14ac:dyDescent="0.35">
      <c r="A124" s="30"/>
      <c r="B124" s="4"/>
      <c r="C124" s="4"/>
      <c r="D124" s="4"/>
      <c r="E124" s="4"/>
      <c r="F124" s="4"/>
      <c r="G124" s="4"/>
      <c r="H124" s="19"/>
      <c r="I124" s="16"/>
      <c r="J124" s="4"/>
      <c r="K124" s="8">
        <f>J202*EXP(10*K$22)</f>
        <v>0.58051273079663501</v>
      </c>
      <c r="L124" s="87"/>
      <c r="M124" s="87"/>
      <c r="N124" s="87"/>
      <c r="O124" s="87"/>
      <c r="P124" s="87"/>
      <c r="Q124" s="87"/>
      <c r="R124" s="87"/>
      <c r="S124" s="87"/>
      <c r="T124" s="87"/>
      <c r="U124" s="88">
        <f t="shared" si="8"/>
        <v>77.065379921950836</v>
      </c>
    </row>
    <row r="125" spans="1:21" x14ac:dyDescent="0.35">
      <c r="A125" s="30"/>
      <c r="B125" s="4"/>
      <c r="C125" s="4"/>
      <c r="D125" s="4"/>
      <c r="E125" s="4"/>
      <c r="F125" s="4"/>
      <c r="G125" s="4"/>
      <c r="H125" s="17"/>
      <c r="K125" s="9">
        <f>(J203+$B$4)*EXP(10*$K$22)</f>
        <v>0.58220859428245708</v>
      </c>
      <c r="L125" s="87"/>
      <c r="M125" s="87"/>
      <c r="N125" s="87"/>
      <c r="O125" s="87"/>
      <c r="P125" s="87"/>
      <c r="Q125" s="87"/>
      <c r="R125" s="87"/>
      <c r="S125" s="87"/>
      <c r="T125" s="87"/>
      <c r="U125" s="88">
        <f t="shared" si="8"/>
        <v>76.978431096542536</v>
      </c>
    </row>
    <row r="126" spans="1:21" x14ac:dyDescent="0.35">
      <c r="A126" s="30"/>
      <c r="B126" s="4"/>
      <c r="C126" s="4"/>
      <c r="D126" s="4"/>
      <c r="E126" s="4"/>
      <c r="F126" s="4"/>
      <c r="G126" s="38"/>
      <c r="H126" s="17"/>
      <c r="K126" s="8">
        <f>J203*EXP(10*K$22)</f>
        <v>0.57973382497996984</v>
      </c>
      <c r="L126" s="87"/>
      <c r="M126" s="87"/>
      <c r="N126" s="87"/>
      <c r="O126" s="87"/>
      <c r="P126" s="87"/>
      <c r="Q126" s="87"/>
      <c r="R126" s="87"/>
      <c r="S126" s="87"/>
      <c r="T126" s="87"/>
      <c r="U126" s="88">
        <f t="shared" si="8"/>
        <v>77.105384769694624</v>
      </c>
    </row>
    <row r="127" spans="1:21" x14ac:dyDescent="0.35">
      <c r="A127" s="30"/>
      <c r="B127" s="4"/>
      <c r="C127" s="4"/>
      <c r="D127" s="4"/>
      <c r="E127" s="4"/>
      <c r="F127" s="4"/>
      <c r="G127" s="4"/>
      <c r="H127" s="17"/>
      <c r="K127" s="9">
        <f>(J204+$B$4)*EXP(10*$K$22)</f>
        <v>0.57909073331121319</v>
      </c>
      <c r="L127" s="87"/>
      <c r="M127" s="87"/>
      <c r="N127" s="87"/>
      <c r="O127" s="87"/>
      <c r="P127" s="87"/>
      <c r="Q127" s="87"/>
      <c r="R127" s="87"/>
      <c r="S127" s="87"/>
      <c r="T127" s="87"/>
      <c r="U127" s="88">
        <f t="shared" si="8"/>
        <v>77.138447190326417</v>
      </c>
    </row>
    <row r="128" spans="1:21" x14ac:dyDescent="0.35">
      <c r="A128" s="30"/>
      <c r="B128" s="4"/>
      <c r="C128" s="4"/>
      <c r="D128" s="4"/>
      <c r="E128" s="4"/>
      <c r="F128" s="4"/>
      <c r="G128" s="38"/>
      <c r="H128" s="17"/>
      <c r="K128" s="8">
        <f>J204*EXP(10*K$22)</f>
        <v>0.57661596400872595</v>
      </c>
      <c r="L128" s="87"/>
      <c r="M128" s="87"/>
      <c r="N128" s="87"/>
      <c r="O128" s="87"/>
      <c r="P128" s="87"/>
      <c r="Q128" s="87"/>
      <c r="R128" s="87"/>
      <c r="S128" s="87"/>
      <c r="T128" s="87"/>
      <c r="U128" s="88">
        <f t="shared" si="8"/>
        <v>77.265958689930855</v>
      </c>
    </row>
    <row r="129" spans="1:21" x14ac:dyDescent="0.35">
      <c r="A129" s="30"/>
      <c r="B129" s="4"/>
      <c r="C129" s="4"/>
      <c r="D129" s="4"/>
      <c r="E129" s="4"/>
      <c r="F129" s="4"/>
      <c r="G129" s="38"/>
      <c r="H129" s="17"/>
      <c r="K129" s="9">
        <f>(J205+$B$4)*EXP(10*$K$22)</f>
        <v>0.59081422738045064</v>
      </c>
      <c r="L129" s="87"/>
      <c r="M129" s="87"/>
      <c r="N129" s="87"/>
      <c r="O129" s="87"/>
      <c r="P129" s="87"/>
      <c r="Q129" s="87"/>
      <c r="R129" s="87"/>
      <c r="S129" s="87"/>
      <c r="T129" s="87"/>
      <c r="U129" s="88">
        <f t="shared" si="8"/>
        <v>76.54038093871138</v>
      </c>
    </row>
    <row r="130" spans="1:21" x14ac:dyDescent="0.35">
      <c r="A130" s="30"/>
      <c r="B130" s="4"/>
      <c r="C130" s="4"/>
      <c r="D130" s="4"/>
      <c r="E130" s="4"/>
      <c r="F130" s="4"/>
      <c r="G130" s="38"/>
      <c r="H130" s="17"/>
      <c r="K130" s="8">
        <f>J205*EXP(10*K$22)</f>
        <v>0.58833945807796351</v>
      </c>
      <c r="L130" s="87"/>
      <c r="M130" s="87"/>
      <c r="N130" s="87"/>
      <c r="O130" s="87"/>
      <c r="P130" s="87"/>
      <c r="Q130" s="87"/>
      <c r="R130" s="87"/>
      <c r="S130" s="87"/>
      <c r="T130" s="87"/>
      <c r="U130" s="88">
        <f t="shared" si="8"/>
        <v>76.665813807341905</v>
      </c>
    </row>
    <row r="131" spans="1:21" x14ac:dyDescent="0.35">
      <c r="A131" s="30"/>
      <c r="B131" s="4"/>
      <c r="C131" s="4"/>
      <c r="D131" s="4"/>
      <c r="E131" s="4"/>
      <c r="F131" s="4"/>
      <c r="G131" s="38"/>
      <c r="H131" s="17"/>
      <c r="K131" s="9">
        <f>(J206+$B$4)*EXP(10*$K$22)</f>
        <v>0.58769636640920686</v>
      </c>
      <c r="L131" s="87"/>
      <c r="M131" s="87"/>
      <c r="N131" s="87"/>
      <c r="O131" s="87"/>
      <c r="P131" s="87"/>
      <c r="Q131" s="87"/>
      <c r="R131" s="87"/>
      <c r="S131" s="87"/>
      <c r="T131" s="87"/>
      <c r="U131" s="88">
        <f t="shared" si="8"/>
        <v>76.698479736417411</v>
      </c>
    </row>
    <row r="132" spans="1:21" x14ac:dyDescent="0.35">
      <c r="A132" s="30"/>
      <c r="B132" s="4"/>
      <c r="C132" s="4"/>
      <c r="D132" s="4"/>
      <c r="E132" s="4"/>
      <c r="F132" s="4"/>
      <c r="G132" s="38"/>
      <c r="H132" s="17"/>
      <c r="K132" s="8">
        <f>J206*EXP(10*K$22)</f>
        <v>0.58522159710671962</v>
      </c>
      <c r="L132" s="87"/>
      <c r="M132" s="87"/>
      <c r="N132" s="87"/>
      <c r="O132" s="87"/>
      <c r="P132" s="87"/>
      <c r="Q132" s="87"/>
      <c r="R132" s="87"/>
      <c r="S132" s="87"/>
      <c r="T132" s="87"/>
      <c r="U132" s="88">
        <f t="shared" si="8"/>
        <v>76.82446042725941</v>
      </c>
    </row>
    <row r="133" spans="1:21" x14ac:dyDescent="0.35">
      <c r="A133" s="30"/>
      <c r="B133" s="4"/>
      <c r="C133" s="4"/>
      <c r="D133" s="4"/>
      <c r="E133" s="4"/>
      <c r="F133" s="4"/>
      <c r="G133" s="38"/>
      <c r="H133" s="17"/>
      <c r="K133" s="9">
        <f>(J207+$B$4)*EXP(10*$K$22)</f>
        <v>0.58691746059254168</v>
      </c>
      <c r="L133" s="87"/>
      <c r="M133" s="87"/>
      <c r="N133" s="87"/>
      <c r="O133" s="87"/>
      <c r="P133" s="87"/>
      <c r="Q133" s="87"/>
      <c r="R133" s="87"/>
      <c r="S133" s="87"/>
      <c r="T133" s="87"/>
      <c r="U133" s="88">
        <f t="shared" si="8"/>
        <v>76.738083712735644</v>
      </c>
    </row>
    <row r="134" spans="1:21" x14ac:dyDescent="0.35">
      <c r="A134" s="30"/>
      <c r="B134" s="4"/>
      <c r="C134" s="4"/>
      <c r="D134" s="4"/>
      <c r="E134" s="4"/>
      <c r="F134" s="4"/>
      <c r="G134" s="38"/>
      <c r="H134" s="17"/>
      <c r="K134" s="8">
        <f>J207*EXP(10*K$22)</f>
        <v>0.58444269129005444</v>
      </c>
      <c r="L134" s="87"/>
      <c r="M134" s="87"/>
      <c r="N134" s="87"/>
      <c r="O134" s="87"/>
      <c r="P134" s="87"/>
      <c r="Q134" s="87"/>
      <c r="R134" s="87"/>
      <c r="S134" s="87"/>
      <c r="T134" s="87"/>
      <c r="U134" s="88">
        <f t="shared" si="8"/>
        <v>76.864201821116865</v>
      </c>
    </row>
    <row r="135" spans="1:21" x14ac:dyDescent="0.35">
      <c r="A135" s="30"/>
      <c r="B135" s="4"/>
      <c r="C135" s="4"/>
      <c r="D135" s="4"/>
      <c r="E135" s="4"/>
      <c r="F135" s="4"/>
      <c r="G135" s="38"/>
      <c r="H135" s="17"/>
      <c r="K135" s="9">
        <f>(J208+$B$4)*EXP(10*$K$22)</f>
        <v>0.5837995996212979</v>
      </c>
      <c r="L135" s="87"/>
      <c r="M135" s="87"/>
      <c r="N135" s="87"/>
      <c r="O135" s="87"/>
      <c r="P135" s="87"/>
      <c r="Q135" s="87"/>
      <c r="R135" s="87"/>
      <c r="S135" s="87"/>
      <c r="T135" s="87"/>
      <c r="U135" s="88">
        <f t="shared" si="8"/>
        <v>76.897046399254791</v>
      </c>
    </row>
    <row r="136" spans="1:21" x14ac:dyDescent="0.35">
      <c r="A136" s="30"/>
      <c r="B136" s="4"/>
      <c r="C136" s="4"/>
      <c r="D136" s="4"/>
      <c r="E136" s="4"/>
      <c r="F136" s="4"/>
      <c r="G136" s="38"/>
      <c r="H136" s="17"/>
      <c r="K136" s="8">
        <f>J208*EXP(10*K$22)</f>
        <v>0.58132483031881066</v>
      </c>
      <c r="L136" s="87"/>
      <c r="M136" s="87"/>
      <c r="N136" s="87"/>
      <c r="O136" s="87"/>
      <c r="P136" s="87"/>
      <c r="Q136" s="87"/>
      <c r="R136" s="87"/>
      <c r="S136" s="87"/>
      <c r="T136" s="87"/>
      <c r="U136" s="88">
        <f t="shared" si="8"/>
        <v>77.023716830034601</v>
      </c>
    </row>
    <row r="137" spans="1:21" x14ac:dyDescent="0.35">
      <c r="A137" s="30"/>
      <c r="B137" s="4"/>
      <c r="C137" s="4"/>
      <c r="D137" s="4"/>
      <c r="E137" s="4"/>
      <c r="F137" s="4"/>
      <c r="G137" s="38"/>
      <c r="H137" s="17"/>
      <c r="K137" s="9">
        <f>(J209+$B$4)*EXP(10*$K$22)</f>
        <v>0.59203194025499506</v>
      </c>
      <c r="L137" s="87"/>
      <c r="M137" s="87"/>
      <c r="N137" s="87"/>
      <c r="O137" s="87"/>
      <c r="P137" s="87"/>
      <c r="Q137" s="87"/>
      <c r="R137" s="87"/>
      <c r="S137" s="87"/>
      <c r="T137" s="87"/>
      <c r="U137" s="88">
        <f t="shared" si="8"/>
        <v>76.478820386512439</v>
      </c>
    </row>
    <row r="138" spans="1:21" x14ac:dyDescent="0.35">
      <c r="A138" s="30"/>
      <c r="B138" s="4"/>
      <c r="C138" s="4"/>
      <c r="D138" s="4"/>
      <c r="E138" s="4"/>
      <c r="F138" s="4"/>
      <c r="G138" s="38"/>
      <c r="H138" s="17"/>
      <c r="K138" s="8">
        <f>J209*EXP(10*K$22)</f>
        <v>0.58955717095250793</v>
      </c>
      <c r="L138" s="87"/>
      <c r="M138" s="87"/>
      <c r="N138" s="87"/>
      <c r="O138" s="87"/>
      <c r="P138" s="87"/>
      <c r="Q138" s="87"/>
      <c r="R138" s="87"/>
      <c r="S138" s="87"/>
      <c r="T138" s="87"/>
      <c r="U138" s="88">
        <f t="shared" si="8"/>
        <v>76.604040267432296</v>
      </c>
    </row>
    <row r="139" spans="1:21" x14ac:dyDescent="0.35">
      <c r="A139" s="30"/>
      <c r="B139" s="4"/>
      <c r="C139" s="4"/>
      <c r="D139" s="4"/>
      <c r="E139" s="4"/>
      <c r="F139" s="4"/>
      <c r="G139" s="38"/>
      <c r="H139" s="17"/>
      <c r="K139" s="9">
        <f>(J210+$B$4)*EXP(10*$K$22)</f>
        <v>0.58891407928375128</v>
      </c>
      <c r="L139" s="87"/>
      <c r="M139" s="87"/>
      <c r="N139" s="87"/>
      <c r="O139" s="87"/>
      <c r="P139" s="87"/>
      <c r="Q139" s="87"/>
      <c r="R139" s="87"/>
      <c r="S139" s="87"/>
      <c r="T139" s="87"/>
      <c r="U139" s="88">
        <f t="shared" si="8"/>
        <v>76.636650668741837</v>
      </c>
    </row>
    <row r="140" spans="1:21" x14ac:dyDescent="0.35">
      <c r="A140" s="30"/>
      <c r="B140" s="4"/>
      <c r="C140" s="4"/>
      <c r="D140" s="4"/>
      <c r="E140" s="4"/>
      <c r="F140" s="4"/>
      <c r="G140" s="38"/>
      <c r="H140" s="17"/>
      <c r="K140" s="8">
        <f>J210*EXP(10*K$22)</f>
        <v>0.58643930998126403</v>
      </c>
      <c r="L140" s="87"/>
      <c r="M140" s="87"/>
      <c r="N140" s="87"/>
      <c r="O140" s="87"/>
      <c r="P140" s="87"/>
      <c r="Q140" s="87"/>
      <c r="R140" s="87"/>
      <c r="S140" s="87"/>
      <c r="T140" s="87"/>
      <c r="U140" s="88">
        <f t="shared" si="8"/>
        <v>76.762416975625285</v>
      </c>
    </row>
    <row r="141" spans="1:21" x14ac:dyDescent="0.35">
      <c r="A141" s="30"/>
      <c r="B141" s="4"/>
      <c r="C141" s="4"/>
      <c r="D141" s="4"/>
      <c r="E141" s="4"/>
      <c r="F141" s="4"/>
      <c r="G141" s="38"/>
      <c r="H141" s="17"/>
      <c r="K141" s="9">
        <f>(J211+$B$4)*EXP(10*$K$22)</f>
        <v>0.58813517346708621</v>
      </c>
      <c r="L141" s="87"/>
      <c r="M141" s="87"/>
      <c r="N141" s="87"/>
      <c r="O141" s="87"/>
      <c r="P141" s="87"/>
      <c r="Q141" s="87"/>
      <c r="R141" s="87"/>
      <c r="S141" s="87"/>
      <c r="T141" s="87"/>
      <c r="U141" s="88">
        <f t="shared" si="8"/>
        <v>76.676187290102789</v>
      </c>
    </row>
    <row r="142" spans="1:21" x14ac:dyDescent="0.35">
      <c r="A142" s="30"/>
      <c r="B142" s="4"/>
      <c r="C142" s="4"/>
      <c r="D142" s="4"/>
      <c r="E142" s="4"/>
      <c r="F142" s="4"/>
      <c r="G142" s="38"/>
      <c r="H142" s="17"/>
      <c r="K142" s="8">
        <f>J211*EXP(10*K$22)</f>
        <v>0.58566040416459897</v>
      </c>
      <c r="L142" s="87"/>
      <c r="M142" s="87"/>
      <c r="N142" s="87"/>
      <c r="O142" s="87"/>
      <c r="P142" s="87"/>
      <c r="Q142" s="87"/>
      <c r="R142" s="87"/>
      <c r="S142" s="87"/>
      <c r="T142" s="87"/>
      <c r="U142" s="88">
        <f t="shared" si="8"/>
        <v>76.802090663809807</v>
      </c>
    </row>
    <row r="143" spans="1:21" x14ac:dyDescent="0.35">
      <c r="A143" s="30"/>
      <c r="B143" s="4"/>
      <c r="C143" s="4"/>
      <c r="D143" s="4"/>
      <c r="E143" s="4"/>
      <c r="F143" s="4"/>
      <c r="G143" s="4"/>
      <c r="H143" s="17"/>
      <c r="K143" s="9">
        <f>(J212+$B$4)*EXP(10*$K$22)</f>
        <v>0.58501731249584232</v>
      </c>
      <c r="L143" s="87"/>
      <c r="M143" s="87"/>
      <c r="N143" s="87"/>
      <c r="O143" s="87"/>
      <c r="P143" s="87"/>
      <c r="Q143" s="87"/>
      <c r="R143" s="87"/>
      <c r="S143" s="87"/>
      <c r="T143" s="87"/>
      <c r="U143" s="88">
        <f t="shared" si="8"/>
        <v>76.834879258234764</v>
      </c>
    </row>
    <row r="144" spans="1:21" x14ac:dyDescent="0.35">
      <c r="A144" s="30"/>
      <c r="B144" s="4"/>
      <c r="C144" s="4"/>
      <c r="D144" s="4"/>
      <c r="E144" s="4"/>
      <c r="F144" s="4"/>
      <c r="G144" s="38"/>
      <c r="H144" s="15"/>
      <c r="I144" s="16"/>
      <c r="J144" s="16"/>
      <c r="K144" s="8">
        <f>J212*EXP(10*K$22)</f>
        <v>0.58254254319335519</v>
      </c>
      <c r="L144" s="87"/>
      <c r="M144" s="87"/>
      <c r="N144" s="87"/>
      <c r="O144" s="87"/>
      <c r="P144" s="87"/>
      <c r="Q144" s="87"/>
      <c r="R144" s="87"/>
      <c r="S144" s="87"/>
      <c r="T144" s="87"/>
      <c r="U144" s="88">
        <f t="shared" si="8"/>
        <v>76.961333542785127</v>
      </c>
    </row>
    <row r="145" spans="1:21" x14ac:dyDescent="0.35">
      <c r="A145" s="30"/>
      <c r="B145" s="4"/>
      <c r="C145" s="4"/>
      <c r="D145" s="4"/>
      <c r="E145" s="4"/>
      <c r="F145" s="4"/>
      <c r="G145" s="4"/>
      <c r="I145" s="16"/>
      <c r="J145" s="16"/>
      <c r="K145" s="9">
        <f>(J213+$B$4)*EXP(10*$K$22)</f>
        <v>0.59674080656507966</v>
      </c>
      <c r="L145" s="87"/>
      <c r="M145" s="87"/>
      <c r="N145" s="87"/>
      <c r="O145" s="87"/>
      <c r="P145" s="87"/>
      <c r="Q145" s="87"/>
      <c r="R145" s="87"/>
      <c r="S145" s="87"/>
      <c r="T145" s="87"/>
      <c r="U145" s="88">
        <f t="shared" si="8"/>
        <v>76.241747231770674</v>
      </c>
    </row>
    <row r="146" spans="1:21" x14ac:dyDescent="0.35">
      <c r="A146" s="30"/>
      <c r="B146" s="4"/>
      <c r="C146" s="4"/>
      <c r="D146" s="4"/>
      <c r="E146" s="4"/>
      <c r="F146" s="38"/>
      <c r="G146" s="38"/>
      <c r="J146" s="16"/>
      <c r="K146" s="8">
        <f>J213*EXP(10*K$22)</f>
        <v>0.59426603726259242</v>
      </c>
      <c r="L146" s="87"/>
      <c r="M146" s="87"/>
      <c r="N146" s="87"/>
      <c r="O146" s="87"/>
      <c r="P146" s="87"/>
      <c r="Q146" s="87"/>
      <c r="R146" s="87"/>
      <c r="S146" s="87"/>
      <c r="T146" s="87"/>
      <c r="U146" s="88">
        <f t="shared" si="8"/>
        <v>76.366148578457228</v>
      </c>
    </row>
    <row r="147" spans="1:21" x14ac:dyDescent="0.35">
      <c r="A147" s="30"/>
      <c r="B147" s="4"/>
      <c r="C147" s="4"/>
      <c r="D147" s="4"/>
      <c r="E147" s="4"/>
      <c r="F147" s="4"/>
      <c r="G147" s="4"/>
      <c r="K147" s="9">
        <f>(J214+$B$4)*EXP(10*$K$22)</f>
        <v>0.59362294559383577</v>
      </c>
      <c r="L147" s="87"/>
      <c r="M147" s="87"/>
      <c r="N147" s="87"/>
      <c r="O147" s="87"/>
      <c r="P147" s="87"/>
      <c r="Q147" s="87"/>
      <c r="R147" s="87"/>
      <c r="S147" s="87"/>
      <c r="T147" s="87"/>
      <c r="U147" s="88">
        <f t="shared" si="8"/>
        <v>76.39854558214148</v>
      </c>
    </row>
    <row r="148" spans="1:21" x14ac:dyDescent="0.35">
      <c r="A148" s="30"/>
      <c r="B148" s="4"/>
      <c r="C148" s="4"/>
      <c r="D148" s="4"/>
      <c r="E148" s="4"/>
      <c r="F148" s="38"/>
      <c r="G148" s="38"/>
      <c r="K148" s="8">
        <f>J214*EXP(10*K$22)</f>
        <v>0.59114817629134864</v>
      </c>
      <c r="L148" s="87"/>
      <c r="M148" s="87"/>
      <c r="N148" s="87"/>
      <c r="O148" s="87"/>
      <c r="P148" s="87"/>
      <c r="Q148" s="87"/>
      <c r="R148" s="87"/>
      <c r="S148" s="87"/>
      <c r="T148" s="87"/>
      <c r="U148" s="88">
        <f t="shared" si="8"/>
        <v>76.523487999966875</v>
      </c>
    </row>
    <row r="149" spans="1:21" x14ac:dyDescent="0.35">
      <c r="A149" s="30"/>
      <c r="B149" s="4"/>
      <c r="C149" s="4"/>
      <c r="D149" s="4"/>
      <c r="E149" s="4"/>
      <c r="F149" s="4"/>
      <c r="G149" s="4"/>
      <c r="K149" s="9">
        <f>(J215+$B$4)*EXP(10*$K$22)</f>
        <v>0.59284403977717059</v>
      </c>
      <c r="L149" s="87"/>
      <c r="M149" s="87"/>
      <c r="N149" s="87"/>
      <c r="O149" s="87"/>
      <c r="P149" s="87"/>
      <c r="Q149" s="87"/>
      <c r="R149" s="87"/>
      <c r="S149" s="87"/>
      <c r="T149" s="87"/>
      <c r="U149" s="88">
        <f t="shared" si="8"/>
        <v>76.437823353835327</v>
      </c>
    </row>
    <row r="150" spans="1:21" x14ac:dyDescent="0.35">
      <c r="A150" s="30"/>
      <c r="B150" s="4"/>
      <c r="C150" s="4"/>
      <c r="D150" s="4"/>
      <c r="E150" s="38"/>
      <c r="F150" s="38"/>
      <c r="G150" s="38"/>
      <c r="K150" s="8">
        <f>J215*EXP(10*K$22)</f>
        <v>0.59036927047468346</v>
      </c>
      <c r="L150" s="87"/>
      <c r="M150" s="87"/>
      <c r="N150" s="87"/>
      <c r="O150" s="87"/>
      <c r="P150" s="87"/>
      <c r="Q150" s="87"/>
      <c r="R150" s="87"/>
      <c r="S150" s="87"/>
      <c r="T150" s="87"/>
      <c r="U150" s="88">
        <f t="shared" si="8"/>
        <v>76.56290149345098</v>
      </c>
    </row>
    <row r="151" spans="1:21" x14ac:dyDescent="0.35">
      <c r="A151" s="30"/>
      <c r="B151" s="4"/>
      <c r="C151" s="4"/>
      <c r="D151" s="38"/>
      <c r="E151" s="38"/>
      <c r="F151" s="38"/>
      <c r="G151" s="38"/>
      <c r="H151" s="17"/>
      <c r="J151" s="38"/>
      <c r="K151" s="9">
        <f>(J216+$B$4)*EXP(10*$K$22)</f>
        <v>0.58972617880592682</v>
      </c>
      <c r="L151" s="87"/>
      <c r="M151" s="87"/>
      <c r="N151" s="87"/>
      <c r="O151" s="87"/>
      <c r="P151" s="87"/>
      <c r="Q151" s="87"/>
      <c r="R151" s="87"/>
      <c r="S151" s="87"/>
      <c r="T151" s="87"/>
      <c r="U151" s="88">
        <f t="shared" si="8"/>
        <v>76.595474941643587</v>
      </c>
    </row>
    <row r="152" spans="1:21" x14ac:dyDescent="0.35">
      <c r="A152" s="30"/>
      <c r="B152" s="4"/>
      <c r="C152" s="4"/>
      <c r="D152" s="4"/>
      <c r="E152" s="4"/>
      <c r="F152" s="4"/>
      <c r="G152" s="4"/>
      <c r="H152" s="19"/>
      <c r="I152" s="16"/>
      <c r="J152" s="4"/>
      <c r="K152" s="8">
        <f>J216*EXP(10*K$22)</f>
        <v>0.58725140950343957</v>
      </c>
      <c r="L152" s="87"/>
      <c r="M152" s="87"/>
      <c r="N152" s="87"/>
      <c r="O152" s="87"/>
      <c r="P152" s="87"/>
      <c r="Q152" s="87"/>
      <c r="R152" s="87"/>
      <c r="S152" s="87"/>
      <c r="T152" s="87"/>
      <c r="U152" s="88">
        <f t="shared" si="8"/>
        <v>76.721098578693699</v>
      </c>
    </row>
    <row r="153" spans="1:21" x14ac:dyDescent="0.35">
      <c r="A153" s="30"/>
      <c r="B153" s="4"/>
      <c r="C153" s="4"/>
      <c r="D153" s="4"/>
      <c r="E153" s="4"/>
      <c r="F153" s="4"/>
      <c r="G153" s="4"/>
      <c r="H153" s="15"/>
      <c r="J153" s="9">
        <f>(I217+$B$4)*EXP(10*$J$22)</f>
        <v>0.39475600395519661</v>
      </c>
      <c r="K153" s="9">
        <f>(J217+$B$4)*EXP(10*$K$22)</f>
        <v>0.59034602380775092</v>
      </c>
      <c r="L153" s="87"/>
      <c r="M153" s="87"/>
      <c r="N153" s="87"/>
      <c r="O153" s="87"/>
      <c r="P153" s="87"/>
      <c r="Q153" s="87"/>
      <c r="R153" s="87"/>
      <c r="S153" s="87"/>
      <c r="T153" s="88">
        <f>MIN($B$8,AVERAGE(U25:U26)/(1+J153+$D$8/10000))+$B$7</f>
        <v>70.291922407162943</v>
      </c>
      <c r="U153" s="88">
        <f t="shared" ref="U153:U216" si="9">MIN($B$8,((100+$B$7)/(1+K153+$D$8/10000)))+$B$7</f>
        <v>76.564078458803479</v>
      </c>
    </row>
    <row r="154" spans="1:21" x14ac:dyDescent="0.35">
      <c r="A154" s="30"/>
      <c r="B154" s="4"/>
      <c r="C154" s="4"/>
      <c r="D154" s="4"/>
      <c r="E154" s="4"/>
      <c r="F154" s="4"/>
      <c r="G154" s="4"/>
      <c r="H154" s="17"/>
      <c r="I154" s="16"/>
      <c r="J154" s="8">
        <f>I217*EXP(10*J$22)</f>
        <v>0.39223628547629819</v>
      </c>
      <c r="K154" s="8">
        <f>J217*EXP(10*K$22)</f>
        <v>0.58787125450526379</v>
      </c>
      <c r="L154" s="87"/>
      <c r="M154" s="87"/>
      <c r="N154" s="87"/>
      <c r="O154" s="87"/>
      <c r="P154" s="87"/>
      <c r="Q154" s="87"/>
      <c r="R154" s="87"/>
      <c r="S154" s="87"/>
      <c r="T154" s="88">
        <f>MIN($B$8,AVERAGE(U27:U28)/(1+J154+$D$8/10000))+$B$7</f>
        <v>70.575354638302997</v>
      </c>
      <c r="U154" s="88">
        <f t="shared" si="9"/>
        <v>76.689593364638228</v>
      </c>
    </row>
    <row r="155" spans="1:21" x14ac:dyDescent="0.35">
      <c r="A155" s="30"/>
      <c r="B155" s="4"/>
      <c r="C155" s="4"/>
      <c r="D155" s="39"/>
      <c r="E155" s="4"/>
      <c r="F155" s="4"/>
      <c r="G155" s="4"/>
      <c r="H155" s="17"/>
      <c r="J155" s="9">
        <f>(I218+$B$4)*EXP(10*$J$22)</f>
        <v>0.39160680796024661</v>
      </c>
      <c r="K155" s="9">
        <f>(J218+$B$4)*EXP(10*$K$22)</f>
        <v>0.58722816283650714</v>
      </c>
      <c r="L155" s="87"/>
      <c r="M155" s="87"/>
      <c r="N155" s="87"/>
      <c r="O155" s="87"/>
      <c r="P155" s="87"/>
      <c r="Q155" s="87"/>
      <c r="R155" s="87"/>
      <c r="S155" s="87"/>
      <c r="T155" s="88">
        <f>MIN($B$8,AVERAGE(U29:U30)/(1+J155+$D$8/10000))+$B$7</f>
        <v>70.646451104935764</v>
      </c>
      <c r="U155" s="88">
        <f t="shared" si="9"/>
        <v>76.722280681574148</v>
      </c>
    </row>
    <row r="156" spans="1:21" x14ac:dyDescent="0.35">
      <c r="A156" s="30"/>
      <c r="B156" s="4"/>
      <c r="C156" s="4"/>
      <c r="D156" s="4"/>
      <c r="E156" s="4"/>
      <c r="F156" s="4"/>
      <c r="G156" s="4"/>
      <c r="H156" s="17"/>
      <c r="J156" s="8">
        <f>I218*EXP(10*J$22)</f>
        <v>0.38908708948134813</v>
      </c>
      <c r="K156" s="8">
        <f>J218*EXP(10*K$22)</f>
        <v>0.58475339353401989</v>
      </c>
      <c r="L156" s="87"/>
      <c r="M156" s="87"/>
      <c r="N156" s="87"/>
      <c r="O156" s="87"/>
      <c r="P156" s="87"/>
      <c r="Q156" s="87"/>
      <c r="R156" s="87"/>
      <c r="S156" s="87"/>
      <c r="T156" s="88">
        <f>MIN($B$8,AVERAGE(U31:U32)/(1+J156+$D$8/10000))+$B$7</f>
        <v>70.932206744289104</v>
      </c>
      <c r="U156" s="88">
        <f t="shared" si="9"/>
        <v>76.848343947735756</v>
      </c>
    </row>
    <row r="157" spans="1:21" x14ac:dyDescent="0.35">
      <c r="A157" s="30"/>
      <c r="B157" s="4"/>
      <c r="C157" s="4"/>
      <c r="D157" s="4"/>
      <c r="E157" s="4"/>
      <c r="F157" s="4"/>
      <c r="G157" s="4"/>
      <c r="H157" s="17"/>
      <c r="J157" s="9">
        <f>(I219+$B$4)*EXP(10*$J$22)</f>
        <v>0.46218054533366509</v>
      </c>
      <c r="K157" s="9">
        <f>(J219+$B$4)*EXP(10*$K$22)</f>
        <v>0.58644925701984196</v>
      </c>
      <c r="L157" s="87"/>
      <c r="M157" s="87"/>
      <c r="N157" s="87"/>
      <c r="O157" s="87"/>
      <c r="P157" s="87"/>
      <c r="Q157" s="87"/>
      <c r="R157" s="87"/>
      <c r="S157" s="87"/>
      <c r="T157" s="88">
        <f>MIN($B$8,AVERAGE(U33:U34)/(1+J157+$D$8/10000))+$B$7</f>
        <v>63.343490182188184</v>
      </c>
      <c r="U157" s="88">
        <f t="shared" si="9"/>
        <v>76.76191060130401</v>
      </c>
    </row>
    <row r="158" spans="1:21" x14ac:dyDescent="0.35">
      <c r="A158" s="30"/>
      <c r="B158" s="4"/>
      <c r="C158" s="4"/>
      <c r="D158" s="4"/>
      <c r="E158" s="4"/>
      <c r="F158" s="4"/>
      <c r="G158" s="4"/>
      <c r="H158" s="15"/>
      <c r="I158" s="16"/>
      <c r="J158" s="8">
        <f>I219*EXP(10*J$22)</f>
        <v>0.45966082685476661</v>
      </c>
      <c r="K158" s="8">
        <f>J219*EXP(10*K$22)</f>
        <v>0.58397448771735472</v>
      </c>
      <c r="L158" s="87"/>
      <c r="M158" s="87"/>
      <c r="N158" s="87"/>
      <c r="O158" s="87"/>
      <c r="P158" s="87"/>
      <c r="Q158" s="87"/>
      <c r="R158" s="87"/>
      <c r="S158" s="87"/>
      <c r="T158" s="88">
        <f>MIN($B$8,AVERAGE(U35:U36)/(1+J158+$D$8/10000))+$B$7</f>
        <v>63.582720992083054</v>
      </c>
      <c r="U158" s="88">
        <f t="shared" si="9"/>
        <v>76.888111420171441</v>
      </c>
    </row>
    <row r="159" spans="1:21" x14ac:dyDescent="0.35">
      <c r="A159" s="30"/>
      <c r="B159" s="4"/>
      <c r="C159" s="4"/>
      <c r="D159" s="4"/>
      <c r="E159" s="4"/>
      <c r="F159" s="4"/>
      <c r="G159" s="4"/>
      <c r="I159" s="16"/>
      <c r="J159" s="9">
        <f>(I220+$B$4)*EXP(10*$J$22)</f>
        <v>0.45903134933871503</v>
      </c>
      <c r="K159" s="9">
        <f>(J220+$B$4)*EXP(10*$K$22)</f>
        <v>0.58333139604859807</v>
      </c>
      <c r="L159" s="87"/>
      <c r="M159" s="87"/>
      <c r="N159" s="87"/>
      <c r="O159" s="87"/>
      <c r="P159" s="87"/>
      <c r="Q159" s="87"/>
      <c r="R159" s="87"/>
      <c r="S159" s="87"/>
      <c r="T159" s="88">
        <f>MIN($B$8,AVERAGE(U37:U38)/(1+J159+$D$8/10000))+$B$7</f>
        <v>63.642716160505927</v>
      </c>
      <c r="U159" s="88">
        <f t="shared" si="9"/>
        <v>76.920977561892784</v>
      </c>
    </row>
    <row r="160" spans="1:21" x14ac:dyDescent="0.35">
      <c r="A160" s="30"/>
      <c r="B160" s="4"/>
      <c r="C160" s="4"/>
      <c r="D160" s="4"/>
      <c r="E160" s="4"/>
      <c r="F160" s="4"/>
      <c r="G160" s="4"/>
      <c r="J160" s="8">
        <f>I220*EXP(10*J$22)</f>
        <v>0.45651163085981661</v>
      </c>
      <c r="K160" s="8">
        <f>J220*EXP(10*K$22)</f>
        <v>0.58085662674611083</v>
      </c>
      <c r="L160" s="87"/>
      <c r="M160" s="87"/>
      <c r="N160" s="87"/>
      <c r="O160" s="87"/>
      <c r="P160" s="87"/>
      <c r="Q160" s="87"/>
      <c r="R160" s="87"/>
      <c r="S160" s="87"/>
      <c r="T160" s="88">
        <f>MIN($B$8,AVERAGE(U39:U40)/(1+J160+$D$8/10000))+$B$7</f>
        <v>63.883797153183586</v>
      </c>
      <c r="U160" s="88">
        <f t="shared" si="9"/>
        <v>77.047731247177154</v>
      </c>
    </row>
    <row r="161" spans="1:21" x14ac:dyDescent="0.35">
      <c r="A161" s="30"/>
      <c r="B161" s="4"/>
      <c r="C161" s="4"/>
      <c r="D161" s="4"/>
      <c r="E161" s="4"/>
      <c r="F161" s="4"/>
      <c r="G161" s="4"/>
      <c r="J161" s="9">
        <f>(I221+$B$4)*EXP(10*$J$22)</f>
        <v>0.46316464746659569</v>
      </c>
      <c r="K161" s="9">
        <f>(J221+$B$4)*EXP(10*$K$22)</f>
        <v>0.59505489011783541</v>
      </c>
      <c r="L161" s="87"/>
      <c r="M161" s="87"/>
      <c r="N161" s="87"/>
      <c r="O161" s="87"/>
      <c r="P161" s="87"/>
      <c r="Q161" s="87"/>
      <c r="R161" s="87"/>
      <c r="S161" s="87"/>
      <c r="T161" s="88">
        <f>MIN($B$8,AVERAGE(U41:U42)/(1+J161+$D$8/10000))+$B$7</f>
        <v>63.250455051107373</v>
      </c>
      <c r="U161" s="88">
        <f t="shared" si="9"/>
        <v>76.32644814394817</v>
      </c>
    </row>
    <row r="162" spans="1:21" x14ac:dyDescent="0.35">
      <c r="A162" s="30"/>
      <c r="B162" s="4"/>
      <c r="C162" s="4"/>
      <c r="D162" s="4"/>
      <c r="E162" s="4"/>
      <c r="F162" s="4"/>
      <c r="G162" s="4"/>
      <c r="J162" s="8">
        <f>I221*EXP(10*J$22)</f>
        <v>0.46064492898769727</v>
      </c>
      <c r="K162" s="8">
        <f>J221*EXP(10*K$22)</f>
        <v>0.59258012081534828</v>
      </c>
      <c r="L162" s="87"/>
      <c r="M162" s="87"/>
      <c r="N162" s="87"/>
      <c r="O162" s="87"/>
      <c r="P162" s="87"/>
      <c r="Q162" s="87"/>
      <c r="R162" s="87"/>
      <c r="S162" s="87"/>
      <c r="T162" s="88">
        <f>MIN($B$8,AVERAGE(U43:U44)/(1+J162+$D$8/10000))+$B$7</f>
        <v>63.489111599351155</v>
      </c>
      <c r="U162" s="88">
        <f t="shared" si="9"/>
        <v>76.451141625824718</v>
      </c>
    </row>
    <row r="163" spans="1:21" x14ac:dyDescent="0.35">
      <c r="A163" s="30"/>
      <c r="B163" s="4"/>
      <c r="C163" s="4"/>
      <c r="D163" s="4"/>
      <c r="E163" s="4"/>
      <c r="F163" s="4"/>
      <c r="G163" s="4"/>
      <c r="J163" s="9">
        <f>(I222+$B$4)*EXP(10*$J$22)</f>
        <v>0.46001545147164569</v>
      </c>
      <c r="K163" s="9">
        <f>(J222+$B$4)*EXP(10*$K$22)</f>
        <v>0.59193702914659163</v>
      </c>
      <c r="L163" s="87"/>
      <c r="M163" s="87"/>
      <c r="N163" s="87"/>
      <c r="O163" s="87"/>
      <c r="P163" s="87"/>
      <c r="Q163" s="87"/>
      <c r="R163" s="87"/>
      <c r="S163" s="87"/>
      <c r="T163" s="88">
        <f>MIN($B$8,AVERAGE(U45:U46)/(1+J163+$D$8/10000))+$B$7</f>
        <v>63.548962563381991</v>
      </c>
      <c r="U163" s="88">
        <f t="shared" si="9"/>
        <v>76.48361479094379</v>
      </c>
    </row>
    <row r="164" spans="1:21" x14ac:dyDescent="0.35">
      <c r="A164" s="30"/>
      <c r="B164" s="4"/>
      <c r="C164" s="4"/>
      <c r="D164" s="4"/>
      <c r="E164" s="4"/>
      <c r="F164" s="4"/>
      <c r="G164" s="4"/>
      <c r="J164" s="8">
        <f>I222*EXP(10*J$22)</f>
        <v>0.45749573299274721</v>
      </c>
      <c r="K164" s="8">
        <f>J222*EXP(10*K$22)</f>
        <v>0.5894622598441045</v>
      </c>
      <c r="L164" s="87"/>
      <c r="M164" s="87"/>
      <c r="N164" s="87"/>
      <c r="O164" s="87"/>
      <c r="P164" s="87"/>
      <c r="Q164" s="87"/>
      <c r="R164" s="87"/>
      <c r="S164" s="87"/>
      <c r="T164" s="88">
        <f>MIN($B$8,AVERAGE(U47:U48)/(1+J164+$D$8/10000))+$B$7</f>
        <v>63.789463330827495</v>
      </c>
      <c r="U164" s="88">
        <f t="shared" si="9"/>
        <v>76.60885125307405</v>
      </c>
    </row>
    <row r="165" spans="1:21" x14ac:dyDescent="0.35">
      <c r="A165" s="30"/>
      <c r="B165" s="4"/>
      <c r="C165" s="4"/>
      <c r="D165" s="4"/>
      <c r="E165" s="4"/>
      <c r="F165" s="4"/>
      <c r="G165" s="4"/>
      <c r="H165" s="17"/>
      <c r="J165" s="9">
        <f>(I223+$B$4)*EXP(10*$J$22)</f>
        <v>0.46697014667442249</v>
      </c>
      <c r="K165" s="9">
        <f>(J223+$B$4)*EXP(10*$K$22)</f>
        <v>0.59115812332992645</v>
      </c>
      <c r="L165" s="87"/>
      <c r="M165" s="87"/>
      <c r="N165" s="87"/>
      <c r="O165" s="87"/>
      <c r="P165" s="87"/>
      <c r="Q165" s="87"/>
      <c r="R165" s="87"/>
      <c r="S165" s="87"/>
      <c r="T165" s="88">
        <f>MIN($B$8,AVERAGE(U49:U50)/(1+J165+$D$8/10000))+$B$7</f>
        <v>62.892782499689332</v>
      </c>
      <c r="U165" s="88">
        <f t="shared" si="9"/>
        <v>76.522984945723238</v>
      </c>
    </row>
    <row r="166" spans="1:21" x14ac:dyDescent="0.35">
      <c r="A166" s="30"/>
      <c r="B166" s="4"/>
      <c r="C166" s="4"/>
      <c r="D166" s="4"/>
      <c r="E166" s="4"/>
      <c r="F166" s="4"/>
      <c r="G166" s="4"/>
      <c r="H166" s="17"/>
      <c r="J166" s="8">
        <f>I223*EXP(10*J$22)</f>
        <v>0.46445042819552401</v>
      </c>
      <c r="K166" s="8">
        <f>J223*EXP(10*K$22)</f>
        <v>0.58868335402743932</v>
      </c>
      <c r="L166" s="87"/>
      <c r="M166" s="87"/>
      <c r="N166" s="87"/>
      <c r="O166" s="87"/>
      <c r="P166" s="87"/>
      <c r="Q166" s="87"/>
      <c r="R166" s="87"/>
      <c r="S166" s="87"/>
      <c r="T166" s="88">
        <f>MIN($B$8,AVERAGE(U51:U52)/(1+J166+$D$8/10000))+$B$7</f>
        <v>63.129235713357744</v>
      </c>
      <c r="U166" s="88">
        <f t="shared" si="9"/>
        <v>76.648357609175477</v>
      </c>
    </row>
    <row r="167" spans="1:21" x14ac:dyDescent="0.35">
      <c r="A167" s="30"/>
      <c r="B167" s="4"/>
      <c r="C167" s="4"/>
      <c r="D167" s="4"/>
      <c r="E167" s="4"/>
      <c r="F167" s="4"/>
      <c r="G167" s="4"/>
      <c r="H167" s="17"/>
      <c r="J167" s="9">
        <f>(I224+$B$4)*EXP(10*$J$22)</f>
        <v>0.46382095067947243</v>
      </c>
      <c r="K167" s="9">
        <f>(J224+$B$4)*EXP(10*$K$22)</f>
        <v>0.58804026235868267</v>
      </c>
      <c r="L167" s="87"/>
      <c r="M167" s="87"/>
      <c r="N167" s="87"/>
      <c r="O167" s="87"/>
      <c r="P167" s="87"/>
      <c r="Q167" s="87"/>
      <c r="R167" s="87"/>
      <c r="S167" s="87"/>
      <c r="T167" s="88">
        <f>MIN($B$8,AVERAGE(U53:U54)/(1+J167+$D$8/10000))+$B$7</f>
        <v>63.188533397770478</v>
      </c>
      <c r="U167" s="88">
        <f t="shared" si="9"/>
        <v>76.681007842216857</v>
      </c>
    </row>
    <row r="168" spans="1:21" x14ac:dyDescent="0.35">
      <c r="A168" s="30"/>
      <c r="B168" s="4"/>
      <c r="C168" s="4"/>
      <c r="D168" s="4"/>
      <c r="E168" s="4"/>
      <c r="F168" s="4"/>
      <c r="G168" s="4"/>
      <c r="H168" s="17"/>
      <c r="J168" s="8">
        <f>I224*EXP(10*J$22)</f>
        <v>0.46130123220057401</v>
      </c>
      <c r="K168" s="8">
        <f>J224*EXP(10*K$22)</f>
        <v>0.58556549305619543</v>
      </c>
      <c r="L168" s="87"/>
      <c r="M168" s="87"/>
      <c r="N168" s="87"/>
      <c r="O168" s="87"/>
      <c r="P168" s="87"/>
      <c r="Q168" s="87"/>
      <c r="R168" s="87"/>
      <c r="S168" s="87"/>
      <c r="T168" s="88">
        <f>MIN($B$8,AVERAGE(U55:U56)/(1+J168+$D$8/10000))+$B$7</f>
        <v>63.426807995240019</v>
      </c>
      <c r="U168" s="88">
        <f t="shared" si="9"/>
        <v>76.80692793308279</v>
      </c>
    </row>
    <row r="169" spans="1:21" x14ac:dyDescent="0.35">
      <c r="A169" s="30"/>
      <c r="B169" s="4"/>
      <c r="C169" s="4"/>
      <c r="D169" s="4"/>
      <c r="E169" s="4"/>
      <c r="F169" s="4"/>
      <c r="G169" s="4"/>
      <c r="H169" s="17"/>
      <c r="J169" s="9">
        <f>(I225+$B$4)*EXP(10*$J$22)</f>
        <v>0.4642426548622815</v>
      </c>
      <c r="K169" s="9">
        <f>(J225+$B$4)*EXP(10*$K$22)</f>
        <v>0.59627260299237994</v>
      </c>
      <c r="L169" s="87"/>
      <c r="M169" s="87"/>
      <c r="N169" s="87"/>
      <c r="O169" s="87"/>
      <c r="P169" s="87"/>
      <c r="Q169" s="87"/>
      <c r="R169" s="87"/>
      <c r="S169" s="87"/>
      <c r="T169" s="88">
        <f>MIN($B$8,AVERAGE(U57:U58)/(1+J169+$D$8/10000))+$B$7</f>
        <v>63.148798204649403</v>
      </c>
      <c r="U169" s="88">
        <f t="shared" si="9"/>
        <v>76.265250006326625</v>
      </c>
    </row>
    <row r="170" spans="1:21" x14ac:dyDescent="0.35">
      <c r="A170" s="30"/>
      <c r="B170" s="4"/>
      <c r="C170" s="4"/>
      <c r="D170" s="4"/>
      <c r="E170" s="4"/>
      <c r="F170" s="4"/>
      <c r="G170" s="4"/>
      <c r="H170" s="17"/>
      <c r="J170" s="8">
        <f>I225*EXP(10*J$22)</f>
        <v>0.46172293638338302</v>
      </c>
      <c r="K170" s="8">
        <f>J225*EXP(10*K$22)</f>
        <v>0.5937978336898927</v>
      </c>
      <c r="L170" s="87"/>
      <c r="M170" s="87"/>
      <c r="N170" s="87"/>
      <c r="O170" s="87"/>
      <c r="P170" s="87"/>
      <c r="Q170" s="87"/>
      <c r="R170" s="87"/>
      <c r="S170" s="87"/>
      <c r="T170" s="88">
        <f>MIN($B$8,AVERAGE(U59:U60)/(1+J170+$D$8/10000))+$B$7</f>
        <v>63.386827814310593</v>
      </c>
      <c r="U170" s="88">
        <f t="shared" si="9"/>
        <v>76.38973238016311</v>
      </c>
    </row>
    <row r="171" spans="1:21" x14ac:dyDescent="0.35">
      <c r="A171" s="30"/>
      <c r="B171" s="4"/>
      <c r="C171" s="4"/>
      <c r="D171" s="4"/>
      <c r="E171" s="4"/>
      <c r="F171" s="4"/>
      <c r="G171" s="4"/>
      <c r="H171" s="17"/>
      <c r="J171" s="9">
        <f>(I226+$B$4)*EXP(10*$J$22)</f>
        <v>0.46109345886733155</v>
      </c>
      <c r="K171" s="9">
        <f>(J226+$B$4)*EXP(10*$K$22)</f>
        <v>0.59315474202113605</v>
      </c>
      <c r="L171" s="87"/>
      <c r="M171" s="87"/>
      <c r="N171" s="87"/>
      <c r="O171" s="87"/>
      <c r="P171" s="87"/>
      <c r="Q171" s="87"/>
      <c r="R171" s="87"/>
      <c r="S171" s="87"/>
      <c r="T171" s="88">
        <f>MIN($B$8,AVERAGE(U61:U62)/(1+J171+$D$8/10000))+$B$7</f>
        <v>63.446521346799678</v>
      </c>
      <c r="U171" s="88">
        <f t="shared" si="9"/>
        <v>76.422150508092898</v>
      </c>
    </row>
    <row r="172" spans="1:21" x14ac:dyDescent="0.35">
      <c r="A172" s="30"/>
      <c r="B172" s="4"/>
      <c r="C172" s="4"/>
      <c r="D172" s="4"/>
      <c r="E172" s="4"/>
      <c r="F172" s="4"/>
      <c r="G172" s="4"/>
      <c r="H172" s="17"/>
      <c r="J172" s="8">
        <f>I226*EXP(10*J$22)</f>
        <v>0.45857374038843307</v>
      </c>
      <c r="K172" s="8">
        <f>J226*EXP(10*K$22)</f>
        <v>0.59067997271864892</v>
      </c>
      <c r="L172" s="87"/>
      <c r="M172" s="87"/>
      <c r="N172" s="87"/>
      <c r="O172" s="87"/>
      <c r="P172" s="87"/>
      <c r="Q172" s="87"/>
      <c r="R172" s="87"/>
      <c r="S172" s="87"/>
      <c r="T172" s="88">
        <f>MIN($B$8,AVERAGE(U63:U64)/(1+J172+$D$8/10000))+$B$7</f>
        <v>63.686388670664066</v>
      </c>
      <c r="U172" s="88">
        <f t="shared" si="9"/>
        <v>76.547174482358443</v>
      </c>
    </row>
    <row r="173" spans="1:21" x14ac:dyDescent="0.35">
      <c r="A173" s="30"/>
      <c r="B173" s="4"/>
      <c r="C173" s="4"/>
      <c r="D173" s="4"/>
      <c r="E173" s="4"/>
      <c r="F173" s="4"/>
      <c r="G173" s="4"/>
      <c r="H173" s="17"/>
      <c r="J173" s="9">
        <f>(I227+$B$4)*EXP(10*$J$22)</f>
        <v>0.4680481540701083</v>
      </c>
      <c r="K173" s="9">
        <f>(J227+$B$4)*EXP(10*$K$22)</f>
        <v>0.59237583620447087</v>
      </c>
      <c r="L173" s="87"/>
      <c r="M173" s="87"/>
      <c r="N173" s="87"/>
      <c r="O173" s="87"/>
      <c r="P173" s="87"/>
      <c r="Q173" s="87"/>
      <c r="R173" s="87"/>
      <c r="S173" s="87"/>
      <c r="T173" s="88">
        <f>MIN($B$8,AVERAGE(U65:U66)/(1+J173+$D$8/10000))+$B$7</f>
        <v>62.792062775698305</v>
      </c>
      <c r="U173" s="88">
        <f t="shared" si="9"/>
        <v>76.461453903276634</v>
      </c>
    </row>
    <row r="174" spans="1:21" x14ac:dyDescent="0.35">
      <c r="A174" s="30"/>
      <c r="B174" s="4"/>
      <c r="C174" s="4"/>
      <c r="D174" s="4"/>
      <c r="E174" s="4"/>
      <c r="F174" s="4"/>
      <c r="G174" s="4"/>
      <c r="H174" s="17"/>
      <c r="J174" s="8">
        <f>I227*EXP(10*J$22)</f>
        <v>0.46552843559120982</v>
      </c>
      <c r="K174" s="8">
        <f>J227*EXP(10*K$22)</f>
        <v>0.58990106690198374</v>
      </c>
      <c r="L174" s="87"/>
      <c r="M174" s="87"/>
      <c r="N174" s="87"/>
      <c r="O174" s="87"/>
      <c r="P174" s="87"/>
      <c r="Q174" s="87"/>
      <c r="R174" s="87"/>
      <c r="S174" s="87"/>
      <c r="T174" s="88">
        <f>MIN($B$8,AVERAGE(U67:U68)/(1+J174+$D$8/10000))+$B$7</f>
        <v>63.027896800068369</v>
      </c>
      <c r="U174" s="88">
        <f t="shared" si="9"/>
        <v>76.586613732279304</v>
      </c>
    </row>
    <row r="175" spans="1:21" x14ac:dyDescent="0.35">
      <c r="A175" s="30"/>
      <c r="B175" s="4"/>
      <c r="C175" s="4"/>
      <c r="D175" s="4"/>
      <c r="E175" s="4"/>
      <c r="F175" s="4"/>
      <c r="G175" s="4"/>
      <c r="H175" s="17"/>
      <c r="J175" s="9">
        <f>(I228+$B$4)*EXP(10*$J$22)</f>
        <v>0.46489895807515824</v>
      </c>
      <c r="K175" s="9">
        <f>(J228+$B$4)*EXP(10*$K$22)</f>
        <v>0.58925797523322709</v>
      </c>
      <c r="L175" s="87"/>
      <c r="M175" s="87"/>
      <c r="N175" s="87"/>
      <c r="O175" s="87"/>
      <c r="P175" s="87"/>
      <c r="Q175" s="87"/>
      <c r="R175" s="87"/>
      <c r="S175" s="87"/>
      <c r="T175" s="88">
        <f>MIN($B$8,AVERAGE(U69:U70)/(1+J175+$D$8/10000))+$B$7</f>
        <v>63.08703900140388</v>
      </c>
      <c r="U175" s="88">
        <f t="shared" si="9"/>
        <v>76.619208477554693</v>
      </c>
    </row>
    <row r="176" spans="1:21" x14ac:dyDescent="0.35">
      <c r="A176" s="30"/>
      <c r="B176" s="4"/>
      <c r="C176" s="4"/>
      <c r="D176" s="4"/>
      <c r="E176" s="4"/>
      <c r="F176" s="4"/>
      <c r="G176" s="4"/>
      <c r="H176" s="17"/>
      <c r="J176" s="8">
        <f>I228*EXP(10*J$22)</f>
        <v>0.46237923959625982</v>
      </c>
      <c r="K176" s="8">
        <f>J228*EXP(10*K$22)</f>
        <v>0.58678320593073985</v>
      </c>
      <c r="L176" s="87"/>
      <c r="M176" s="87"/>
      <c r="N176" s="87"/>
      <c r="O176" s="87"/>
      <c r="P176" s="87"/>
      <c r="Q176" s="87"/>
      <c r="R176" s="87"/>
      <c r="S176" s="87"/>
      <c r="T176" s="88">
        <f>MIN($B$8,AVERAGE(U71:U72)/(1+J176+$D$8/10000))+$B$7</f>
        <v>63.324688005389746</v>
      </c>
      <c r="U176" s="88">
        <f t="shared" si="9"/>
        <v>76.744914339064067</v>
      </c>
    </row>
    <row r="177" spans="1:21" x14ac:dyDescent="0.35">
      <c r="A177" s="30"/>
      <c r="B177" s="4"/>
      <c r="C177" s="4"/>
      <c r="D177" s="4"/>
      <c r="E177" s="4"/>
      <c r="F177" s="4"/>
      <c r="G177" s="4"/>
      <c r="H177" s="17"/>
      <c r="J177" s="9">
        <f>(I229+$B$4)*EXP(10*$J$22)</f>
        <v>0.4690322562030389</v>
      </c>
      <c r="K177" s="9">
        <f>(J229+$B$4)*EXP(10*$K$22)</f>
        <v>0.60098146930246432</v>
      </c>
      <c r="L177" s="87"/>
      <c r="M177" s="87"/>
      <c r="N177" s="87"/>
      <c r="O177" s="87"/>
      <c r="P177" s="87"/>
      <c r="Q177" s="87"/>
      <c r="R177" s="87"/>
      <c r="S177" s="87"/>
      <c r="T177" s="88">
        <f>MIN($B$8,AVERAGE(U73:U74)/(1+J177+$D$8/10000))+$B$7</f>
        <v>62.700346718349792</v>
      </c>
      <c r="U177" s="88">
        <f t="shared" si="9"/>
        <v>76.029569669131675</v>
      </c>
    </row>
    <row r="178" spans="1:21" x14ac:dyDescent="0.35">
      <c r="A178" s="30"/>
      <c r="B178" s="4"/>
      <c r="C178" s="4"/>
      <c r="D178" s="4"/>
      <c r="E178" s="4"/>
      <c r="F178" s="4"/>
      <c r="G178" s="4"/>
      <c r="H178" s="17"/>
      <c r="J178" s="8">
        <f>I229*EXP(10*J$22)</f>
        <v>0.46651253772414042</v>
      </c>
      <c r="K178" s="8">
        <f>J229*EXP(10*K$22)</f>
        <v>0.59850669999997719</v>
      </c>
      <c r="L178" s="87"/>
      <c r="M178" s="87"/>
      <c r="N178" s="87"/>
      <c r="O178" s="87"/>
      <c r="P178" s="87"/>
      <c r="Q178" s="87"/>
      <c r="R178" s="87"/>
      <c r="S178" s="87"/>
      <c r="T178" s="88">
        <f>MIN($B$8,AVERAGE(U75:U76)/(1+J178+$D$8/10000))+$B$7</f>
        <v>62.935617388858489</v>
      </c>
      <c r="U178" s="88">
        <f t="shared" si="9"/>
        <v>76.153240717712208</v>
      </c>
    </row>
    <row r="179" spans="1:21" x14ac:dyDescent="0.35">
      <c r="A179" s="30"/>
      <c r="B179" s="4"/>
      <c r="C179" s="4"/>
      <c r="D179" s="4"/>
      <c r="E179" s="4"/>
      <c r="F179" s="4"/>
      <c r="G179" s="4"/>
      <c r="H179" s="17"/>
      <c r="J179" s="9">
        <f>(I230+$B$4)*EXP(10*$J$22)</f>
        <v>0.46588306020808884</v>
      </c>
      <c r="K179" s="9">
        <f>(J230+$B$4)*EXP(10*$K$22)</f>
        <v>0.59786360833122054</v>
      </c>
      <c r="L179" s="87"/>
      <c r="M179" s="87"/>
      <c r="N179" s="87"/>
      <c r="O179" s="87"/>
      <c r="P179" s="87"/>
      <c r="Q179" s="87"/>
      <c r="R179" s="87"/>
      <c r="S179" s="87"/>
      <c r="T179" s="88">
        <f>MIN($B$8,AVERAGE(U77:U78)/(1+J179+$D$8/10000))+$B$7</f>
        <v>62.994618128434894</v>
      </c>
      <c r="U179" s="88">
        <f t="shared" si="9"/>
        <v>76.185447329476531</v>
      </c>
    </row>
    <row r="180" spans="1:21" x14ac:dyDescent="0.35">
      <c r="A180" s="30"/>
      <c r="B180" s="4"/>
      <c r="C180" s="4"/>
      <c r="D180" s="4"/>
      <c r="E180" s="4"/>
      <c r="F180" s="4"/>
      <c r="G180" s="4"/>
      <c r="H180" s="17"/>
      <c r="J180" s="8">
        <f>I230*EXP(10*J$22)</f>
        <v>0.46336334172919041</v>
      </c>
      <c r="K180" s="8">
        <f>J230*EXP(10*K$22)</f>
        <v>0.5953888390287333</v>
      </c>
      <c r="L180" s="87"/>
      <c r="M180" s="87"/>
      <c r="N180" s="87"/>
      <c r="O180" s="87"/>
      <c r="P180" s="87"/>
      <c r="Q180" s="87"/>
      <c r="R180" s="87"/>
      <c r="S180" s="87"/>
      <c r="T180" s="88">
        <f>MIN($B$8,AVERAGE(U79:U80)/(1+J180+$D$8/10000))+$B$7</f>
        <v>63.231697956882627</v>
      </c>
      <c r="U180" s="88">
        <f t="shared" si="9"/>
        <v>76.309654686518002</v>
      </c>
    </row>
    <row r="181" spans="1:21" x14ac:dyDescent="0.35">
      <c r="A181" s="30"/>
      <c r="B181" s="4"/>
      <c r="C181" s="4"/>
      <c r="D181" s="4"/>
      <c r="E181" s="4"/>
      <c r="F181" s="4"/>
      <c r="G181" s="4"/>
      <c r="H181" s="17"/>
      <c r="J181" s="9">
        <f>(I231+$B$4)*EXP(10*$J$22)</f>
        <v>0.47283775541086576</v>
      </c>
      <c r="K181" s="9">
        <f>(J231+$B$4)*EXP(10*$K$22)</f>
        <v>0.59708470251455537</v>
      </c>
      <c r="L181" s="87"/>
      <c r="M181" s="87"/>
      <c r="N181" s="87"/>
      <c r="O181" s="87"/>
      <c r="P181" s="87"/>
      <c r="Q181" s="87"/>
      <c r="R181" s="87"/>
      <c r="S181" s="87"/>
      <c r="T181" s="88">
        <f>MIN($B$8,AVERAGE(U81:U82)/(1+J181+$D$8/10000))+$B$7</f>
        <v>62.347735343525102</v>
      </c>
      <c r="U181" s="88">
        <f t="shared" si="9"/>
        <v>76.224494158314499</v>
      </c>
    </row>
    <row r="182" spans="1:21" x14ac:dyDescent="0.35">
      <c r="A182" s="30"/>
      <c r="B182" s="4"/>
      <c r="C182" s="4"/>
      <c r="D182" s="4"/>
      <c r="E182" s="4"/>
      <c r="F182" s="4"/>
      <c r="G182" s="4"/>
      <c r="H182" s="17"/>
      <c r="J182" s="8">
        <f>I231*EXP(10*J$22)</f>
        <v>0.47031803693196728</v>
      </c>
      <c r="K182" s="8">
        <f>J231*EXP(10*K$22)</f>
        <v>0.59460993321206812</v>
      </c>
      <c r="L182" s="87"/>
      <c r="M182" s="87"/>
      <c r="N182" s="87"/>
      <c r="O182" s="87"/>
      <c r="P182" s="87"/>
      <c r="Q182" s="87"/>
      <c r="R182" s="87"/>
      <c r="S182" s="87"/>
      <c r="T182" s="88">
        <f>MIN($B$8,AVERAGE(U83:U84)/(1+J182+$D$8/10000))+$B$7</f>
        <v>62.580844448470152</v>
      </c>
      <c r="U182" s="88">
        <f t="shared" si="9"/>
        <v>76.348836040869529</v>
      </c>
    </row>
    <row r="183" spans="1:21" x14ac:dyDescent="0.35">
      <c r="A183" s="30"/>
      <c r="B183" s="4"/>
      <c r="C183" s="4"/>
      <c r="D183" s="4"/>
      <c r="E183" s="4"/>
      <c r="F183" s="4"/>
      <c r="G183" s="4"/>
      <c r="H183" s="17"/>
      <c r="J183" s="9">
        <f>(I232+$B$4)*EXP(10*$J$22)</f>
        <v>0.4696885594159157</v>
      </c>
      <c r="K183" s="9">
        <f>(J232+$B$4)*EXP(10*$K$22)</f>
        <v>0.59396684154331159</v>
      </c>
      <c r="L183" s="87"/>
      <c r="M183" s="87"/>
      <c r="N183" s="87"/>
      <c r="O183" s="87"/>
      <c r="P183" s="87"/>
      <c r="Q183" s="87"/>
      <c r="R183" s="87"/>
      <c r="S183" s="87"/>
      <c r="T183" s="88">
        <f>MIN($B$8,AVERAGE(U85:U86)/(1+J183+$D$8/10000))+$B$7</f>
        <v>62.639302410611187</v>
      </c>
      <c r="U183" s="88">
        <f t="shared" si="9"/>
        <v>76.381217541925807</v>
      </c>
    </row>
    <row r="184" spans="1:21" x14ac:dyDescent="0.35">
      <c r="A184" s="30"/>
      <c r="B184" s="4"/>
      <c r="C184" s="4"/>
      <c r="D184" s="4"/>
      <c r="E184" s="4"/>
      <c r="F184" s="4"/>
      <c r="G184" s="4"/>
      <c r="H184" s="17"/>
      <c r="J184" s="8">
        <f>I232*EXP(10*J$22)</f>
        <v>0.46716884093701727</v>
      </c>
      <c r="K184" s="8">
        <f>J232*EXP(10*K$22)</f>
        <v>0.59149207224082434</v>
      </c>
      <c r="L184" s="87"/>
      <c r="M184" s="87"/>
      <c r="N184" s="87"/>
      <c r="O184" s="87"/>
      <c r="P184" s="87"/>
      <c r="Q184" s="87"/>
      <c r="R184" s="87"/>
      <c r="S184" s="87"/>
      <c r="T184" s="88">
        <f>MIN($B$8,AVERAGE(U87:U88)/(1+J184+$D$8/10000))+$B$7</f>
        <v>62.874198380400699</v>
      </c>
      <c r="U184" s="88">
        <f t="shared" si="9"/>
        <v>76.506100107294785</v>
      </c>
    </row>
    <row r="185" spans="1:21" x14ac:dyDescent="0.35">
      <c r="A185" s="30"/>
      <c r="B185" s="4"/>
      <c r="C185" s="4"/>
      <c r="D185" s="4"/>
      <c r="E185" s="4"/>
      <c r="F185" s="4"/>
      <c r="G185" s="4"/>
      <c r="H185" s="17"/>
      <c r="J185" s="9">
        <f>(I233+$B$4)*EXP(10*$J$22)</f>
        <v>0.46579703586805904</v>
      </c>
      <c r="K185" s="9">
        <f>(J233+$B$4)*EXP(10*$K$22)</f>
        <v>0.59760651279772847</v>
      </c>
      <c r="L185" s="87"/>
      <c r="M185" s="87"/>
      <c r="N185" s="87"/>
      <c r="O185" s="87"/>
      <c r="P185" s="87"/>
      <c r="Q185" s="87"/>
      <c r="R185" s="87"/>
      <c r="S185" s="87"/>
      <c r="T185" s="88">
        <f>MIN($B$8,AVERAGE(U89:U90)/(1+J185+$D$8/10000))+$B$7</f>
        <v>63.002688183733405</v>
      </c>
      <c r="U185" s="88">
        <f t="shared" si="9"/>
        <v>76.19833095231013</v>
      </c>
    </row>
    <row r="186" spans="1:21" x14ac:dyDescent="0.35">
      <c r="A186" s="30"/>
      <c r="B186" s="4"/>
      <c r="C186" s="4"/>
      <c r="D186" s="4"/>
      <c r="E186" s="4"/>
      <c r="F186" s="4"/>
      <c r="G186" s="4"/>
      <c r="H186" s="17"/>
      <c r="J186" s="8">
        <f>I233*EXP(10*J$22)</f>
        <v>0.46327731738916056</v>
      </c>
      <c r="K186" s="8">
        <f>J233*EXP(10*K$22)</f>
        <v>0.59513174349524123</v>
      </c>
      <c r="L186" s="87"/>
      <c r="M186" s="87"/>
      <c r="N186" s="87"/>
      <c r="O186" s="87"/>
      <c r="P186" s="87"/>
      <c r="Q186" s="87"/>
      <c r="R186" s="87"/>
      <c r="S186" s="87"/>
      <c r="T186" s="88">
        <f>MIN($B$8,AVERAGE(U91:U92)/(1+J186+$D$8/10000))+$B$7</f>
        <v>63.23981769312136</v>
      </c>
      <c r="U186" s="88">
        <f t="shared" si="9"/>
        <v>76.322582688401425</v>
      </c>
    </row>
    <row r="187" spans="1:21" x14ac:dyDescent="0.35">
      <c r="A187" s="30"/>
      <c r="B187" s="4"/>
      <c r="C187" s="4"/>
      <c r="D187" s="4"/>
      <c r="E187" s="4"/>
      <c r="F187" s="4"/>
      <c r="G187" s="4"/>
      <c r="H187" s="17"/>
      <c r="J187" s="9">
        <f>(I234+$B$4)*EXP(10*$J$22)</f>
        <v>0.46264783987310898</v>
      </c>
      <c r="K187" s="9">
        <f>(J234+$B$4)*EXP(10*$K$22)</f>
        <v>0.59448865182648458</v>
      </c>
      <c r="L187" s="87"/>
      <c r="M187" s="87"/>
      <c r="N187" s="87"/>
      <c r="O187" s="87"/>
      <c r="P187" s="87"/>
      <c r="Q187" s="87"/>
      <c r="R187" s="87"/>
      <c r="S187" s="87"/>
      <c r="T187" s="88">
        <f>MIN($B$8,AVERAGE(U93:U94)/(1+J187+$D$8/10000))+$B$7</f>
        <v>63.299285201277392</v>
      </c>
      <c r="U187" s="88">
        <f t="shared" si="9"/>
        <v>76.354940687798987</v>
      </c>
    </row>
    <row r="188" spans="1:21" x14ac:dyDescent="0.35">
      <c r="A188" s="30"/>
      <c r="B188" s="4"/>
      <c r="C188" s="4"/>
      <c r="D188" s="4"/>
      <c r="E188" s="4"/>
      <c r="F188" s="4"/>
      <c r="G188" s="4"/>
      <c r="H188" s="17"/>
      <c r="J188" s="8">
        <f>I234*EXP(10*J$22)</f>
        <v>0.46012812139421055</v>
      </c>
      <c r="K188" s="8">
        <f>J234*EXP(10*K$22)</f>
        <v>0.59201388252399745</v>
      </c>
      <c r="L188" s="87"/>
      <c r="M188" s="87"/>
      <c r="N188" s="87"/>
      <c r="O188" s="87"/>
      <c r="P188" s="87"/>
      <c r="Q188" s="87"/>
      <c r="R188" s="87"/>
      <c r="S188" s="87"/>
      <c r="T188" s="88">
        <f>MIN($B$8,AVERAGE(U95:U96)/(1+J188+$D$8/10000))+$B$7</f>
        <v>63.538243095873696</v>
      </c>
      <c r="U188" s="88">
        <f t="shared" si="9"/>
        <v>76.479732518189095</v>
      </c>
    </row>
    <row r="189" spans="1:21" x14ac:dyDescent="0.35">
      <c r="A189" s="30"/>
      <c r="B189" s="4"/>
      <c r="C189" s="4"/>
      <c r="D189" s="4"/>
      <c r="E189" s="4"/>
      <c r="F189" s="4"/>
      <c r="G189" s="4"/>
      <c r="H189" s="17"/>
      <c r="J189" s="9">
        <f>(I235+$B$4)*EXP(10*$J$22)</f>
        <v>0.46960253507588584</v>
      </c>
      <c r="K189" s="9">
        <f>(J235+$B$4)*EXP(10*$K$22)</f>
        <v>0.59370974600981952</v>
      </c>
      <c r="L189" s="87"/>
      <c r="M189" s="87"/>
      <c r="N189" s="87"/>
      <c r="O189" s="87"/>
      <c r="P189" s="87"/>
      <c r="Q189" s="87"/>
      <c r="R189" s="87"/>
      <c r="S189" s="87"/>
      <c r="T189" s="88">
        <f>MIN($B$8,AVERAGE(U97:U98)/(1+J189+$D$8/10000))+$B$7</f>
        <v>62.647298203487658</v>
      </c>
      <c r="U189" s="88">
        <f t="shared" si="9"/>
        <v>76.394171147731825</v>
      </c>
    </row>
    <row r="190" spans="1:21" x14ac:dyDescent="0.35">
      <c r="A190" s="30"/>
      <c r="B190" s="4"/>
      <c r="C190" s="4"/>
      <c r="D190" s="4"/>
      <c r="E190" s="4"/>
      <c r="F190" s="4"/>
      <c r="G190" s="4"/>
      <c r="H190" s="17"/>
      <c r="J190" s="8">
        <f>I235*EXP(10*J$22)</f>
        <v>0.46708281659698736</v>
      </c>
      <c r="K190" s="8">
        <f>J235*EXP(10*K$22)</f>
        <v>0.59123497670733227</v>
      </c>
      <c r="L190" s="87"/>
      <c r="M190" s="87"/>
      <c r="N190" s="87"/>
      <c r="O190" s="87"/>
      <c r="P190" s="87"/>
      <c r="Q190" s="87"/>
      <c r="R190" s="87"/>
      <c r="S190" s="87"/>
      <c r="T190" s="88">
        <f>MIN($B$8,AVERAGE(U99:U100)/(1+J190+$D$8/10000))+$B$7</f>
        <v>62.882243241216656</v>
      </c>
      <c r="U190" s="88">
        <f t="shared" si="9"/>
        <v>76.519098454550573</v>
      </c>
    </row>
    <row r="191" spans="1:21" x14ac:dyDescent="0.35">
      <c r="A191" s="30"/>
      <c r="B191" s="4"/>
      <c r="C191" s="4"/>
      <c r="D191" s="4"/>
      <c r="E191" s="4"/>
      <c r="F191" s="4"/>
      <c r="G191" s="4"/>
      <c r="H191" s="17"/>
      <c r="J191" s="9">
        <f>(I236+$B$4)*EXP(10*$J$22)</f>
        <v>0.46645333908093578</v>
      </c>
      <c r="K191" s="9">
        <f>(J236+$B$4)*EXP(10*$K$22)</f>
        <v>0.59059188503857563</v>
      </c>
      <c r="L191" s="87"/>
      <c r="M191" s="87"/>
      <c r="N191" s="87"/>
      <c r="O191" s="87"/>
      <c r="P191" s="87"/>
      <c r="Q191" s="87"/>
      <c r="R191" s="87"/>
      <c r="S191" s="87"/>
      <c r="T191" s="88">
        <f>MIN($B$8,AVERAGE(U101:U102)/(1+J191+$D$8/10000))+$B$7</f>
        <v>62.941162212588807</v>
      </c>
      <c r="U191" s="88">
        <f t="shared" si="9"/>
        <v>76.551632579474742</v>
      </c>
    </row>
    <row r="192" spans="1:21" x14ac:dyDescent="0.35">
      <c r="A192" s="30"/>
      <c r="B192" s="4"/>
      <c r="C192" s="4"/>
      <c r="D192" s="4"/>
      <c r="E192" s="4"/>
      <c r="F192" s="4"/>
      <c r="G192" s="4"/>
      <c r="H192" s="17"/>
      <c r="J192" s="8">
        <f>I236*EXP(10*J$22)</f>
        <v>0.4639336206020373</v>
      </c>
      <c r="K192" s="8">
        <f>J236*EXP(10*K$22)</f>
        <v>0.58811711573608849</v>
      </c>
      <c r="L192" s="87"/>
      <c r="M192" s="87"/>
      <c r="N192" s="87"/>
      <c r="O192" s="87"/>
      <c r="P192" s="87"/>
      <c r="Q192" s="87"/>
      <c r="R192" s="87"/>
      <c r="S192" s="87"/>
      <c r="T192" s="88">
        <f>MIN($B$8,AVERAGE(U103:U104)/(1+J192+$D$8/10000))+$B$7</f>
        <v>63.177913045360803</v>
      </c>
      <c r="U192" s="88">
        <f t="shared" si="9"/>
        <v>76.677104396221779</v>
      </c>
    </row>
    <row r="193" spans="1:21" x14ac:dyDescent="0.35">
      <c r="A193" s="30"/>
      <c r="B193" s="4"/>
      <c r="C193" s="4"/>
      <c r="D193" s="4"/>
      <c r="E193" s="4"/>
      <c r="F193" s="4"/>
      <c r="G193" s="4"/>
      <c r="H193" s="17"/>
      <c r="J193" s="9">
        <f>(I237+$B$4)*EXP(10*$J$22)</f>
        <v>0.47058663720881649</v>
      </c>
      <c r="K193" s="9">
        <f>(J237+$B$4)*EXP(10*$K$22)</f>
        <v>0.60231537910781296</v>
      </c>
      <c r="L193" s="87"/>
      <c r="M193" s="87"/>
      <c r="N193" s="87"/>
      <c r="O193" s="87"/>
      <c r="P193" s="87"/>
      <c r="Q193" s="87"/>
      <c r="R193" s="87"/>
      <c r="S193" s="87"/>
      <c r="T193" s="88">
        <f>MIN($B$8,AVERAGE(U105:U106)/(1+J193+$D$8/10000))+$B$7</f>
        <v>62.555927372418886</v>
      </c>
      <c r="U193" s="88">
        <f t="shared" si="9"/>
        <v>75.963086191893609</v>
      </c>
    </row>
    <row r="194" spans="1:21" x14ac:dyDescent="0.35">
      <c r="A194" s="30"/>
      <c r="B194" s="4"/>
      <c r="C194" s="4"/>
      <c r="D194" s="4"/>
      <c r="E194" s="4"/>
      <c r="F194" s="4"/>
      <c r="G194" s="4"/>
      <c r="H194" s="17"/>
      <c r="J194" s="8">
        <f>I237*EXP(10*J$22)</f>
        <v>0.46806691872991807</v>
      </c>
      <c r="K194" s="8">
        <f>J237*EXP(10*K$22)</f>
        <v>0.59984060980532583</v>
      </c>
      <c r="L194" s="87"/>
      <c r="M194" s="87"/>
      <c r="N194" s="87"/>
      <c r="O194" s="87"/>
      <c r="P194" s="87"/>
      <c r="Q194" s="87"/>
      <c r="R194" s="87"/>
      <c r="S194" s="87"/>
      <c r="T194" s="88">
        <f>MIN($B$8,AVERAGE(U107:U108)/(1+J194+$D$8/10000))+$B$7</f>
        <v>62.790311902224182</v>
      </c>
      <c r="U194" s="88">
        <f t="shared" si="9"/>
        <v>76.0865288528192</v>
      </c>
    </row>
    <row r="195" spans="1:21" x14ac:dyDescent="0.35">
      <c r="A195" s="30"/>
      <c r="B195" s="4"/>
      <c r="C195" s="4"/>
      <c r="D195" s="4"/>
      <c r="E195" s="4"/>
      <c r="F195" s="4"/>
      <c r="G195" s="4"/>
      <c r="H195" s="17"/>
      <c r="J195" s="9">
        <f>(I238+$B$4)*EXP(10*$J$22)</f>
        <v>0.46743744121386649</v>
      </c>
      <c r="K195" s="9">
        <f>(J238+$B$4)*EXP(10*$K$22)</f>
        <v>0.59919751813656918</v>
      </c>
      <c r="L195" s="87"/>
      <c r="M195" s="87"/>
      <c r="N195" s="87"/>
      <c r="O195" s="87"/>
      <c r="P195" s="87"/>
      <c r="Q195" s="87"/>
      <c r="R195" s="87"/>
      <c r="S195" s="87"/>
      <c r="T195" s="88">
        <f>MIN($B$8,AVERAGE(U109:U110)/(1+J195+$D$8/10000))+$B$7</f>
        <v>62.849090127399847</v>
      </c>
      <c r="U195" s="88">
        <f t="shared" si="9"/>
        <v>76.118675923293907</v>
      </c>
    </row>
    <row r="196" spans="1:21" x14ac:dyDescent="0.35">
      <c r="A196" s="30"/>
      <c r="B196" s="4"/>
      <c r="C196" s="4"/>
      <c r="D196" s="4"/>
      <c r="E196" s="4"/>
      <c r="F196" s="4"/>
      <c r="G196" s="4"/>
      <c r="H196" s="17"/>
      <c r="J196" s="8">
        <f>I238*EXP(10*J$22)</f>
        <v>0.46491772273496801</v>
      </c>
      <c r="K196" s="8">
        <f>J238*EXP(10*K$22)</f>
        <v>0.59672274883408194</v>
      </c>
      <c r="L196" s="87"/>
      <c r="M196" s="87"/>
      <c r="N196" s="87"/>
      <c r="O196" s="87"/>
      <c r="P196" s="87"/>
      <c r="Q196" s="87"/>
      <c r="R196" s="87"/>
      <c r="S196" s="87"/>
      <c r="T196" s="88">
        <f>MIN($B$8,AVERAGE(U111:U112)/(1+J196+$D$8/10000))+$B$7</f>
        <v>63.085274667480256</v>
      </c>
      <c r="U196" s="88">
        <f t="shared" si="9"/>
        <v>76.242653406131012</v>
      </c>
    </row>
    <row r="197" spans="1:21" x14ac:dyDescent="0.35">
      <c r="A197" s="30"/>
      <c r="B197" s="4"/>
      <c r="C197" s="4"/>
      <c r="D197" s="4"/>
      <c r="E197" s="4"/>
      <c r="F197" s="4"/>
      <c r="G197" s="4"/>
      <c r="H197" s="17"/>
      <c r="J197" s="9">
        <f>(I239+$B$4)*EXP(10*$J$22)</f>
        <v>0.4743921364166433</v>
      </c>
      <c r="K197" s="9">
        <f>(J239+$B$4)*EXP(10*$K$22)</f>
        <v>0.59841861231990401</v>
      </c>
      <c r="L197" s="87"/>
      <c r="M197" s="87"/>
      <c r="N197" s="87"/>
      <c r="O197" s="87"/>
      <c r="P197" s="87"/>
      <c r="Q197" s="87"/>
      <c r="R197" s="87"/>
      <c r="S197" s="87"/>
      <c r="T197" s="88">
        <f>MIN($B$8,AVERAGE(U113:U114)/(1+J197+$D$8/10000))+$B$7</f>
        <v>62.204640633983246</v>
      </c>
      <c r="U197" s="88">
        <f t="shared" si="9"/>
        <v>76.15765052955021</v>
      </c>
    </row>
    <row r="198" spans="1:21" x14ac:dyDescent="0.35">
      <c r="A198" s="30"/>
      <c r="B198" s="4"/>
      <c r="C198" s="4"/>
      <c r="D198" s="4"/>
      <c r="E198" s="4"/>
      <c r="F198" s="4"/>
      <c r="G198" s="4"/>
      <c r="H198" s="17"/>
      <c r="J198" s="8">
        <f>I239*EXP(10*J$22)</f>
        <v>0.47187241793774481</v>
      </c>
      <c r="K198" s="8">
        <f>J239*EXP(10*K$22)</f>
        <v>0.59594384301741676</v>
      </c>
      <c r="L198" s="87"/>
      <c r="M198" s="87"/>
      <c r="N198" s="87"/>
      <c r="O198" s="87"/>
      <c r="P198" s="87"/>
      <c r="Q198" s="87"/>
      <c r="R198" s="87"/>
      <c r="S198" s="87"/>
      <c r="T198" s="88">
        <f>MIN($B$8,AVERAGE(U115:U116)/(1+J198+$D$8/10000))+$B$7</f>
        <v>62.436874496453783</v>
      </c>
      <c r="U198" s="88">
        <f t="shared" si="9"/>
        <v>76.281762164517261</v>
      </c>
    </row>
    <row r="199" spans="1:21" x14ac:dyDescent="0.35">
      <c r="A199" s="30"/>
      <c r="B199" s="4"/>
      <c r="C199" s="4"/>
      <c r="D199" s="4"/>
      <c r="E199" s="4"/>
      <c r="F199" s="4"/>
      <c r="G199" s="4"/>
      <c r="H199" s="17"/>
      <c r="J199" s="9">
        <f>(I240+$B$4)*EXP(10*$J$22)</f>
        <v>0.47124294042169323</v>
      </c>
      <c r="K199" s="9">
        <f>(J240+$B$4)*EXP(10*$K$22)</f>
        <v>0.59530075134866012</v>
      </c>
      <c r="L199" s="87"/>
      <c r="M199" s="87"/>
      <c r="N199" s="87"/>
      <c r="O199" s="87"/>
      <c r="P199" s="87"/>
      <c r="Q199" s="87"/>
      <c r="R199" s="87"/>
      <c r="S199" s="87"/>
      <c r="T199" s="88">
        <f>MIN($B$8,AVERAGE(U117:U118)/(1+J199+$D$8/10000))+$B$7</f>
        <v>62.495112684333613</v>
      </c>
      <c r="U199" s="88">
        <f t="shared" si="9"/>
        <v>76.314083638867558</v>
      </c>
    </row>
    <row r="200" spans="1:21" x14ac:dyDescent="0.35">
      <c r="A200" s="30"/>
      <c r="B200" s="4"/>
      <c r="C200" s="4"/>
      <c r="D200" s="4"/>
      <c r="E200" s="4"/>
      <c r="F200" s="4"/>
      <c r="G200" s="4"/>
      <c r="H200" s="17"/>
      <c r="J200" s="8">
        <f>I240*EXP(10*J$22)</f>
        <v>0.46872322194279481</v>
      </c>
      <c r="K200" s="8">
        <f>J240*EXP(10*K$22)</f>
        <v>0.59282598204617287</v>
      </c>
      <c r="L200" s="87"/>
      <c r="M200" s="87"/>
      <c r="N200" s="87"/>
      <c r="O200" s="87"/>
      <c r="P200" s="87"/>
      <c r="Q200" s="87"/>
      <c r="R200" s="87"/>
      <c r="S200" s="87"/>
      <c r="T200" s="88">
        <f>MIN($B$8,AVERAGE(U119:U120)/(1+J200+$D$8/10000))+$B$7</f>
        <v>62.729124405042072</v>
      </c>
      <c r="U200" s="88">
        <f t="shared" si="9"/>
        <v>76.438734453918187</v>
      </c>
    </row>
    <row r="201" spans="1:21" x14ac:dyDescent="0.35">
      <c r="A201" s="30"/>
      <c r="B201" s="4"/>
      <c r="C201" s="4"/>
      <c r="D201" s="4"/>
      <c r="E201" s="4"/>
      <c r="F201" s="4"/>
      <c r="G201" s="4"/>
      <c r="H201" s="17"/>
      <c r="J201" s="9">
        <f>(I241+$B$4)*EXP(10*$J$22)</f>
        <v>0.47166464460450225</v>
      </c>
      <c r="K201" s="9">
        <f>(J241+$B$4)*EXP(10*$K$22)</f>
        <v>0.60353309198235749</v>
      </c>
      <c r="L201" s="87"/>
      <c r="M201" s="87"/>
      <c r="N201" s="87"/>
      <c r="O201" s="87"/>
      <c r="P201" s="87"/>
      <c r="Q201" s="87"/>
      <c r="R201" s="87"/>
      <c r="S201" s="87"/>
      <c r="T201" s="88">
        <f>MIN($B$8,AVERAGE(U121:U122)/(1+J201+$D$8/10000))+$B$7</f>
        <v>62.45608751714655</v>
      </c>
      <c r="U201" s="88">
        <f t="shared" si="9"/>
        <v>75.902501160629811</v>
      </c>
    </row>
    <row r="202" spans="1:21" x14ac:dyDescent="0.35">
      <c r="A202" s="30"/>
      <c r="B202" s="4"/>
      <c r="C202" s="4"/>
      <c r="D202" s="4"/>
      <c r="E202" s="4"/>
      <c r="F202" s="4"/>
      <c r="G202" s="4"/>
      <c r="H202" s="17"/>
      <c r="J202" s="8">
        <f>I241*EXP(10*J$22)</f>
        <v>0.46914492612560377</v>
      </c>
      <c r="K202" s="8">
        <f>J241*EXP(10*K$22)</f>
        <v>0.60105832267987025</v>
      </c>
      <c r="L202" s="87"/>
      <c r="M202" s="87"/>
      <c r="N202" s="87"/>
      <c r="O202" s="87"/>
      <c r="P202" s="87"/>
      <c r="Q202" s="87"/>
      <c r="R202" s="87"/>
      <c r="S202" s="87"/>
      <c r="T202" s="88">
        <f>MIN($B$8,AVERAGE(U123:U124)/(1+J202+$D$8/10000))+$B$7</f>
        <v>62.689860111038747</v>
      </c>
      <c r="U202" s="88">
        <f t="shared" si="9"/>
        <v>76.025735880698264</v>
      </c>
    </row>
    <row r="203" spans="1:21" x14ac:dyDescent="0.35">
      <c r="A203" s="30"/>
      <c r="B203" s="4"/>
      <c r="C203" s="4"/>
      <c r="D203" s="4"/>
      <c r="E203" s="4"/>
      <c r="F203" s="4"/>
      <c r="G203" s="4"/>
      <c r="H203" s="17"/>
      <c r="J203" s="9">
        <f>(I242+$B$4)*EXP(10*$J$22)</f>
        <v>0.46851544860955219</v>
      </c>
      <c r="K203" s="9">
        <f>(J242+$B$4)*EXP(10*$K$22)</f>
        <v>0.6004152310111136</v>
      </c>
      <c r="L203" s="87"/>
      <c r="M203" s="87"/>
      <c r="N203" s="87"/>
      <c r="O203" s="87"/>
      <c r="P203" s="87"/>
      <c r="Q203" s="87"/>
      <c r="R203" s="87"/>
      <c r="S203" s="87"/>
      <c r="T203" s="88">
        <f>MIN($B$8,AVERAGE(U125:U126)/(1+J203+$D$8/10000))+$B$7</f>
        <v>62.748484676877638</v>
      </c>
      <c r="U203" s="88">
        <f t="shared" si="9"/>
        <v>76.057828740574962</v>
      </c>
    </row>
    <row r="204" spans="1:21" x14ac:dyDescent="0.35">
      <c r="A204" s="30"/>
      <c r="B204" s="4"/>
      <c r="C204" s="4"/>
      <c r="D204" s="4"/>
      <c r="E204" s="4"/>
      <c r="F204" s="4"/>
      <c r="G204" s="4"/>
      <c r="H204" s="17"/>
      <c r="J204" s="8">
        <f>I242*EXP(10*J$22)</f>
        <v>0.46599573013065371</v>
      </c>
      <c r="K204" s="8">
        <f>J242*EXP(10*K$22)</f>
        <v>0.59794046170862636</v>
      </c>
      <c r="L204" s="87"/>
      <c r="M204" s="87"/>
      <c r="N204" s="87"/>
      <c r="O204" s="87"/>
      <c r="P204" s="87"/>
      <c r="Q204" s="87"/>
      <c r="R204" s="87"/>
      <c r="S204" s="87"/>
      <c r="T204" s="88">
        <f>MIN($B$8,AVERAGE(U127:U128)/(1+J204+$D$8/10000))+$B$7</f>
        <v>62.984050970928976</v>
      </c>
      <c r="U204" s="88">
        <f t="shared" si="9"/>
        <v>76.181596930292017</v>
      </c>
    </row>
    <row r="205" spans="1:21" x14ac:dyDescent="0.35">
      <c r="A205" s="30"/>
      <c r="B205" s="4"/>
      <c r="C205" s="4"/>
      <c r="D205" s="4"/>
      <c r="E205" s="4"/>
      <c r="F205" s="4"/>
      <c r="G205" s="4"/>
      <c r="H205" s="17"/>
      <c r="J205" s="9">
        <f>(I243+$B$4)*EXP(10*$J$22)</f>
        <v>0.4754701438123291</v>
      </c>
      <c r="K205" s="9">
        <f>(J243+$B$4)*EXP(10*$K$22)</f>
        <v>0.59963632519444843</v>
      </c>
      <c r="L205" s="87"/>
      <c r="M205" s="87"/>
      <c r="N205" s="87"/>
      <c r="O205" s="87"/>
      <c r="P205" s="87"/>
      <c r="Q205" s="87"/>
      <c r="R205" s="87"/>
      <c r="S205" s="87"/>
      <c r="T205" s="88">
        <f>MIN($B$8,AVERAGE(U129:U130)/(1+J205+$D$8/10000))+$B$7</f>
        <v>62.105715533707809</v>
      </c>
      <c r="U205" s="88">
        <f t="shared" si="9"/>
        <v>76.096737590374786</v>
      </c>
    </row>
    <row r="206" spans="1:21" x14ac:dyDescent="0.35">
      <c r="A206" s="30"/>
      <c r="B206" s="4"/>
      <c r="C206" s="4"/>
      <c r="D206" s="4"/>
      <c r="E206" s="4"/>
      <c r="F206" s="4"/>
      <c r="G206" s="4"/>
      <c r="H206" s="17"/>
      <c r="J206" s="8">
        <f>I243*EXP(10*J$22)</f>
        <v>0.47295042533343062</v>
      </c>
      <c r="K206" s="8">
        <f>J243*EXP(10*K$22)</f>
        <v>0.59716155589196118</v>
      </c>
      <c r="L206" s="87"/>
      <c r="M206" s="87"/>
      <c r="N206" s="87"/>
      <c r="O206" s="87"/>
      <c r="P206" s="87"/>
      <c r="Q206" s="87"/>
      <c r="R206" s="87"/>
      <c r="S206" s="87"/>
      <c r="T206" s="88">
        <f>MIN($B$8,AVERAGE(U131:U132)/(1+J206+$D$8/10000))+$B$7</f>
        <v>62.337344978048165</v>
      </c>
      <c r="U206" s="88">
        <f t="shared" si="9"/>
        <v>76.220639592569199</v>
      </c>
    </row>
    <row r="207" spans="1:21" x14ac:dyDescent="0.35">
      <c r="A207" s="30"/>
      <c r="B207" s="4"/>
      <c r="C207" s="4"/>
      <c r="D207" s="4"/>
      <c r="E207" s="4"/>
      <c r="F207" s="4"/>
      <c r="G207" s="4"/>
      <c r="H207" s="17"/>
      <c r="J207" s="9">
        <f>(I244+$B$4)*EXP(10*$J$22)</f>
        <v>0.47232094781737904</v>
      </c>
      <c r="K207" s="9">
        <f>(J244+$B$4)*EXP(10*$K$22)</f>
        <v>0.59651846422320465</v>
      </c>
      <c r="L207" s="87"/>
      <c r="M207" s="87"/>
      <c r="N207" s="87"/>
      <c r="O207" s="87"/>
      <c r="P207" s="87"/>
      <c r="Q207" s="87"/>
      <c r="R207" s="87"/>
      <c r="S207" s="87"/>
      <c r="T207" s="88">
        <f>MIN($B$8,AVERAGE(U133:U134)/(1+J207+$D$8/10000))+$B$7</f>
        <v>62.395431396772729</v>
      </c>
      <c r="U207" s="88">
        <f t="shared" si="9"/>
        <v>76.252906414756993</v>
      </c>
    </row>
    <row r="208" spans="1:21" x14ac:dyDescent="0.35">
      <c r="A208" s="30"/>
      <c r="B208" s="4"/>
      <c r="C208" s="4"/>
      <c r="D208" s="4"/>
      <c r="E208" s="4"/>
      <c r="F208" s="4"/>
      <c r="G208" s="4"/>
      <c r="H208" s="17"/>
      <c r="J208" s="8">
        <f>I244*EXP(10*J$22)</f>
        <v>0.46980122933848062</v>
      </c>
      <c r="K208" s="8">
        <f>J244*EXP(10*K$22)</f>
        <v>0.5940436949207174</v>
      </c>
      <c r="L208" s="87"/>
      <c r="M208" s="87"/>
      <c r="N208" s="87"/>
      <c r="O208" s="87"/>
      <c r="P208" s="87"/>
      <c r="Q208" s="87"/>
      <c r="R208" s="87"/>
      <c r="S208" s="87"/>
      <c r="T208" s="88">
        <f>MIN($B$8,AVERAGE(U135:U136)/(1+J208+$D$8/10000))+$B$7</f>
        <v>62.628832486432117</v>
      </c>
      <c r="U208" s="88">
        <f t="shared" si="9"/>
        <v>76.377346230065854</v>
      </c>
    </row>
    <row r="209" spans="1:21" x14ac:dyDescent="0.35">
      <c r="A209" s="30"/>
      <c r="B209" s="4"/>
      <c r="C209" s="4"/>
      <c r="D209" s="4"/>
      <c r="E209" s="4"/>
      <c r="F209" s="4"/>
      <c r="G209" s="4"/>
      <c r="H209" s="17"/>
      <c r="J209" s="9">
        <f>(I245+$B$4)*EXP(10*$J$22)</f>
        <v>0.4764542459452597</v>
      </c>
      <c r="K209" s="9">
        <f>(J245+$B$4)*EXP(10*$K$22)</f>
        <v>0.60824195829244199</v>
      </c>
      <c r="L209" s="87"/>
      <c r="M209" s="87"/>
      <c r="N209" s="87"/>
      <c r="O209" s="87"/>
      <c r="P209" s="87"/>
      <c r="Q209" s="87"/>
      <c r="R209" s="87"/>
      <c r="S209" s="87"/>
      <c r="T209" s="88">
        <f>MIN($B$8,AVERAGE(U137:U138)/(1+J209+$D$8/10000))+$B$7</f>
        <v>62.015632292221341</v>
      </c>
      <c r="U209" s="88">
        <f t="shared" si="9"/>
        <v>75.669177147695265</v>
      </c>
    </row>
    <row r="210" spans="1:21" x14ac:dyDescent="0.35">
      <c r="A210" s="30"/>
      <c r="B210" s="4"/>
      <c r="C210" s="4"/>
      <c r="D210" s="4"/>
      <c r="E210" s="4"/>
      <c r="F210" s="4"/>
      <c r="G210" s="4"/>
      <c r="H210" s="17"/>
      <c r="J210" s="8">
        <f>I245*EXP(10*J$22)</f>
        <v>0.47393452746636122</v>
      </c>
      <c r="K210" s="8">
        <f>J245*EXP(10*K$22)</f>
        <v>0.60576718898995474</v>
      </c>
      <c r="L210" s="87"/>
      <c r="M210" s="87"/>
      <c r="N210" s="87"/>
      <c r="O210" s="87"/>
      <c r="P210" s="87"/>
      <c r="Q210" s="87"/>
      <c r="R210" s="87"/>
      <c r="S210" s="87"/>
      <c r="T210" s="88">
        <f>MIN($B$8,AVERAGE(U139:U140)/(1+J210+$D$8/10000))+$B$7</f>
        <v>62.246711810567426</v>
      </c>
      <c r="U210" s="88">
        <f t="shared" si="9"/>
        <v>75.79161268979486</v>
      </c>
    </row>
    <row r="211" spans="1:21" x14ac:dyDescent="0.35">
      <c r="A211" s="30"/>
      <c r="B211" s="4"/>
      <c r="C211" s="4"/>
      <c r="D211" s="4"/>
      <c r="E211" s="4"/>
      <c r="F211" s="4"/>
      <c r="G211" s="4"/>
      <c r="H211" s="17"/>
      <c r="J211" s="9">
        <f>(I246+$B$4)*EXP(10*$J$22)</f>
        <v>0.47330504995030975</v>
      </c>
      <c r="K211" s="9">
        <f>(J246+$B$4)*EXP(10*$K$22)</f>
        <v>0.6051240973211981</v>
      </c>
      <c r="L211" s="87"/>
      <c r="M211" s="87"/>
      <c r="N211" s="87"/>
      <c r="O211" s="87"/>
      <c r="P211" s="87"/>
      <c r="Q211" s="87"/>
      <c r="R211" s="87"/>
      <c r="S211" s="87"/>
      <c r="T211" s="88">
        <f>MIN($B$8,AVERAGE(U141:U142)/(1+J211+$D$8/10000))+$B$7</f>
        <v>62.304660143689453</v>
      </c>
      <c r="U211" s="88">
        <f t="shared" si="9"/>
        <v>75.82349720375305</v>
      </c>
    </row>
    <row r="212" spans="1:21" x14ac:dyDescent="0.35">
      <c r="A212" s="30"/>
      <c r="B212" s="4"/>
      <c r="C212" s="4"/>
      <c r="D212" s="4"/>
      <c r="E212" s="4"/>
      <c r="F212" s="4"/>
      <c r="G212" s="4"/>
      <c r="H212" s="17"/>
      <c r="J212" s="8">
        <f>I246*EXP(10*J$22)</f>
        <v>0.47078533147141127</v>
      </c>
      <c r="K212" s="8">
        <f>J246*EXP(10*K$22)</f>
        <v>0.60264932801871085</v>
      </c>
      <c r="L212" s="87"/>
      <c r="M212" s="87"/>
      <c r="N212" s="87"/>
      <c r="O212" s="87"/>
      <c r="P212" s="87"/>
      <c r="Q212" s="87"/>
      <c r="R212" s="87"/>
      <c r="S212" s="87"/>
      <c r="T212" s="88">
        <f>MIN($B$8,AVERAGE(U143:U144)/(1+J212+$D$8/10000))+$B$7</f>
        <v>62.537505659400935</v>
      </c>
      <c r="U212" s="88">
        <f t="shared" si="9"/>
        <v>75.94646102902459</v>
      </c>
    </row>
    <row r="213" spans="1:21" x14ac:dyDescent="0.35">
      <c r="A213" s="30"/>
      <c r="B213" s="4"/>
      <c r="C213" s="4"/>
      <c r="D213" s="4"/>
      <c r="E213" s="4"/>
      <c r="F213" s="4"/>
      <c r="G213" s="4"/>
      <c r="H213" s="17"/>
      <c r="J213" s="9">
        <f>(I247+$B$4)*EXP(10*$J$22)</f>
        <v>0.4802597451530865</v>
      </c>
      <c r="K213" s="9">
        <f>(J247+$B$4)*EXP(10*$K$22)</f>
        <v>0.60434519150453292</v>
      </c>
      <c r="L213" s="87"/>
      <c r="M213" s="87"/>
      <c r="N213" s="87"/>
      <c r="O213" s="87"/>
      <c r="P213" s="87"/>
      <c r="Q213" s="87"/>
      <c r="R213" s="87"/>
      <c r="S213" s="87"/>
      <c r="T213" s="88">
        <f>MIN($B$8,AVERAGE(U145:U146)/(1+J213+$D$8/10000))+$B$7</f>
        <v>61.669286163833881</v>
      </c>
      <c r="U213" s="88">
        <f t="shared" si="9"/>
        <v>75.862153334557675</v>
      </c>
    </row>
    <row r="214" spans="1:21" x14ac:dyDescent="0.35">
      <c r="A214" s="30"/>
      <c r="B214" s="4"/>
      <c r="C214" s="4"/>
      <c r="D214" s="4"/>
      <c r="E214" s="4"/>
      <c r="F214" s="4"/>
      <c r="G214" s="4"/>
      <c r="H214" s="17"/>
      <c r="J214" s="8">
        <f>I247*EXP(10*J$22)</f>
        <v>0.47774002667418802</v>
      </c>
      <c r="K214" s="8">
        <f>J247*EXP(10*K$22)</f>
        <v>0.60187042220204579</v>
      </c>
      <c r="L214" s="87"/>
      <c r="M214" s="87"/>
      <c r="N214" s="87"/>
      <c r="O214" s="87"/>
      <c r="P214" s="87"/>
      <c r="Q214" s="87"/>
      <c r="R214" s="87"/>
      <c r="S214" s="87"/>
      <c r="T214" s="88">
        <f>MIN($B$8,AVERAGE(U147:U148)/(1+J214+$D$8/10000))+$B$7</f>
        <v>61.898255538474814</v>
      </c>
      <c r="U214" s="88">
        <f t="shared" si="9"/>
        <v>75.985249669615527</v>
      </c>
    </row>
    <row r="215" spans="1:21" x14ac:dyDescent="0.35">
      <c r="A215" s="30"/>
      <c r="B215" s="4"/>
      <c r="C215" s="4"/>
      <c r="D215" s="4"/>
      <c r="E215" s="4"/>
      <c r="F215" s="4"/>
      <c r="G215" s="4"/>
      <c r="H215" s="17"/>
      <c r="J215" s="9">
        <f>(I248+$B$4)*EXP(10*$J$22)</f>
        <v>0.47711054915813644</v>
      </c>
      <c r="K215" s="9">
        <f>(J248+$B$4)*EXP(10*$K$22)</f>
        <v>0.60122733053328903</v>
      </c>
      <c r="L215" s="87"/>
      <c r="M215" s="87"/>
      <c r="N215" s="87"/>
      <c r="O215" s="87"/>
      <c r="P215" s="87"/>
      <c r="Q215" s="87"/>
      <c r="R215" s="87"/>
      <c r="S215" s="87"/>
      <c r="T215" s="88">
        <f>MIN($B$8,AVERAGE(U149:U150)/(1+J215+$D$8/10000))+$B$7</f>
        <v>61.955674022949751</v>
      </c>
      <c r="U215" s="88">
        <f t="shared" si="9"/>
        <v>76.01730645232476</v>
      </c>
    </row>
    <row r="216" spans="1:21" x14ac:dyDescent="0.35">
      <c r="A216" s="30"/>
      <c r="B216" s="4"/>
      <c r="C216" s="4"/>
      <c r="D216" s="4"/>
      <c r="E216" s="4"/>
      <c r="F216" s="4"/>
      <c r="G216" s="4"/>
      <c r="H216" s="17"/>
      <c r="J216" s="8">
        <f>I248*EXP(10*J$22)</f>
        <v>0.47459083067923796</v>
      </c>
      <c r="K216" s="8">
        <f>J248*EXP(10*K$22)</f>
        <v>0.59875256123080189</v>
      </c>
      <c r="L216" s="87"/>
      <c r="M216" s="87"/>
      <c r="N216" s="87"/>
      <c r="O216" s="87"/>
      <c r="P216" s="87"/>
      <c r="Q216" s="87"/>
      <c r="R216" s="87"/>
      <c r="S216" s="87"/>
      <c r="T216" s="88">
        <f>MIN($B$8,AVERAGE(U151:U152)/(1+J216+$D$8/10000))+$B$7</f>
        <v>62.186387765810267</v>
      </c>
      <c r="U216" s="88">
        <f t="shared" si="9"/>
        <v>76.140935357732459</v>
      </c>
    </row>
    <row r="217" spans="1:21" x14ac:dyDescent="0.35">
      <c r="A217" s="30"/>
      <c r="B217" s="4"/>
      <c r="C217" s="4"/>
      <c r="D217" s="4"/>
      <c r="E217" s="4"/>
      <c r="F217" s="4"/>
      <c r="G217" s="4"/>
      <c r="H217" s="17"/>
      <c r="I217" s="9">
        <f>(H249+$B$4)*EXP(10*$I$22)</f>
        <v>0.31133341979360396</v>
      </c>
      <c r="J217" s="9">
        <f>(I249+$B$4)*EXP(10*$J$22)</f>
        <v>0.47509176222158511</v>
      </c>
      <c r="K217" s="9">
        <f>(J249+$B$4)*EXP(10*$K$22)</f>
        <v>0.58842265660901727</v>
      </c>
      <c r="L217" s="87"/>
      <c r="M217" s="87"/>
      <c r="N217" s="87"/>
      <c r="O217" s="87"/>
      <c r="P217" s="87"/>
      <c r="Q217" s="87"/>
      <c r="R217" s="87"/>
      <c r="S217" s="88">
        <f>MIN($B$8,AVERAGE(T153:T154)/(1+I217+$D$8/10000))+$B$7</f>
        <v>65.023591955158111</v>
      </c>
      <c r="T217" s="88">
        <f>MIN($B$8,AVERAGE(U153:U154)/(1+J217+$D$8/10000))+$B$7</f>
        <v>62.140409007433561</v>
      </c>
      <c r="U217" s="88">
        <f t="shared" ref="U217:U280" si="10">MIN($B$8,((100+$B$7)/(1+K217+$D$8/10000)))+$B$7</f>
        <v>76.661589871070944</v>
      </c>
    </row>
    <row r="218" spans="1:21" x14ac:dyDescent="0.35">
      <c r="A218" s="30"/>
      <c r="B218" s="4"/>
      <c r="C218" s="4"/>
      <c r="D218" s="4"/>
      <c r="E218" s="4"/>
      <c r="F218" s="4"/>
      <c r="G218" s="4"/>
      <c r="H218" s="17"/>
      <c r="I218" s="8">
        <f>H249*EXP(10*I$22)</f>
        <v>0.30883377864613198</v>
      </c>
      <c r="J218" s="8">
        <f>I249*EXP(10*J$22)</f>
        <v>0.47257204374268663</v>
      </c>
      <c r="K218" s="8">
        <f>J249*EXP(10*K$22)</f>
        <v>0.58594788730653002</v>
      </c>
      <c r="L218" s="87"/>
      <c r="M218" s="87"/>
      <c r="N218" s="87"/>
      <c r="O218" s="87"/>
      <c r="P218" s="87"/>
      <c r="Q218" s="87"/>
      <c r="R218" s="87"/>
      <c r="S218" s="88">
        <f>MIN($B$8,AVERAGE(T155:T156)/(1+I218+$D$8/10000))+$B$7</f>
        <v>65.464875115568134</v>
      </c>
      <c r="T218" s="88">
        <f>MIN($B$8,AVERAGE(U155:U156)/(1+J218+$D$8/10000))+$B$7</f>
        <v>62.372250362460605</v>
      </c>
      <c r="U218" s="88">
        <f t="shared" si="10"/>
        <v>76.787442629270828</v>
      </c>
    </row>
    <row r="219" spans="1:21" x14ac:dyDescent="0.35">
      <c r="A219" s="30"/>
      <c r="B219" s="4"/>
      <c r="C219" s="4"/>
      <c r="D219" s="4"/>
      <c r="E219" s="4"/>
      <c r="F219" s="4"/>
      <c r="G219" s="4"/>
      <c r="H219" s="17"/>
      <c r="I219" s="9">
        <f>(H250+$B$4)*EXP(10*$I$22)</f>
        <v>0.36485093926502066</v>
      </c>
      <c r="J219" s="9">
        <f>(I250+$B$4)*EXP(10*$J$22)</f>
        <v>0.47194256622663505</v>
      </c>
      <c r="K219" s="9">
        <f>(J250+$B$4)*EXP(10*$K$22)</f>
        <v>0.58530479563777338</v>
      </c>
      <c r="L219" s="87"/>
      <c r="M219" s="87"/>
      <c r="N219" s="87"/>
      <c r="O219" s="87"/>
      <c r="P219" s="87"/>
      <c r="Q219" s="87"/>
      <c r="R219" s="87"/>
      <c r="S219" s="88">
        <f>MIN($B$8,AVERAGE(T157:T158)/(1+I219+$D$8/10000))+$B$7</f>
        <v>56.547822534034381</v>
      </c>
      <c r="T219" s="88">
        <f>MIN($B$8,AVERAGE(U157:U158)/(1+J219+$D$8/10000))+$B$7</f>
        <v>62.430389991797014</v>
      </c>
      <c r="U219" s="88">
        <f t="shared" si="10"/>
        <v>76.820218027694025</v>
      </c>
    </row>
    <row r="220" spans="1:21" x14ac:dyDescent="0.35">
      <c r="A220" s="30"/>
      <c r="B220" s="4"/>
      <c r="C220" s="4"/>
      <c r="D220" s="4"/>
      <c r="E220" s="4"/>
      <c r="F220" s="4"/>
      <c r="G220" s="4"/>
      <c r="H220" s="17"/>
      <c r="I220" s="8">
        <f>H250*EXP(10*I$22)</f>
        <v>0.36235129811754868</v>
      </c>
      <c r="J220" s="8">
        <f>I250*EXP(10*J$22)</f>
        <v>0.46942284774773657</v>
      </c>
      <c r="K220" s="8">
        <f>J250*EXP(10*K$22)</f>
        <v>0.58283002633528613</v>
      </c>
      <c r="L220" s="87"/>
      <c r="M220" s="87"/>
      <c r="N220" s="87"/>
      <c r="O220" s="87"/>
      <c r="P220" s="87"/>
      <c r="Q220" s="87"/>
      <c r="R220" s="87"/>
      <c r="S220" s="88">
        <f>MIN($B$8,AVERAGE(T159:T160)/(1+I220+$D$8/10000))+$B$7</f>
        <v>56.905849536875465</v>
      </c>
      <c r="T220" s="88">
        <f>MIN($B$8,AVERAGE(U159:U160)/(1+J220+$D$8/10000))+$B$7</f>
        <v>62.664005169777276</v>
      </c>
      <c r="U220" s="88">
        <f t="shared" si="10"/>
        <v>76.946621364192922</v>
      </c>
    </row>
    <row r="221" spans="1:21" x14ac:dyDescent="0.35">
      <c r="A221" s="30"/>
      <c r="B221" s="4"/>
      <c r="C221" s="4"/>
      <c r="D221" s="4"/>
      <c r="E221" s="4"/>
      <c r="F221" s="4"/>
      <c r="G221" s="4"/>
      <c r="H221" s="17"/>
      <c r="I221" s="9">
        <f>(H251+$B$4)*EXP(10*$I$22)</f>
        <v>0.36563205996653714</v>
      </c>
      <c r="J221" s="9">
        <f>(I251+$B$4)*EXP(10*$J$22)</f>
        <v>0.47889726142941186</v>
      </c>
      <c r="K221" s="9">
        <f>(J251+$B$4)*EXP(10*$K$22)</f>
        <v>0.5845258898211082</v>
      </c>
      <c r="L221" s="87"/>
      <c r="M221" s="87"/>
      <c r="N221" s="87"/>
      <c r="O221" s="87"/>
      <c r="P221" s="87"/>
      <c r="Q221" s="87"/>
      <c r="R221" s="87"/>
      <c r="S221" s="88">
        <f>MIN($B$8,AVERAGE(T161:T162)/(1+I221+$D$8/10000))+$B$7</f>
        <v>56.436636580482073</v>
      </c>
      <c r="T221" s="88">
        <f>MIN($B$8,AVERAGE(U161:U162)/(1+J221+$D$8/10000))+$B$7</f>
        <v>61.79292399955235</v>
      </c>
      <c r="U221" s="88">
        <f t="shared" si="10"/>
        <v>76.859954790141686</v>
      </c>
    </row>
    <row r="222" spans="1:21" x14ac:dyDescent="0.35">
      <c r="A222" s="30"/>
      <c r="B222" s="4"/>
      <c r="C222" s="4"/>
      <c r="D222" s="4"/>
      <c r="E222" s="4"/>
      <c r="F222" s="4"/>
      <c r="G222" s="4"/>
      <c r="H222" s="17"/>
      <c r="I222" s="8">
        <f>H251*EXP(10*I$22)</f>
        <v>0.36313241881906516</v>
      </c>
      <c r="J222" s="8">
        <f>I251*EXP(10*J$22)</f>
        <v>0.47637754295051343</v>
      </c>
      <c r="K222" s="8">
        <f>J251*EXP(10*K$22)</f>
        <v>0.58205112051862096</v>
      </c>
      <c r="L222" s="87"/>
      <c r="M222" s="87"/>
      <c r="N222" s="87"/>
      <c r="O222" s="87"/>
      <c r="P222" s="87"/>
      <c r="Q222" s="87"/>
      <c r="R222" s="87"/>
      <c r="S222" s="88">
        <f>MIN($B$8,AVERAGE(T163:T164)/(1+I222+$D$8/10000))+$B$7</f>
        <v>56.793603025647776</v>
      </c>
      <c r="T222" s="88">
        <f>MIN($B$8,AVERAGE(U163:U164)/(1+J222+$D$8/10000))+$B$7</f>
        <v>62.022645887073111</v>
      </c>
      <c r="U222" s="88">
        <f t="shared" si="10"/>
        <v>76.986496236470742</v>
      </c>
    </row>
    <row r="223" spans="1:21" x14ac:dyDescent="0.35">
      <c r="A223" s="30"/>
      <c r="B223" s="4"/>
      <c r="C223" s="4"/>
      <c r="D223" s="4"/>
      <c r="E223" s="4"/>
      <c r="F223" s="4"/>
      <c r="G223" s="4"/>
      <c r="H223" s="17"/>
      <c r="I223" s="9">
        <f>(H252+$B$4)*EXP(10*$I$22)</f>
        <v>0.36865263487575511</v>
      </c>
      <c r="J223" s="9">
        <f>(I252+$B$4)*EXP(10*$J$22)</f>
        <v>0.47574806543446185</v>
      </c>
      <c r="K223" s="9">
        <f>(J252+$B$4)*EXP(10*$K$22)</f>
        <v>0.58140802884986431</v>
      </c>
      <c r="L223" s="87"/>
      <c r="M223" s="87"/>
      <c r="N223" s="87"/>
      <c r="O223" s="87"/>
      <c r="P223" s="87"/>
      <c r="Q223" s="87"/>
      <c r="R223" s="87"/>
      <c r="S223" s="88">
        <f>MIN($B$8,AVERAGE(T165:T166)/(1+I223+$D$8/10000))+$B$7</f>
        <v>56.009766299566898</v>
      </c>
      <c r="T223" s="88">
        <f>MIN($B$8,AVERAGE(U165:U166)/(1+J223+$D$8/10000))+$B$7</f>
        <v>62.080253323554842</v>
      </c>
      <c r="U223" s="88">
        <f t="shared" si="10"/>
        <v>77.019451183967405</v>
      </c>
    </row>
    <row r="224" spans="1:21" x14ac:dyDescent="0.35">
      <c r="A224" s="30"/>
      <c r="B224" s="4"/>
      <c r="C224" s="4"/>
      <c r="D224" s="4"/>
      <c r="E224" s="4"/>
      <c r="F224" s="4"/>
      <c r="G224" s="4"/>
      <c r="H224" s="17"/>
      <c r="I224" s="8">
        <f>H252*EXP(10*I$22)</f>
        <v>0.36615299372828314</v>
      </c>
      <c r="J224" s="8">
        <f>I252*EXP(10*J$22)</f>
        <v>0.47322834695556337</v>
      </c>
      <c r="K224" s="8">
        <f>J252*EXP(10*K$22)</f>
        <v>0.57893325954737718</v>
      </c>
      <c r="L224" s="87"/>
      <c r="M224" s="87"/>
      <c r="N224" s="87"/>
      <c r="O224" s="87"/>
      <c r="P224" s="87"/>
      <c r="Q224" s="87"/>
      <c r="R224" s="87"/>
      <c r="S224" s="88">
        <f>MIN($B$8,AVERAGE(T167:T168)/(1+I224+$D$8/10000))+$B$7</f>
        <v>56.362668886290066</v>
      </c>
      <c r="T224" s="88">
        <f>MIN($B$8,AVERAGE(U167:U168)/(1+J224+$D$8/10000))+$B$7</f>
        <v>62.311727284800703</v>
      </c>
      <c r="U224" s="88">
        <f t="shared" si="10"/>
        <v>77.146547739036549</v>
      </c>
    </row>
    <row r="225" spans="1:21" x14ac:dyDescent="0.35">
      <c r="A225" s="30"/>
      <c r="B225" s="4"/>
      <c r="C225" s="4"/>
      <c r="D225" s="4"/>
      <c r="E225" s="4"/>
      <c r="F225" s="4"/>
      <c r="G225" s="4"/>
      <c r="H225" s="17"/>
      <c r="I225" s="9">
        <f>(H253+$B$4)*EXP(10*$I$22)</f>
        <v>0.36648771698117083</v>
      </c>
      <c r="J225" s="9">
        <f>(I253+$B$4)*EXP(10*$J$22)</f>
        <v>0.47988136356234251</v>
      </c>
      <c r="K225" s="9">
        <f>(J253+$B$4)*EXP(10*$K$22)</f>
        <v>0.59313152291910187</v>
      </c>
      <c r="L225" s="87"/>
      <c r="M225" s="87"/>
      <c r="N225" s="87"/>
      <c r="O225" s="87"/>
      <c r="P225" s="87"/>
      <c r="Q225" s="87"/>
      <c r="R225" s="87"/>
      <c r="S225" s="88">
        <f>MIN($B$8,AVERAGE(T169:T170)/(1+I226+$D$8/10000))+$B$7</f>
        <v>56.423573472609462</v>
      </c>
      <c r="T225" s="88">
        <f>MIN($B$8,AVERAGE(U169:U170)/(1+J225+$D$8/10000))+$B$7</f>
        <v>61.703581561756963</v>
      </c>
      <c r="U225" s="88">
        <f t="shared" si="10"/>
        <v>76.423321521685395</v>
      </c>
    </row>
    <row r="226" spans="1:21" x14ac:dyDescent="0.35">
      <c r="A226" s="30"/>
      <c r="B226" s="4"/>
      <c r="C226" s="4"/>
      <c r="D226" s="4"/>
      <c r="E226" s="4"/>
      <c r="F226" s="4"/>
      <c r="G226" s="4"/>
      <c r="H226" s="17"/>
      <c r="I226" s="8">
        <f>H253*EXP(10*I$22)</f>
        <v>0.36398807583369891</v>
      </c>
      <c r="J226" s="8">
        <f>I253*EXP(10*J$22)</f>
        <v>0.47736164508344403</v>
      </c>
      <c r="K226" s="8">
        <f>J253*EXP(10*K$22)</f>
        <v>0.59065675361661463</v>
      </c>
      <c r="L226" s="87"/>
      <c r="M226" s="87"/>
      <c r="N226" s="87"/>
      <c r="O226" s="87"/>
      <c r="P226" s="87"/>
      <c r="Q226" s="87"/>
      <c r="R226" s="87"/>
      <c r="S226" s="88">
        <f>MIN($B$8,AVERAGE(T171:T172)/(1+I226+$D$8/10000))+$B$7</f>
        <v>56.671027589404076</v>
      </c>
      <c r="T226" s="88">
        <f>MIN($B$8,AVERAGE(U171:U172)/(1+J226+$D$8/10000))+$B$7</f>
        <v>61.932759588103593</v>
      </c>
      <c r="U226" s="88">
        <f t="shared" si="10"/>
        <v>76.548349542567365</v>
      </c>
    </row>
    <row r="227" spans="1:21" x14ac:dyDescent="0.35">
      <c r="A227" s="30"/>
      <c r="B227" s="4"/>
      <c r="C227" s="4"/>
      <c r="D227" s="4"/>
      <c r="E227" s="4"/>
      <c r="F227" s="4"/>
      <c r="G227" s="4"/>
      <c r="H227" s="17"/>
      <c r="I227" s="9">
        <f>(H254+$B$4)*EXP(10*$I$22)</f>
        <v>0.36950829189038881</v>
      </c>
      <c r="J227" s="9">
        <f>(I254+$B$4)*EXP(10*$J$22)</f>
        <v>0.47673216756739245</v>
      </c>
      <c r="K227" s="9">
        <f>(J254+$B$4)*EXP(10*$K$22)</f>
        <v>0.59001366194785798</v>
      </c>
      <c r="L227" s="87"/>
      <c r="M227" s="87"/>
      <c r="N227" s="87"/>
      <c r="O227" s="87"/>
      <c r="P227" s="87"/>
      <c r="Q227" s="87"/>
      <c r="R227" s="87"/>
      <c r="S227" s="88">
        <f>MIN($B$8,AVERAGE(T173:T174)/(1+I227+$D$8/10000))+$B$7</f>
        <v>55.889727990585818</v>
      </c>
      <c r="T227" s="88">
        <f>MIN($B$8,AVERAGE(U173:U174)/(1+J227+$D$8/10000))+$B$7</f>
        <v>61.990230463811244</v>
      </c>
      <c r="U227" s="88">
        <f t="shared" si="10"/>
        <v>76.580909924412637</v>
      </c>
    </row>
    <row r="228" spans="1:21" x14ac:dyDescent="0.35">
      <c r="A228" s="30"/>
      <c r="B228" s="4"/>
      <c r="C228" s="4"/>
      <c r="D228" s="4"/>
      <c r="E228" s="4"/>
      <c r="F228" s="4"/>
      <c r="G228" s="4"/>
      <c r="H228" s="17"/>
      <c r="I228" s="8">
        <f>H254*EXP(10*I$22)</f>
        <v>0.36700865074291683</v>
      </c>
      <c r="J228" s="8">
        <f>I254*EXP(10*J$22)</f>
        <v>0.47421244908849397</v>
      </c>
      <c r="K228" s="8">
        <f>J254*EXP(10*K$22)</f>
        <v>0.58753889264537085</v>
      </c>
      <c r="L228" s="87"/>
      <c r="M228" s="87"/>
      <c r="N228" s="87"/>
      <c r="O228" s="87"/>
      <c r="P228" s="87"/>
      <c r="Q228" s="87"/>
      <c r="R228" s="87"/>
      <c r="S228" s="88">
        <f>MIN($B$8,AVERAGE(T175:T176)/(1+I228+$D$8/10000))+$B$7</f>
        <v>56.241490057358831</v>
      </c>
      <c r="T228" s="88">
        <f>MIN($B$8,AVERAGE(U175:U176)/(1+J228+$D$8/10000))+$B$7</f>
        <v>62.221154994038763</v>
      </c>
      <c r="U228" s="88">
        <f t="shared" si="10"/>
        <v>76.706483114534052</v>
      </c>
    </row>
    <row r="229" spans="1:21" x14ac:dyDescent="0.35">
      <c r="A229" s="30"/>
      <c r="B229" s="4"/>
      <c r="C229" s="4"/>
      <c r="D229" s="4"/>
      <c r="E229" s="4"/>
      <c r="F229" s="4"/>
      <c r="G229" s="4"/>
      <c r="H229" s="17"/>
      <c r="I229" s="9">
        <f>(H255+$B$4)*EXP(10*$I$22)</f>
        <v>0.37028941259190529</v>
      </c>
      <c r="J229" s="9">
        <f>(I255+$B$4)*EXP(10*$J$22)</f>
        <v>0.4836868627701692</v>
      </c>
      <c r="K229" s="9">
        <f>(J255+$B$4)*EXP(10*$K$22)</f>
        <v>0.58923475613119281</v>
      </c>
      <c r="L229" s="87"/>
      <c r="M229" s="87"/>
      <c r="N229" s="87"/>
      <c r="O229" s="87"/>
      <c r="P229" s="87"/>
      <c r="Q229" s="87"/>
      <c r="R229" s="87"/>
      <c r="S229" s="88">
        <f>MIN($B$8,AVERAGE(T177:T178)/(1+I229+$D$8/10000))+$B$7</f>
        <v>55.780484412509345</v>
      </c>
      <c r="T229" s="88">
        <f>MIN($B$8,AVERAGE(U177:U178)/(1+J229+$D$8/10000))+$B$7</f>
        <v>61.360078055398859</v>
      </c>
      <c r="U229" s="88">
        <f t="shared" si="10"/>
        <v>76.620385872437339</v>
      </c>
    </row>
    <row r="230" spans="1:21" x14ac:dyDescent="0.35">
      <c r="A230" s="30"/>
      <c r="B230" s="4"/>
      <c r="C230" s="4"/>
      <c r="D230" s="4"/>
      <c r="E230" s="4"/>
      <c r="F230" s="4"/>
      <c r="G230" s="4"/>
      <c r="H230" s="17"/>
      <c r="I230" s="8">
        <f>H255*EXP(10*I$22)</f>
        <v>0.36778977144443331</v>
      </c>
      <c r="J230" s="8">
        <f>I255*EXP(10*J$22)</f>
        <v>0.48116714429127072</v>
      </c>
      <c r="K230" s="8">
        <f>J255*EXP(10*K$22)</f>
        <v>0.58675998682870567</v>
      </c>
      <c r="L230" s="87"/>
      <c r="M230" s="87"/>
      <c r="N230" s="87"/>
      <c r="O230" s="87"/>
      <c r="P230" s="87"/>
      <c r="Q230" s="87"/>
      <c r="R230" s="87"/>
      <c r="S230" s="88">
        <f>MIN($B$8,AVERAGE(T179:T180)/(1+I230+$D$8/10000))+$B$7</f>
        <v>56.131209387885008</v>
      </c>
      <c r="T230" s="88">
        <f>MIN($B$8,AVERAGE(U179:U180)/(1+J230+$D$8/10000))+$B$7</f>
        <v>61.587169164208738</v>
      </c>
      <c r="U230" s="88">
        <f t="shared" si="10"/>
        <v>76.746095813714206</v>
      </c>
    </row>
    <row r="231" spans="1:21" x14ac:dyDescent="0.35">
      <c r="A231" s="30"/>
      <c r="B231" s="4"/>
      <c r="C231" s="4"/>
      <c r="D231" s="4"/>
      <c r="E231" s="4"/>
      <c r="F231" s="4"/>
      <c r="G231" s="4"/>
      <c r="H231" s="17"/>
      <c r="I231" s="9">
        <f>(H256+$B$4)*EXP(10*$I$22)</f>
        <v>0.37330998750112332</v>
      </c>
      <c r="J231" s="9">
        <f>(I256+$B$4)*EXP(10*$J$22)</f>
        <v>0.48053766677521914</v>
      </c>
      <c r="K231" s="9">
        <f>(J256+$B$4)*EXP(10*$K$22)</f>
        <v>0.58611689515994903</v>
      </c>
      <c r="L231" s="87"/>
      <c r="M231" s="87"/>
      <c r="N231" s="87"/>
      <c r="O231" s="87"/>
      <c r="P231" s="87"/>
      <c r="Q231" s="87"/>
      <c r="R231" s="87"/>
      <c r="S231" s="88">
        <f>MIN($B$8,AVERAGE(T181:T182)/(1+I231+$D$8/10000))+$B$7</f>
        <v>55.361057193797905</v>
      </c>
      <c r="T231" s="88">
        <f>MIN($B$8,AVERAGE(U181:U182)/(1+J231+$D$8/10000))+$B$7</f>
        <v>61.644116030762966</v>
      </c>
      <c r="U231" s="88">
        <f t="shared" si="10"/>
        <v>76.778833978291388</v>
      </c>
    </row>
    <row r="232" spans="1:21" x14ac:dyDescent="0.35">
      <c r="A232" s="30"/>
      <c r="B232" s="4"/>
      <c r="C232" s="4"/>
      <c r="D232" s="4"/>
      <c r="E232" s="4"/>
      <c r="F232" s="4"/>
      <c r="G232" s="4"/>
      <c r="H232" s="17"/>
      <c r="I232" s="8">
        <f>H256*EXP(10*I$22)</f>
        <v>0.37081034635365134</v>
      </c>
      <c r="J232" s="8">
        <f>I256*EXP(10*J$22)</f>
        <v>0.47801794829632072</v>
      </c>
      <c r="K232" s="8">
        <f>J256*EXP(10*K$22)</f>
        <v>0.58364212585746178</v>
      </c>
      <c r="L232" s="87"/>
      <c r="M232" s="87"/>
      <c r="N232" s="87"/>
      <c r="O232" s="87"/>
      <c r="P232" s="87"/>
      <c r="Q232" s="87"/>
      <c r="R232" s="87"/>
      <c r="S232" s="88">
        <f>MIN($B$8,AVERAGE(T183:T184)/(1+I232+$D$8/10000))+$B$7</f>
        <v>55.707808060046979</v>
      </c>
      <c r="T232" s="88">
        <f>MIN($B$8,AVERAGE(U183:U184)/(1+J232+$D$8/10000))+$B$7</f>
        <v>61.872932312848498</v>
      </c>
      <c r="U232" s="88">
        <f t="shared" si="10"/>
        <v>76.905093559920957</v>
      </c>
    </row>
    <row r="233" spans="1:21" x14ac:dyDescent="0.35">
      <c r="A233" s="30"/>
      <c r="B233" s="4"/>
      <c r="C233" s="4"/>
      <c r="D233" s="4"/>
      <c r="E233" s="4"/>
      <c r="F233" s="4"/>
      <c r="G233" s="4"/>
      <c r="H233" s="17"/>
      <c r="I233" s="9">
        <f>(H257+$B$4)*EXP(10*$I$22)</f>
        <v>0.36772149053071201</v>
      </c>
      <c r="J233" s="9">
        <f>(I257+$B$4)*EXP(10*$J$22)</f>
        <v>0.48095937095802821</v>
      </c>
      <c r="K233" s="9">
        <f>(J257+$B$4)*EXP(10*$K$22)</f>
        <v>0.59434923579364629</v>
      </c>
      <c r="L233" s="87"/>
      <c r="M233" s="87"/>
      <c r="N233" s="87"/>
      <c r="O233" s="87"/>
      <c r="P233" s="87"/>
      <c r="Q233" s="87"/>
      <c r="R233" s="87"/>
      <c r="S233" s="88">
        <f>MIN($B$8,AVERAGE(T185:T186)/(1+I233+$D$8/10000))+$B$7</f>
        <v>56.140836468919517</v>
      </c>
      <c r="T233" s="88">
        <f>MIN($B$8,AVERAGE(U185:U186)/(1+J233+$D$8/10000))+$B$7</f>
        <v>61.605956245832232</v>
      </c>
      <c r="U233" s="88">
        <f t="shared" si="10"/>
        <v>76.361959407376148</v>
      </c>
    </row>
    <row r="234" spans="1:21" x14ac:dyDescent="0.35">
      <c r="A234" s="30"/>
      <c r="B234" s="4"/>
      <c r="C234" s="4"/>
      <c r="D234" s="4"/>
      <c r="E234" s="4"/>
      <c r="F234" s="4"/>
      <c r="G234" s="4"/>
      <c r="H234" s="17"/>
      <c r="I234" s="8">
        <f>H257*EXP(10*I$22)</f>
        <v>0.36522184938324004</v>
      </c>
      <c r="J234" s="8">
        <f>I257*EXP(10*J$22)</f>
        <v>0.47843965247912973</v>
      </c>
      <c r="K234" s="8">
        <f>J257*EXP(10*K$22)</f>
        <v>0.59187446649115905</v>
      </c>
      <c r="L234" s="87"/>
      <c r="M234" s="87"/>
      <c r="N234" s="87"/>
      <c r="O234" s="87"/>
      <c r="P234" s="87"/>
      <c r="Q234" s="87"/>
      <c r="R234" s="87"/>
      <c r="S234" s="88">
        <f>MIN($B$8,AVERAGE(T187:T188)/(1+I234+$D$8/10000))+$B$7</f>
        <v>56.494985526930222</v>
      </c>
      <c r="T234" s="88">
        <f>MIN($B$8,AVERAGE(U187:U188)/(1+J234+$D$8/10000))+$B$7</f>
        <v>61.834540495193323</v>
      </c>
      <c r="U234" s="88">
        <f t="shared" si="10"/>
        <v>76.486775470439397</v>
      </c>
    </row>
    <row r="235" spans="1:21" x14ac:dyDescent="0.35">
      <c r="A235" s="30"/>
      <c r="B235" s="4"/>
      <c r="C235" s="4"/>
      <c r="D235" s="4"/>
      <c r="E235" s="4"/>
      <c r="F235" s="4"/>
      <c r="G235" s="4"/>
      <c r="H235" s="17"/>
      <c r="I235" s="9">
        <f>(H258+$B$4)*EXP(10*$I$22)</f>
        <v>0.37074206543992999</v>
      </c>
      <c r="J235" s="9">
        <f>(I258+$B$4)*EXP(10*$J$22)</f>
        <v>0.47781017496307815</v>
      </c>
      <c r="K235" s="9">
        <f>(J258+$B$4)*EXP(10*$K$22)</f>
        <v>0.5912313748224024</v>
      </c>
      <c r="L235" s="87"/>
      <c r="M235" s="87"/>
      <c r="N235" s="87"/>
      <c r="O235" s="87"/>
      <c r="P235" s="87"/>
      <c r="Q235" s="87"/>
      <c r="R235" s="87"/>
      <c r="S235" s="88">
        <f>MIN($B$8,AVERAGE(T189:T190)/(1+I235+$D$8/10000))+$B$7</f>
        <v>55.71732591468605</v>
      </c>
      <c r="T235" s="88">
        <f>MIN($B$8,AVERAGE(U189:U190)/(1+J235+$D$8/10000))+$B$7</f>
        <v>61.89186227716236</v>
      </c>
      <c r="U235" s="88">
        <f t="shared" si="10"/>
        <v>76.519280593311777</v>
      </c>
    </row>
    <row r="236" spans="1:21" x14ac:dyDescent="0.35">
      <c r="A236" s="30"/>
      <c r="B236" s="4"/>
      <c r="C236" s="4"/>
      <c r="D236" s="4"/>
      <c r="E236" s="4"/>
      <c r="F236" s="4"/>
      <c r="G236" s="4"/>
      <c r="H236" s="17"/>
      <c r="I236" s="8">
        <f>H258*EXP(10*I$22)</f>
        <v>0.36824242429245801</v>
      </c>
      <c r="J236" s="8">
        <f>I258*EXP(10*J$22)</f>
        <v>0.47529045648417972</v>
      </c>
      <c r="K236" s="8">
        <f>J258*EXP(10*K$22)</f>
        <v>0.58875660551991527</v>
      </c>
      <c r="L236" s="87"/>
      <c r="M236" s="87"/>
      <c r="N236" s="87"/>
      <c r="O236" s="87"/>
      <c r="P236" s="87"/>
      <c r="Q236" s="87"/>
      <c r="R236" s="87"/>
      <c r="S236" s="88">
        <f>MIN($B$8,AVERAGE(T191:T192)/(1+I236+$D$8/10000))+$B$7</f>
        <v>56.067451678414344</v>
      </c>
      <c r="T236" s="88">
        <f>MIN($B$8,AVERAGE(U191:U192)/(1+J236+$D$8/10000))+$B$7</f>
        <v>62.122186954534662</v>
      </c>
      <c r="U236" s="88">
        <f t="shared" si="10"/>
        <v>76.644640438371113</v>
      </c>
    </row>
    <row r="237" spans="1:21" x14ac:dyDescent="0.35">
      <c r="A237" s="30"/>
      <c r="B237" s="4"/>
      <c r="C237" s="4"/>
      <c r="D237" s="4"/>
      <c r="E237" s="4"/>
      <c r="F237" s="4"/>
      <c r="G237" s="4"/>
      <c r="H237" s="17"/>
      <c r="I237" s="9">
        <f>(H259+$B$4)*EXP(10*$I$22)</f>
        <v>0.37152318614144653</v>
      </c>
      <c r="J237" s="9">
        <f>(I259+$B$4)*EXP(10*$J$22)</f>
        <v>0.48476487016585496</v>
      </c>
      <c r="K237" s="9">
        <f>(J259+$B$4)*EXP(10*$K$22)</f>
        <v>0.59045246900573722</v>
      </c>
      <c r="L237" s="87"/>
      <c r="M237" s="87"/>
      <c r="N237" s="87"/>
      <c r="O237" s="87"/>
      <c r="P237" s="87"/>
      <c r="Q237" s="87"/>
      <c r="R237" s="87"/>
      <c r="S237" s="88">
        <f>MIN($B$8,AVERAGE(T193:T194)/(1+I237+$D$8/10000))+$B$7</f>
        <v>55.608589666462173</v>
      </c>
      <c r="T237" s="88">
        <f>MIN($B$8,AVERAGE(U193:U194)/(1+J237+$D$8/10000))+$B$7</f>
        <v>61.263340418935371</v>
      </c>
      <c r="U237" s="88">
        <f t="shared" si="10"/>
        <v>76.558689512585673</v>
      </c>
    </row>
    <row r="238" spans="1:21" x14ac:dyDescent="0.35">
      <c r="A238" s="30"/>
      <c r="B238" s="4"/>
      <c r="C238" s="4"/>
      <c r="D238" s="4"/>
      <c r="E238" s="4"/>
      <c r="F238" s="4"/>
      <c r="G238" s="4"/>
      <c r="H238" s="17"/>
      <c r="I238" s="8">
        <f>H259*EXP(10*I$22)</f>
        <v>0.36902354499397455</v>
      </c>
      <c r="J238" s="8">
        <f>I259*EXP(10*J$22)</f>
        <v>0.48224515168695647</v>
      </c>
      <c r="K238" s="8">
        <f>J259*EXP(10*K$22)</f>
        <v>0.58797769970325009</v>
      </c>
      <c r="L238" s="87"/>
      <c r="M238" s="87"/>
      <c r="N238" s="87"/>
      <c r="O238" s="87"/>
      <c r="P238" s="87"/>
      <c r="Q238" s="87"/>
      <c r="R238" s="87"/>
      <c r="S238" s="88">
        <f>MIN($B$8,AVERAGE(T195:T196)/(1+I238+$D$8/10000))+$B$7</f>
        <v>55.957684449712225</v>
      </c>
      <c r="T238" s="88">
        <f>MIN($B$8,AVERAGE(U195:U196)/(1+J238+$D$8/10000))+$B$7</f>
        <v>61.489844990248265</v>
      </c>
      <c r="U238" s="88">
        <f t="shared" si="10"/>
        <v>76.684185760349635</v>
      </c>
    </row>
    <row r="239" spans="1:21" x14ac:dyDescent="0.35">
      <c r="A239" s="30"/>
      <c r="B239" s="4"/>
      <c r="C239" s="4"/>
      <c r="D239" s="4"/>
      <c r="E239" s="4"/>
      <c r="F239" s="4"/>
      <c r="G239" s="4"/>
      <c r="H239" s="17"/>
      <c r="I239" s="9">
        <f>(H260+$B$4)*EXP(10*$I$22)</f>
        <v>0.3745437610506645</v>
      </c>
      <c r="J239" s="9">
        <f>(I260+$B$4)*EXP(10*$J$22)</f>
        <v>0.48161567417090489</v>
      </c>
      <c r="K239" s="9">
        <f>(J260+$B$4)*EXP(10*$K$22)</f>
        <v>0.58733460803449344</v>
      </c>
      <c r="L239" s="87"/>
      <c r="M239" s="87"/>
      <c r="N239" s="87"/>
      <c r="O239" s="87"/>
      <c r="P239" s="87"/>
      <c r="Q239" s="87"/>
      <c r="R239" s="87"/>
      <c r="S239" s="88">
        <f>MIN($B$8,AVERAGE(T197:T198)/(1+I239+$D$8/10000))+$B$7</f>
        <v>55.191106556437994</v>
      </c>
      <c r="T239" s="88">
        <f>MIN($B$8,AVERAGE(U197:U198)/(1+J239+$D$8/10000))+$B$7</f>
        <v>61.546644583185369</v>
      </c>
      <c r="U239" s="88">
        <f t="shared" si="10"/>
        <v>76.716868212951354</v>
      </c>
    </row>
    <row r="240" spans="1:21" x14ac:dyDescent="0.35">
      <c r="A240" s="30"/>
      <c r="B240" s="4"/>
      <c r="C240" s="4"/>
      <c r="D240" s="4"/>
      <c r="E240" s="4"/>
      <c r="F240" s="4"/>
      <c r="G240" s="4"/>
      <c r="H240" s="17"/>
      <c r="I240" s="8">
        <f>H260*EXP(10*I$22)</f>
        <v>0.37204411990319253</v>
      </c>
      <c r="J240" s="8">
        <f>I260*EXP(10*J$22)</f>
        <v>0.47909595569200641</v>
      </c>
      <c r="K240" s="8">
        <f>J260*EXP(10*K$22)</f>
        <v>0.5848598387320062</v>
      </c>
      <c r="L240" s="87"/>
      <c r="M240" s="87"/>
      <c r="N240" s="87"/>
      <c r="O240" s="87"/>
      <c r="P240" s="87"/>
      <c r="Q240" s="87"/>
      <c r="R240" s="87"/>
      <c r="S240" s="88">
        <f>MIN($B$8,AVERAGE(T199:T200)/(1+I240+$D$8/10000))+$B$7</f>
        <v>55.536250603192379</v>
      </c>
      <c r="T240" s="88">
        <f>MIN($B$8,AVERAGE(U199:U200)/(1+J240+$D$8/10000))+$B$7</f>
        <v>61.77486834478448</v>
      </c>
      <c r="U240" s="88">
        <f t="shared" si="10"/>
        <v>76.842912698640774</v>
      </c>
    </row>
    <row r="241" spans="1:21" x14ac:dyDescent="0.35">
      <c r="A241" s="30"/>
      <c r="B241" s="4"/>
      <c r="C241" s="4"/>
      <c r="D241" s="4"/>
      <c r="E241" s="4"/>
      <c r="F241" s="4"/>
      <c r="G241" s="4"/>
      <c r="H241" s="17"/>
      <c r="I241" s="9">
        <f>(H261+$B$4)*EXP(10*$I$22)</f>
        <v>0.37237884315608016</v>
      </c>
      <c r="J241" s="9">
        <f>(I261+$B$4)*EXP(10*$J$22)</f>
        <v>0.48574897229878561</v>
      </c>
      <c r="K241" s="9">
        <f>(J261+$B$4)*EXP(10*$K$22)</f>
        <v>0.59905810210373067</v>
      </c>
      <c r="L241" s="87"/>
      <c r="M241" s="87"/>
      <c r="N241" s="87"/>
      <c r="O241" s="87"/>
      <c r="P241" s="87"/>
      <c r="Q241" s="87"/>
      <c r="R241" s="87"/>
      <c r="S241" s="88">
        <f>MIN($B$8,AVERAGE(T201:T202)/(1+I241+$D$8/10000))+$B$7</f>
        <v>55.489844377540464</v>
      </c>
      <c r="T241" s="88">
        <f>MIN($B$8,AVERAGE(U201:U202)/(1+J241+$D$8/10000))+$B$7</f>
        <v>61.175247459571054</v>
      </c>
      <c r="U241" s="88">
        <f t="shared" si="10"/>
        <v>76.125648878239531</v>
      </c>
    </row>
    <row r="242" spans="1:21" x14ac:dyDescent="0.35">
      <c r="A242" s="30"/>
      <c r="B242" s="4"/>
      <c r="C242" s="4"/>
      <c r="D242" s="4"/>
      <c r="E242" s="4"/>
      <c r="F242" s="4"/>
      <c r="G242" s="4"/>
      <c r="H242" s="17"/>
      <c r="I242" s="8">
        <f>H261*EXP(10*I$22)</f>
        <v>0.36987920200860819</v>
      </c>
      <c r="J242" s="8">
        <f>I261*EXP(10*J$22)</f>
        <v>0.48322925381988713</v>
      </c>
      <c r="K242" s="8">
        <f>J261*EXP(10*K$22)</f>
        <v>0.59658333280124354</v>
      </c>
      <c r="L242" s="87"/>
      <c r="M242" s="87"/>
      <c r="N242" s="87"/>
      <c r="O242" s="87"/>
      <c r="P242" s="87"/>
      <c r="Q242" s="87"/>
      <c r="R242" s="87"/>
      <c r="S242" s="88">
        <f>MIN($B$8,AVERAGE(T203:T204)/(1+I242+$D$8/10000))+$B$7</f>
        <v>55.837814215652713</v>
      </c>
      <c r="T242" s="88">
        <f>MIN($B$8,AVERAGE(U203:U204)/(1+J242+$D$8/10000))+$B$7</f>
        <v>61.401218359913351</v>
      </c>
      <c r="U242" s="88">
        <f t="shared" si="10"/>
        <v>76.249650356924832</v>
      </c>
    </row>
    <row r="243" spans="1:21" x14ac:dyDescent="0.35">
      <c r="A243" s="30"/>
      <c r="B243" s="4"/>
      <c r="C243" s="4"/>
      <c r="D243" s="4"/>
      <c r="E243" s="4"/>
      <c r="F243" s="4"/>
      <c r="G243" s="4"/>
      <c r="H243" s="17"/>
      <c r="I243" s="9">
        <f>(H262+$B$4)*EXP(10*$I$22)</f>
        <v>0.3753994180652982</v>
      </c>
      <c r="J243" s="9">
        <f>(I262+$B$4)*EXP(10*$J$22)</f>
        <v>0.48259977630383555</v>
      </c>
      <c r="K243" s="9">
        <f>(J262+$B$4)*EXP(10*$K$22)</f>
        <v>0.59594024113248689</v>
      </c>
      <c r="L243" s="87"/>
      <c r="M243" s="87"/>
      <c r="N243" s="87"/>
      <c r="O243" s="87"/>
      <c r="P243" s="87"/>
      <c r="Q243" s="87"/>
      <c r="R243" s="87"/>
      <c r="S243" s="88">
        <f>MIN($B$8,AVERAGE(T205:T206)/(1+I243+$D$8/10000))+$B$7</f>
        <v>55.073702855227516</v>
      </c>
      <c r="T243" s="88">
        <f>MIN($B$8,AVERAGE(U205:U206)/(1+J243+$D$8/10000))+$B$7</f>
        <v>61.457883954054225</v>
      </c>
      <c r="U243" s="88">
        <f t="shared" si="10"/>
        <v>76.281943113041535</v>
      </c>
    </row>
    <row r="244" spans="1:21" x14ac:dyDescent="0.35">
      <c r="A244" s="30"/>
      <c r="B244" s="4"/>
      <c r="C244" s="4"/>
      <c r="D244" s="4"/>
      <c r="E244" s="4"/>
      <c r="F244" s="4"/>
      <c r="G244" s="4"/>
      <c r="H244" s="17"/>
      <c r="I244" s="8">
        <f>H262*EXP(10*I$22)</f>
        <v>0.37289977691782622</v>
      </c>
      <c r="J244" s="8">
        <f>I262*EXP(10*J$22)</f>
        <v>0.48008005782493712</v>
      </c>
      <c r="K244" s="8">
        <f>J262*EXP(10*K$22)</f>
        <v>0.59346547182999976</v>
      </c>
      <c r="L244" s="87"/>
      <c r="M244" s="87"/>
      <c r="N244" s="87"/>
      <c r="O244" s="87"/>
      <c r="P244" s="87"/>
      <c r="Q244" s="87"/>
      <c r="R244" s="87"/>
      <c r="S244" s="88">
        <f>MIN($B$8,AVERAGE(T207:T208)/(1+I244+$D$8/10000))+$B$7</f>
        <v>55.417738068864345</v>
      </c>
      <c r="T244" s="88">
        <f>MIN($B$8,AVERAGE(U207:U208)/(1+J244+$D$8/10000))+$B$7</f>
        <v>61.685568605576215</v>
      </c>
      <c r="U244" s="88">
        <f t="shared" si="10"/>
        <v>76.406483053360901</v>
      </c>
    </row>
    <row r="245" spans="1:21" x14ac:dyDescent="0.35">
      <c r="A245" s="30"/>
      <c r="B245" s="4"/>
      <c r="C245" s="4"/>
      <c r="D245" s="4"/>
      <c r="E245" s="4"/>
      <c r="F245" s="4"/>
      <c r="G245" s="4"/>
      <c r="H245" s="17"/>
      <c r="I245" s="9">
        <f>(H263+$B$4)*EXP(10*$I$22)</f>
        <v>0.37618053876681468</v>
      </c>
      <c r="J245" s="9">
        <f>(I263+$B$4)*EXP(10*$J$22)</f>
        <v>0.48955447150661235</v>
      </c>
      <c r="K245" s="9">
        <f>(J263+$B$4)*EXP(10*$K$22)</f>
        <v>0.59516133531582172</v>
      </c>
      <c r="L245" s="87"/>
      <c r="M245" s="87"/>
      <c r="N245" s="87"/>
      <c r="O245" s="87"/>
      <c r="P245" s="87"/>
      <c r="Q245" s="87"/>
      <c r="R245" s="87"/>
      <c r="S245" s="88">
        <f>MIN($B$8,AVERAGE(T209:T210)/(1+I245+$D$8/10000))+$B$7</f>
        <v>54.966855003604664</v>
      </c>
      <c r="T245" s="88">
        <f>MIN($B$8,AVERAGE(U209:U210)/(1+J245+$D$8/10000))+$B$7</f>
        <v>60.836538609287494</v>
      </c>
      <c r="U245" s="88">
        <f t="shared" si="10"/>
        <v>76.321094433703294</v>
      </c>
    </row>
    <row r="246" spans="1:21" x14ac:dyDescent="0.35">
      <c r="A246" s="30"/>
      <c r="B246" s="4"/>
      <c r="C246" s="4"/>
      <c r="D246" s="4"/>
      <c r="E246" s="4"/>
      <c r="F246" s="4"/>
      <c r="G246" s="4"/>
      <c r="H246" s="17"/>
      <c r="I246" s="8">
        <f>H263*EXP(10*I$22)</f>
        <v>0.37368089761934276</v>
      </c>
      <c r="J246" s="8">
        <f>I263*EXP(10*J$22)</f>
        <v>0.48703475302771387</v>
      </c>
      <c r="K246" s="8">
        <f>J263*EXP(10*K$22)</f>
        <v>0.59268656601333458</v>
      </c>
      <c r="L246" s="87"/>
      <c r="M246" s="87"/>
      <c r="N246" s="87"/>
      <c r="O246" s="87"/>
      <c r="P246" s="87"/>
      <c r="Q246" s="87"/>
      <c r="R246" s="87"/>
      <c r="S246" s="88">
        <f>MIN($B$8,AVERAGE(T211:T212)/(1+I246+$D$8/10000))+$B$7</f>
        <v>55.309881915911973</v>
      </c>
      <c r="T246" s="88">
        <f>MIN($B$8,AVERAGE(U211:U212)/(1+J246+$D$8/10000))+$B$7</f>
        <v>61.060461618492653</v>
      </c>
      <c r="U246" s="88">
        <f t="shared" si="10"/>
        <v>76.445769440362113</v>
      </c>
    </row>
    <row r="247" spans="1:21" x14ac:dyDescent="0.35">
      <c r="A247" s="30"/>
      <c r="B247" s="4"/>
      <c r="C247" s="4"/>
      <c r="D247" s="4"/>
      <c r="E247" s="4"/>
      <c r="F247" s="4"/>
      <c r="G247" s="4"/>
      <c r="H247" s="17"/>
      <c r="I247" s="9">
        <f>(H264+$B$4)*EXP(10*$I$22)</f>
        <v>0.37920111367603265</v>
      </c>
      <c r="J247" s="9">
        <f>(I264+$B$4)*EXP(10*$J$22)</f>
        <v>0.48640527551166229</v>
      </c>
      <c r="K247" s="9">
        <f>(J264+$B$4)*EXP(10*$K$22)</f>
        <v>0.59204347434457794</v>
      </c>
      <c r="L247" s="87"/>
      <c r="M247" s="87"/>
      <c r="N247" s="87"/>
      <c r="O247" s="87"/>
      <c r="P247" s="87"/>
      <c r="Q247" s="87"/>
      <c r="R247" s="87"/>
      <c r="S247" s="88">
        <f>MIN($B$8,AVERAGE(T213:T214)/(1+I247+$D$8/10000))+$B$7</f>
        <v>54.556608498262101</v>
      </c>
      <c r="T247" s="88">
        <f>MIN($B$8,AVERAGE(U213:U214)/(1+J247+$D$8/10000))+$B$7</f>
        <v>61.116613015210248</v>
      </c>
      <c r="U247" s="88">
        <f t="shared" si="10"/>
        <v>76.478237788870047</v>
      </c>
    </row>
    <row r="248" spans="1:21" x14ac:dyDescent="0.35">
      <c r="A248" s="30"/>
      <c r="B248" s="4"/>
      <c r="C248" s="4"/>
      <c r="D248" s="4"/>
      <c r="E248" s="4"/>
      <c r="F248" s="4"/>
      <c r="G248" s="4"/>
      <c r="H248" s="17"/>
      <c r="I248" s="8">
        <f>H264*EXP(10*I$22)</f>
        <v>0.37670147252856068</v>
      </c>
      <c r="J248" s="8">
        <f>I264*EXP(10*J$22)</f>
        <v>0.48388555703276381</v>
      </c>
      <c r="K248" s="8">
        <f>J264*EXP(10*K$22)</f>
        <v>0.58956870504209069</v>
      </c>
      <c r="L248" s="87"/>
      <c r="M248" s="87"/>
      <c r="N248" s="87"/>
      <c r="O248" s="87"/>
      <c r="P248" s="87"/>
      <c r="Q248" s="87"/>
      <c r="R248" s="87"/>
      <c r="S248" s="88">
        <f>MIN($B$8,AVERAGE(T215:T216)/(1+I248+$D$8/10000))+$B$7</f>
        <v>54.895771418535205</v>
      </c>
      <c r="T248" s="88">
        <f>MIN($B$8,AVERAGE(U215:U216)/(1+J248+$D$8/10000))+$B$7</f>
        <v>61.342228944702185</v>
      </c>
      <c r="U248" s="88">
        <f t="shared" si="10"/>
        <v>76.603455654979712</v>
      </c>
    </row>
    <row r="249" spans="1:21" x14ac:dyDescent="0.35">
      <c r="A249" s="30"/>
      <c r="B249" s="4"/>
      <c r="C249" s="4"/>
      <c r="D249" s="4"/>
      <c r="E249" s="4"/>
      <c r="F249" s="4"/>
      <c r="G249" s="4"/>
      <c r="H249" s="8">
        <f>G265*EXP(2*$H$22)</f>
        <v>0.24710249225851758</v>
      </c>
      <c r="I249" s="9">
        <f>(H265+$B$4)*EXP(10*$I$22)</f>
        <v>0.37509908166350348</v>
      </c>
      <c r="J249" s="9">
        <f>(I265+$B$4)*EXP(10*$J$22)</f>
        <v>0.47353738121580757</v>
      </c>
      <c r="K249" s="9">
        <f>(J265+$B$4)*EXP(10*$K$22)</f>
        <v>0.58708874680366852</v>
      </c>
      <c r="L249" s="87"/>
      <c r="M249" s="87"/>
      <c r="N249" s="87"/>
      <c r="O249" s="87"/>
      <c r="P249" s="87"/>
      <c r="Q249" s="87"/>
      <c r="R249" s="88">
        <f>MIN($B$8,AVERAGE(S217:S218)/(1+H249+$D$8/10000))+$B$7</f>
        <v>63.858605605882225</v>
      </c>
      <c r="S249" s="88">
        <f>MIN($B$8,AVERAGE(T217:T218)/(1+I249+$D$8/10000))+$B$7</f>
        <v>55.114868695942029</v>
      </c>
      <c r="T249" s="88">
        <f>MIN($B$8,AVERAGE(U217:U218)/(1+J249+$D$8/10000))+$B$7</f>
        <v>62.283261963564541</v>
      </c>
      <c r="U249" s="88">
        <f t="shared" si="10"/>
        <v>76.729370852457933</v>
      </c>
    </row>
    <row r="250" spans="1:21" x14ac:dyDescent="0.35">
      <c r="A250" s="30"/>
      <c r="B250" s="4"/>
      <c r="C250" s="4"/>
      <c r="D250" s="4"/>
      <c r="E250" s="4"/>
      <c r="F250" s="4"/>
      <c r="G250" s="4"/>
      <c r="H250" s="9">
        <f>(G265+$B$4)*EXP(10*$H$22)</f>
        <v>0.28992265428500852</v>
      </c>
      <c r="I250" s="8">
        <f>H265*EXP(10*I$22)</f>
        <v>0.3725994405160315</v>
      </c>
      <c r="J250" s="8">
        <f>I265*EXP(10*J$22)</f>
        <v>0.47101766273690909</v>
      </c>
      <c r="K250" s="8">
        <f>J265*EXP(10*K$22)</f>
        <v>0.58461397750118127</v>
      </c>
      <c r="L250" s="87"/>
      <c r="M250" s="87"/>
      <c r="N250" s="87"/>
      <c r="O250" s="87"/>
      <c r="P250" s="87"/>
      <c r="Q250" s="87"/>
      <c r="R250" s="88">
        <f>MIN($B$8,AVERAGE(S219:S220)/(1+H250+$D$8/10000))+$B$7</f>
        <v>54.076980832171387</v>
      </c>
      <c r="S250" s="88">
        <f>MIN($B$8,AVERAGE(T219:T220)/(1+I250+$D$8/10000))+$B$7</f>
        <v>55.459292595815917</v>
      </c>
      <c r="T250" s="88">
        <f>MIN($B$8,AVERAGE(U219:U220)/(1+J250+$D$8/10000))+$B$7</f>
        <v>62.515976575798391</v>
      </c>
      <c r="U250" s="88">
        <f t="shared" si="10"/>
        <v>76.855458722592857</v>
      </c>
    </row>
    <row r="251" spans="1:21" x14ac:dyDescent="0.35">
      <c r="A251" s="30"/>
      <c r="B251" s="4"/>
      <c r="C251" s="4"/>
      <c r="D251" s="4"/>
      <c r="E251" s="4"/>
      <c r="F251" s="4"/>
      <c r="G251" s="4"/>
      <c r="H251" s="8">
        <f>G266*EXP(10*$H$22)</f>
        <v>0.29054764055738325</v>
      </c>
      <c r="I251" s="9">
        <f>(H266+$B$4)*EXP(10*$I$22)</f>
        <v>0.37811965657272145</v>
      </c>
      <c r="J251" s="9">
        <f>(I266+$B$4)*EXP(10*$J$22)</f>
        <v>0.47038818522085751</v>
      </c>
      <c r="K251" s="9">
        <f>(J266+$B$4)*EXP(10*$K$22)</f>
        <v>0.58397088583242462</v>
      </c>
      <c r="L251" s="87"/>
      <c r="M251" s="87"/>
      <c r="N251" s="87"/>
      <c r="O251" s="87"/>
      <c r="P251" s="87"/>
      <c r="Q251" s="87"/>
      <c r="R251" s="88">
        <f>MIN($B$8,AVERAGE(S221:S222)/(1+H251+$D$8/10000))+$B$7</f>
        <v>53.950801696736598</v>
      </c>
      <c r="S251" s="88">
        <f>MIN($B$8,AVERAGE(T221:T222)/(1+I251+$D$8/10000))+$B$7</f>
        <v>54.702956089804964</v>
      </c>
      <c r="T251" s="88">
        <f>MIN($B$8,AVERAGE(U221:U222)/(1+J251+$D$8/10000))+$B$7</f>
        <v>62.574335480246511</v>
      </c>
      <c r="U251" s="88">
        <f t="shared" si="10"/>
        <v>76.888295417274918</v>
      </c>
    </row>
    <row r="252" spans="1:21" x14ac:dyDescent="0.35">
      <c r="A252" s="30"/>
      <c r="B252" s="4"/>
      <c r="C252" s="4"/>
      <c r="D252" s="4"/>
      <c r="E252" s="4"/>
      <c r="F252" s="4"/>
      <c r="G252" s="4"/>
      <c r="H252" s="9">
        <f>(G266+$B$4)*EXP(10*$H$22)</f>
        <v>0.29296444739565508</v>
      </c>
      <c r="I252" s="8">
        <f>H266*EXP(10*I$22)</f>
        <v>0.37562001542524948</v>
      </c>
      <c r="J252" s="8">
        <f>I266*EXP(10*J$22)</f>
        <v>0.46786846674195903</v>
      </c>
      <c r="K252" s="8">
        <f>J266*EXP(10*K$22)</f>
        <v>0.58149611652993749</v>
      </c>
      <c r="L252" s="87"/>
      <c r="M252" s="87"/>
      <c r="N252" s="87"/>
      <c r="O252" s="87"/>
      <c r="P252" s="87"/>
      <c r="Q252" s="87"/>
      <c r="R252" s="88">
        <f>MIN($B$8,AVERAGE(S223:S224)/(1+H252+$D$8/10000))+$B$7</f>
        <v>53.466907542518513</v>
      </c>
      <c r="S252" s="88">
        <f>MIN($B$8,AVERAGE(T223:T224)/(1+I252+$D$8/10000))+$B$7</f>
        <v>55.043496062190989</v>
      </c>
      <c r="T252" s="88">
        <f>MIN($B$8,AVERAGE(U223:U224)/(1+J252+$D$8/10000))+$B$7</f>
        <v>62.808832896392794</v>
      </c>
      <c r="U252" s="88">
        <f t="shared" si="10"/>
        <v>77.014935410964696</v>
      </c>
    </row>
    <row r="253" spans="1:21" x14ac:dyDescent="0.35">
      <c r="A253" s="30"/>
      <c r="B253" s="4"/>
      <c r="C253" s="4"/>
      <c r="D253" s="4"/>
      <c r="E253" s="4"/>
      <c r="F253" s="4"/>
      <c r="G253" s="4"/>
      <c r="H253" s="8">
        <f>G267*EXP(10*$H$22)</f>
        <v>0.29123226444069472</v>
      </c>
      <c r="I253" s="9">
        <f>(H267+$B$4)*EXP(10*$I$22)</f>
        <v>0.37890077727423793</v>
      </c>
      <c r="J253" s="9">
        <f>(I267+$B$4)*EXP(10*$J$22)</f>
        <v>0.47734288042363443</v>
      </c>
      <c r="K253" s="9">
        <f>(J267+$B$4)*EXP(10*$K$22)</f>
        <v>0.58319198001575945</v>
      </c>
      <c r="L253" s="87"/>
      <c r="M253" s="87"/>
      <c r="N253" s="87"/>
      <c r="O253" s="87"/>
      <c r="P253" s="87"/>
      <c r="Q253" s="87"/>
      <c r="R253" s="88">
        <f>MIN($B$8,AVERAGE(S225:S226)/(1+H253+$D$8/10000))+$B$7</f>
        <v>53.860847918237965</v>
      </c>
      <c r="S253" s="88">
        <f>MIN($B$8,AVERAGE(T225:T226)/(1+I253+$D$8/10000))+$B$7</f>
        <v>54.597191981335641</v>
      </c>
      <c r="T253" s="88">
        <f>MIN($B$8,AVERAGE(U225:U226)/(1+J253+$D$8/10000))+$B$7</f>
        <v>61.934471528245759</v>
      </c>
      <c r="U253" s="88">
        <f t="shared" si="10"/>
        <v>76.928106532123309</v>
      </c>
    </row>
    <row r="254" spans="1:21" x14ac:dyDescent="0.35">
      <c r="A254" s="30"/>
      <c r="B254" s="4"/>
      <c r="C254" s="4"/>
      <c r="D254" s="4"/>
      <c r="E254" s="4"/>
      <c r="F254" s="4"/>
      <c r="G254" s="4"/>
      <c r="H254" s="9">
        <f>(G267+$B$4)*EXP(10*$H$22)</f>
        <v>0.29364907127896656</v>
      </c>
      <c r="I254" s="8">
        <f>H267*EXP(10*I$22)</f>
        <v>0.37640113612676596</v>
      </c>
      <c r="J254" s="8">
        <f>I267*EXP(10*J$22)</f>
        <v>0.47482316194473595</v>
      </c>
      <c r="K254" s="8">
        <f>J267*EXP(10*K$22)</f>
        <v>0.58071721071327231</v>
      </c>
      <c r="L254" s="87"/>
      <c r="M254" s="87"/>
      <c r="N254" s="87"/>
      <c r="O254" s="87"/>
      <c r="P254" s="87"/>
      <c r="Q254" s="87"/>
      <c r="R254" s="88">
        <f>MIN($B$8,AVERAGE(S227:S228)/(1+H254+$D$8/10000))+$B$7</f>
        <v>53.330988314062907</v>
      </c>
      <c r="S254" s="88">
        <f>MIN($B$8,AVERAGE(T227:T228)/(1+I254+$D$8/10000))+$B$7</f>
        <v>54.936736619727519</v>
      </c>
      <c r="T254" s="88">
        <f>MIN($B$8,AVERAGE(U227:U228)/(1+J254+$D$8/10000))+$B$7</f>
        <v>62.165055972786298</v>
      </c>
      <c r="U254" s="88">
        <f t="shared" si="10"/>
        <v>77.054885023792792</v>
      </c>
    </row>
    <row r="255" spans="1:21" x14ac:dyDescent="0.35">
      <c r="A255" s="30"/>
      <c r="B255" s="4"/>
      <c r="C255" s="4"/>
      <c r="D255" s="4"/>
      <c r="E255" s="4"/>
      <c r="F255" s="4"/>
      <c r="G255" s="4"/>
      <c r="H255" s="8">
        <f>G268*EXP(10*$H$22)</f>
        <v>0.29427405755134128</v>
      </c>
      <c r="I255" s="9">
        <f>(H268+$B$4)*EXP(10*$I$22)</f>
        <v>0.38192135218345585</v>
      </c>
      <c r="J255" s="9">
        <f>(I268+$B$4)*EXP(10*$J$22)</f>
        <v>0.47419368442868437</v>
      </c>
      <c r="K255" s="9">
        <f>(J268+$B$4)*EXP(10*$K$22)</f>
        <v>0.58007411904451567</v>
      </c>
      <c r="L255" s="87"/>
      <c r="M255" s="87"/>
      <c r="N255" s="87"/>
      <c r="O255" s="87"/>
      <c r="P255" s="87"/>
      <c r="Q255" s="87"/>
      <c r="R255" s="88">
        <f>MIN($B$8,AVERAGE(S229:S230)/(1+H255+$D$8/10000))+$B$7</f>
        <v>53.207351107905524</v>
      </c>
      <c r="S255" s="88">
        <f>MIN($B$8,AVERAGE(T229:T230)/(1+I255+$D$8/10000))+$B$7</f>
        <v>54.191098671797235</v>
      </c>
      <c r="T255" s="88">
        <f>MIN($B$8,AVERAGE(U229:U230)/(1+J255+$D$8/10000))+$B$7</f>
        <v>62.22287999409793</v>
      </c>
      <c r="U255" s="88">
        <f t="shared" si="10"/>
        <v>77.087901772161189</v>
      </c>
    </row>
    <row r="256" spans="1:21" x14ac:dyDescent="0.35">
      <c r="A256" s="30"/>
      <c r="B256" s="4"/>
      <c r="C256" s="4"/>
      <c r="D256" s="4"/>
      <c r="E256" s="4"/>
      <c r="F256" s="4"/>
      <c r="G256" s="4"/>
      <c r="H256" s="9">
        <f>(G268+$B$4)*EXP(10*$H$22)</f>
        <v>0.29669086438961317</v>
      </c>
      <c r="I256" s="8">
        <f>H268*EXP(10*I$22)</f>
        <v>0.37942171103598388</v>
      </c>
      <c r="J256" s="8">
        <f>I268*EXP(10*J$22)</f>
        <v>0.47167396594978589</v>
      </c>
      <c r="K256" s="8">
        <f>J268*EXP(10*K$22)</f>
        <v>0.57759934974202842</v>
      </c>
      <c r="L256" s="87"/>
      <c r="M256" s="87"/>
      <c r="N256" s="87"/>
      <c r="O256" s="87"/>
      <c r="P256" s="87"/>
      <c r="Q256" s="87"/>
      <c r="R256" s="88">
        <f>MIN($B$8,AVERAGE(S231:S232)/(1+H256+$D$8/10000))+$B$7</f>
        <v>52.733186933958578</v>
      </c>
      <c r="S256" s="88">
        <f>MIN($B$8,AVERAGE(T231:T232)/(1+I256+$D$8/10000))+$B$7</f>
        <v>54.526828918328142</v>
      </c>
      <c r="T256" s="88">
        <f>MIN($B$8,AVERAGE(U231:U232)/(1+J256+$D$8/10000))+$B$7</f>
        <v>62.455225355346876</v>
      </c>
      <c r="U256" s="88">
        <f t="shared" si="10"/>
        <v>77.21523693481133</v>
      </c>
    </row>
    <row r="257" spans="1:21" x14ac:dyDescent="0.35">
      <c r="A257" s="30"/>
      <c r="B257" s="4"/>
      <c r="C257" s="4"/>
      <c r="D257" s="4"/>
      <c r="E257" s="4"/>
      <c r="F257" s="4"/>
      <c r="G257" s="4"/>
      <c r="H257" s="8">
        <f>G269*EXP(10*$H$22)</f>
        <v>0.29221942497834946</v>
      </c>
      <c r="I257" s="9">
        <f>(H269+$B$4)*EXP(10*$I$22)</f>
        <v>0.37975643428887157</v>
      </c>
      <c r="J257" s="9">
        <f>(I269+$B$4)*EXP(10*$J$22)</f>
        <v>0.47832698255656503</v>
      </c>
      <c r="K257" s="9">
        <f>(J269+$B$4)*EXP(10*$K$22)</f>
        <v>0.59179761311375312</v>
      </c>
      <c r="L257" s="87"/>
      <c r="M257" s="87"/>
      <c r="N257" s="87"/>
      <c r="O257" s="87"/>
      <c r="P257" s="87"/>
      <c r="Q257" s="87"/>
      <c r="R257" s="88">
        <f>MIN($B$8,AVERAGE(S233:S234)/(1+H257+$D$8/10000))+$B$7</f>
        <v>53.615395720032431</v>
      </c>
      <c r="S257" s="88">
        <f>MIN($B$8,AVERAGE(T233:T234)/(1+I257+$D$8/10000))+$B$7</f>
        <v>54.481689778294175</v>
      </c>
      <c r="T257" s="88">
        <f>MIN($B$8,AVERAGE(U233:U234)/(1+J257+$D$8/10000))+$B$7</f>
        <v>61.84479411315624</v>
      </c>
      <c r="U257" s="88">
        <f t="shared" si="10"/>
        <v>76.490658497742189</v>
      </c>
    </row>
    <row r="258" spans="1:21" x14ac:dyDescent="0.35">
      <c r="A258" s="30"/>
      <c r="B258" s="4"/>
      <c r="C258" s="4"/>
      <c r="D258" s="4"/>
      <c r="E258" s="4"/>
      <c r="F258" s="4"/>
      <c r="G258" s="4"/>
      <c r="H258" s="9">
        <f>(G269+$B$4)*EXP(10*$H$22)</f>
        <v>0.2946362318166213</v>
      </c>
      <c r="I258" s="8">
        <f>H269*EXP(10*I$22)</f>
        <v>0.37725679314139959</v>
      </c>
      <c r="J258" s="8">
        <f>I269*EXP(10*J$22)</f>
        <v>0.47580726407766655</v>
      </c>
      <c r="K258" s="8">
        <f>J269*EXP(10*K$22)</f>
        <v>0.58932284381126598</v>
      </c>
      <c r="L258" s="87"/>
      <c r="M258" s="87"/>
      <c r="N258" s="87"/>
      <c r="O258" s="87"/>
      <c r="P258" s="87"/>
      <c r="Q258" s="87"/>
      <c r="R258" s="88">
        <f>MIN($B$8,AVERAGE(S235:S236)/(1+H258+$D$8/10000))+$B$7</f>
        <v>53.135896782990692</v>
      </c>
      <c r="S258" s="88">
        <f>MIN($B$8,AVERAGE(T235:T236)/(1+I258+$D$8/10000))+$B$7</f>
        <v>54.820148335733293</v>
      </c>
      <c r="T258" s="88">
        <f>MIN($B$8,AVERAGE(U235:U236)/(1+J258+$D$8/10000))+$B$7</f>
        <v>62.074831956252623</v>
      </c>
      <c r="U258" s="88">
        <f t="shared" si="10"/>
        <v>76.6159193221783</v>
      </c>
    </row>
    <row r="259" spans="1:21" x14ac:dyDescent="0.35">
      <c r="A259" s="30"/>
      <c r="B259" s="4"/>
      <c r="C259" s="4"/>
      <c r="D259" s="4"/>
      <c r="E259" s="4"/>
      <c r="F259" s="4"/>
      <c r="G259" s="4"/>
      <c r="H259" s="8">
        <f>G270*EXP(10*$H$22)</f>
        <v>0.29526121808899608</v>
      </c>
      <c r="I259" s="9">
        <f>(H270+$B$4)*EXP(10*$I$22)</f>
        <v>0.38277700919808949</v>
      </c>
      <c r="J259" s="9">
        <f>(I270+$B$4)*EXP(10*$J$22)</f>
        <v>0.47517778656161497</v>
      </c>
      <c r="K259" s="9">
        <f>(J270+$B$4)*EXP(10*$K$22)</f>
        <v>0.58867975214250934</v>
      </c>
      <c r="L259" s="87"/>
      <c r="M259" s="87"/>
      <c r="N259" s="87"/>
      <c r="O259" s="87"/>
      <c r="P259" s="87"/>
      <c r="Q259" s="87"/>
      <c r="R259" s="88">
        <f>MIN($B$8,AVERAGE(S237:S238)/(1+H259+$D$8/10000))+$B$7</f>
        <v>53.012922386709576</v>
      </c>
      <c r="S259" s="88">
        <f>MIN($B$8,AVERAGE(T237:T238)/(1+I259+$D$8/10000))+$B$7</f>
        <v>54.076891832623978</v>
      </c>
      <c r="T259" s="88">
        <f>MIN($B$8,AVERAGE(U237:U238)/(1+J259+$D$8/10000))+$B$7</f>
        <v>62.132518727829762</v>
      </c>
      <c r="U259" s="88">
        <f t="shared" si="10"/>
        <v>76.648540397810009</v>
      </c>
    </row>
    <row r="260" spans="1:21" x14ac:dyDescent="0.35">
      <c r="A260" s="30"/>
      <c r="B260" s="4"/>
      <c r="C260" s="4"/>
      <c r="D260" s="4"/>
      <c r="E260" s="4"/>
      <c r="F260" s="4"/>
      <c r="G260" s="4"/>
      <c r="H260" s="9">
        <f>(G270+$B$4)*EXP(10*$H$22)</f>
        <v>0.29767802492726791</v>
      </c>
      <c r="I260" s="8">
        <f>H270*EXP(10*I$22)</f>
        <v>0.38027736805061751</v>
      </c>
      <c r="J260" s="8">
        <f>I270*EXP(10*J$22)</f>
        <v>0.47265806808271649</v>
      </c>
      <c r="K260" s="8">
        <f>J270*EXP(10*K$22)</f>
        <v>0.58620498284002209</v>
      </c>
      <c r="L260" s="87"/>
      <c r="M260" s="87"/>
      <c r="N260" s="87"/>
      <c r="O260" s="87"/>
      <c r="P260" s="87"/>
      <c r="Q260" s="87"/>
      <c r="R260" s="88">
        <f>MIN($B$8,AVERAGE(S239:S240)/(1+H260+$D$8/10000))+$B$7</f>
        <v>52.541295385913884</v>
      </c>
      <c r="S260" s="88">
        <f>MIN($B$8,AVERAGE(T239:T240)/(1+I260+$D$8/10000))+$B$7</f>
        <v>54.411551440654549</v>
      </c>
      <c r="T260" s="88">
        <f>MIN($B$8,AVERAGE(U239:U240)/(1+J260+$D$8/10000))+$B$7</f>
        <v>62.364311882525627</v>
      </c>
      <c r="U260" s="88">
        <f t="shared" si="10"/>
        <v>76.774347916523766</v>
      </c>
    </row>
    <row r="261" spans="1:21" x14ac:dyDescent="0.35">
      <c r="A261" s="30"/>
      <c r="B261" s="4"/>
      <c r="C261" s="4"/>
      <c r="D261" s="4"/>
      <c r="E261" s="4"/>
      <c r="F261" s="4"/>
      <c r="G261" s="4"/>
      <c r="H261" s="8">
        <f>G271*EXP(10*$H$22)</f>
        <v>0.2959458419723075</v>
      </c>
      <c r="I261" s="9">
        <f>(H271+$B$4)*EXP(10*$I$22)</f>
        <v>0.38355812989960603</v>
      </c>
      <c r="J261" s="9">
        <f>(I271+$B$4)*EXP(10*$J$22)</f>
        <v>0.48213248176439172</v>
      </c>
      <c r="K261" s="9">
        <f>(J271+$B$4)*EXP(10*$K$22)</f>
        <v>0.58790084632584416</v>
      </c>
      <c r="L261" s="87"/>
      <c r="M261" s="87"/>
      <c r="N261" s="87"/>
      <c r="O261" s="87"/>
      <c r="P261" s="87"/>
      <c r="Q261" s="87"/>
      <c r="R261" s="88">
        <f>MIN($B$8,AVERAGE(S241:S242)/(1+H261+$D$8/10000))+$B$7</f>
        <v>52.878692449687719</v>
      </c>
      <c r="S261" s="88">
        <f>MIN($B$8,AVERAGE(T241:T242)/(1+I261+$D$8/10000))+$B$7</f>
        <v>53.972951056462797</v>
      </c>
      <c r="T261" s="88">
        <f>MIN($B$8,AVERAGE(U241:U242)/(1+J261+$D$8/10000))+$B$7</f>
        <v>61.500005219710722</v>
      </c>
      <c r="U261" s="88">
        <f t="shared" si="10"/>
        <v>76.688089967074305</v>
      </c>
    </row>
    <row r="262" spans="1:21" x14ac:dyDescent="0.35">
      <c r="A262" s="30"/>
      <c r="B262" s="4"/>
      <c r="C262" s="4"/>
      <c r="D262" s="4"/>
      <c r="E262" s="4"/>
      <c r="F262" s="4"/>
      <c r="G262" s="4"/>
      <c r="H262" s="9">
        <f>(G271+$B$4)*EXP(10*$H$22)</f>
        <v>0.29836264881057939</v>
      </c>
      <c r="I262" s="8">
        <f>H271*EXP(10*I$22)</f>
        <v>0.38105848875213405</v>
      </c>
      <c r="J262" s="8">
        <f>I271*EXP(10*J$22)</f>
        <v>0.47961276328549329</v>
      </c>
      <c r="K262" s="8">
        <f>J271*EXP(10*K$22)</f>
        <v>0.58542607702335692</v>
      </c>
      <c r="L262" s="87"/>
      <c r="M262" s="87"/>
      <c r="N262" s="87"/>
      <c r="O262" s="87"/>
      <c r="P262" s="87"/>
      <c r="Q262" s="87"/>
      <c r="R262" s="88">
        <f>MIN($B$8,AVERAGE(S243:S244)/(1+H262+$D$8/10000))+$B$7</f>
        <v>52.408815257453746</v>
      </c>
      <c r="S262" s="88">
        <f>MIN($B$8,AVERAGE(T243:T244)/(1+I262+$D$8/10000))+$B$7</f>
        <v>54.306637067163265</v>
      </c>
      <c r="T262" s="88">
        <f>MIN($B$8,AVERAGE(U243:U244)/(1+J262+$D$8/10000))+$B$7</f>
        <v>61.727945650903187</v>
      </c>
      <c r="U262" s="88">
        <f t="shared" si="10"/>
        <v>76.814034620007774</v>
      </c>
    </row>
    <row r="263" spans="1:21" x14ac:dyDescent="0.35">
      <c r="A263" s="30"/>
      <c r="B263" s="4"/>
      <c r="C263" s="4"/>
      <c r="D263" s="4"/>
      <c r="E263" s="4"/>
      <c r="F263" s="4"/>
      <c r="G263" s="4"/>
      <c r="H263" s="8">
        <f>G272*EXP(10*$H$22)</f>
        <v>0.29898763508295412</v>
      </c>
      <c r="I263" s="9">
        <f>(H272+$B$4)*EXP(10*$I$22)</f>
        <v>0.38657870480882395</v>
      </c>
      <c r="J263" s="9">
        <f>(I272+$B$4)*EXP(10*$J$22)</f>
        <v>0.47898328576944171</v>
      </c>
      <c r="K263" s="9">
        <f>(J272+$B$4)*EXP(10*$K$22)</f>
        <v>0.58478298535460027</v>
      </c>
      <c r="L263" s="87"/>
      <c r="M263" s="87"/>
      <c r="N263" s="87"/>
      <c r="O263" s="87"/>
      <c r="P263" s="87"/>
      <c r="Q263" s="87"/>
      <c r="R263" s="88">
        <f>MIN($B$8,AVERAGE(S245:S246)/(1+H263+$D$8/10000))+$B$7</f>
        <v>52.288303870519378</v>
      </c>
      <c r="S263" s="88">
        <f>MIN($B$8,AVERAGE(T245:T246)/(1+I263+$D$8/10000))+$B$7</f>
        <v>53.573845476837043</v>
      </c>
      <c r="T263" s="88">
        <f>MIN($B$8,AVERAGE(U245:U246)/(1+J263+$D$8/10000))+$B$7</f>
        <v>61.785105774859439</v>
      </c>
      <c r="U263" s="88">
        <f t="shared" si="10"/>
        <v>76.846833976373105</v>
      </c>
    </row>
    <row r="264" spans="1:21" x14ac:dyDescent="0.35">
      <c r="A264" s="30"/>
      <c r="B264" s="4"/>
      <c r="C264" s="4"/>
      <c r="D264" s="4"/>
      <c r="E264" s="4"/>
      <c r="F264" s="4"/>
      <c r="G264" s="4"/>
      <c r="H264" s="9">
        <f>(G272+$B$4)*EXP(10*$H$22)</f>
        <v>0.30140444192122595</v>
      </c>
      <c r="I264" s="8">
        <f>H272*EXP(10*I$22)</f>
        <v>0.38407906366135197</v>
      </c>
      <c r="J264" s="8">
        <f>I272*EXP(10*J$22)</f>
        <v>0.47646356729054323</v>
      </c>
      <c r="K264" s="8">
        <f>J272*EXP(10*K$22)</f>
        <v>0.58230821605211303</v>
      </c>
      <c r="L264" s="87"/>
      <c r="M264" s="87"/>
      <c r="N264" s="87"/>
      <c r="O264" s="87"/>
      <c r="P264" s="87"/>
      <c r="Q264" s="87"/>
      <c r="R264" s="88">
        <f>MIN($B$8,AVERAGE(S247:S248)/(1+H264+$D$8/10000))+$B$7</f>
        <v>51.826105306095876</v>
      </c>
      <c r="S264" s="88">
        <f>MIN($B$8,AVERAGE(T247:T248)/(1+I264+$D$8/10000))+$B$7</f>
        <v>53.903800241911298</v>
      </c>
      <c r="T264" s="88">
        <f>MIN($B$8,AVERAGE(U247:U248)/(1+J264+$D$8/10000))+$B$7</f>
        <v>62.014780052260335</v>
      </c>
      <c r="U264" s="88">
        <f t="shared" si="10"/>
        <v>76.97332981140454</v>
      </c>
    </row>
    <row r="265" spans="1:21" x14ac:dyDescent="0.35">
      <c r="A265" s="30"/>
      <c r="B265" s="4"/>
      <c r="C265" s="4"/>
      <c r="D265" s="4"/>
      <c r="E265" s="4"/>
      <c r="F265" s="4"/>
      <c r="G265" s="8">
        <f>F273*EXP(10*$G$22)</f>
        <v>0.23792207378254435</v>
      </c>
      <c r="H265" s="8">
        <f>G273*EXP(10*$H$22)</f>
        <v>0.29812234519571973</v>
      </c>
      <c r="I265" s="9">
        <f>(H273+$B$4)*EXP(10*$I$22)</f>
        <v>0.37386530811396229</v>
      </c>
      <c r="J265" s="9">
        <f>(I273+$B$4)*EXP(10*$J$22)</f>
        <v>0.47245937382012176</v>
      </c>
      <c r="K265" s="9">
        <f>(J273+$B$4)*EXP(10*$K$22)</f>
        <v>0.5858710339291241</v>
      </c>
      <c r="L265" s="89"/>
      <c r="M265" s="87"/>
      <c r="N265" s="87"/>
      <c r="O265" s="87"/>
      <c r="P265" s="87"/>
      <c r="Q265" s="88">
        <f>MIN($B$8,AVERAGE(R249:R250)/(1+G265+$D$8/10000))+$B$7</f>
        <v>58.559794292950322</v>
      </c>
      <c r="R265" s="88">
        <f>MIN($B$8,AVERAGE(S249:S250)/(1+H265+$D$8/10000))+$B$7</f>
        <v>52.455259913593302</v>
      </c>
      <c r="S265" s="88">
        <f>MIN($B$8,AVERAGE(T249:T250)/(1+I265+$D$8/10000))+$B$7</f>
        <v>55.284464955986117</v>
      </c>
      <c r="T265" s="88">
        <f>MIN($B$8,AVERAGE(U249:U250)/(1+J265+$D$8/10000))+$B$7</f>
        <v>62.382650244095558</v>
      </c>
      <c r="U265" s="88">
        <f t="shared" si="10"/>
        <v>76.791357936989968</v>
      </c>
    </row>
    <row r="266" spans="1:21" x14ac:dyDescent="0.35">
      <c r="A266" s="30"/>
      <c r="B266" s="4"/>
      <c r="C266" s="4"/>
      <c r="D266" s="4"/>
      <c r="E266" s="4"/>
      <c r="F266" s="4"/>
      <c r="G266" s="9">
        <f>(F273+$B$4)*EXP(10*$G$22)</f>
        <v>0.24043927380240329</v>
      </c>
      <c r="H266" s="9">
        <f>(G273+$B$4)*EXP(10*$H$22)</f>
        <v>0.30053915203399156</v>
      </c>
      <c r="I266" s="8">
        <f>H273*EXP(10*I$22)</f>
        <v>0.37136566696649032</v>
      </c>
      <c r="J266" s="8">
        <f>I273*EXP(10*J$22)</f>
        <v>0.46993965534122328</v>
      </c>
      <c r="K266" s="8">
        <f>J273*EXP(10*K$22)</f>
        <v>0.58339626462663685</v>
      </c>
      <c r="L266" s="89"/>
      <c r="M266" s="87"/>
      <c r="N266" s="87"/>
      <c r="O266" s="87"/>
      <c r="P266" s="87"/>
      <c r="Q266" s="88">
        <f>MIN($B$8,AVERAGE(R251:R252)/(1+G266+$D$8/10000))+$B$7</f>
        <v>53.578505343271075</v>
      </c>
      <c r="R266" s="88">
        <f>MIN($B$8,AVERAGE(S251:S252)/(1+H266+$D$8/10000))+$B$7</f>
        <v>51.990892829906869</v>
      </c>
      <c r="S266" s="88">
        <f>MIN($B$8,AVERAGE(T251:T252)/(1+I266+$D$8/10000))+$B$7</f>
        <v>55.630491422592819</v>
      </c>
      <c r="T266" s="88">
        <f>MIN($B$8,AVERAGE(U251:U252)/(1+J266+$D$8/10000))+$B$7</f>
        <v>62.61597307807633</v>
      </c>
      <c r="U266" s="88">
        <f t="shared" si="10"/>
        <v>76.917661014175891</v>
      </c>
    </row>
    <row r="267" spans="1:21" x14ac:dyDescent="0.35">
      <c r="A267" s="30"/>
      <c r="B267" s="4"/>
      <c r="C267" s="4"/>
      <c r="D267" s="4"/>
      <c r="E267" s="4"/>
      <c r="F267" s="4"/>
      <c r="G267" s="8">
        <f>F274*EXP(10*$G$22)</f>
        <v>0.24100582622394562</v>
      </c>
      <c r="H267" s="8">
        <f>G274*EXP(10*$H$22)</f>
        <v>0.30116413830636629</v>
      </c>
      <c r="I267" s="9">
        <f>(H274+$B$4)*EXP(10*$I$22)</f>
        <v>0.37688588302318032</v>
      </c>
      <c r="J267" s="9">
        <f>(I274+$B$4)*EXP(10*$J$22)</f>
        <v>0.4693101778251717</v>
      </c>
      <c r="K267" s="9">
        <f>(J274+$B$4)*EXP(10*$K$22)</f>
        <v>0.58275317295788021</v>
      </c>
      <c r="L267" s="89"/>
      <c r="M267" s="87"/>
      <c r="N267" s="87"/>
      <c r="O267" s="87"/>
      <c r="P267" s="87"/>
      <c r="Q267" s="88">
        <f>MIN($B$8,AVERAGE(R253:R254)/(1+G267+$D$8/10000))+$B$7</f>
        <v>53.448393274781537</v>
      </c>
      <c r="R267" s="88">
        <f>MIN($B$8,AVERAGE(S253:S254)/(1+H267+$D$8/10000))+$B$7</f>
        <v>51.871791991809665</v>
      </c>
      <c r="S267" s="88">
        <f>MIN($B$8,AVERAGE(T253:T254)/(1+I267+$D$8/10000))+$B$7</f>
        <v>54.870641096417515</v>
      </c>
      <c r="T267" s="88">
        <f>MIN($B$8,AVERAGE(U253:U254)/(1+J267+$D$8/10000))+$B$7</f>
        <v>62.674484708010894</v>
      </c>
      <c r="U267" s="88">
        <f t="shared" si="10"/>
        <v>76.950553815859337</v>
      </c>
    </row>
    <row r="268" spans="1:21" x14ac:dyDescent="0.35">
      <c r="A268" s="30"/>
      <c r="B268" s="4"/>
      <c r="C268" s="4"/>
      <c r="D268" s="4"/>
      <c r="E268" s="4"/>
      <c r="F268" s="4"/>
      <c r="G268" s="9">
        <f>(F274+$B$4)*EXP(10*$G$22)</f>
        <v>0.24352302624380456</v>
      </c>
      <c r="H268" s="9">
        <f>(G274+$B$4)*EXP(10*$H$22)</f>
        <v>0.30358094514463813</v>
      </c>
      <c r="I268" s="8">
        <f>H274*EXP(10*I$22)</f>
        <v>0.37438624187570835</v>
      </c>
      <c r="J268" s="8">
        <f>I274*EXP(10*J$22)</f>
        <v>0.46679045934627322</v>
      </c>
      <c r="K268" s="8">
        <f>J274*EXP(10*K$22)</f>
        <v>0.58027840365539307</v>
      </c>
      <c r="L268" s="89"/>
      <c r="M268" s="87"/>
      <c r="N268" s="87"/>
      <c r="O268" s="87"/>
      <c r="P268" s="87"/>
      <c r="Q268" s="88">
        <f>MIN($B$8,AVERAGE(R255:R256)/(1+G268+$D$8/10000))+$B$7</f>
        <v>52.757924380347269</v>
      </c>
      <c r="R268" s="88">
        <f>MIN($B$8,AVERAGE(S255:S256)/(1+H268+$D$8/10000))+$B$7</f>
        <v>51.414993223460321</v>
      </c>
      <c r="S268" s="88">
        <f>MIN($B$8,AVERAGE(T255:T256)/(1+I268+$D$8/10000))+$B$7</f>
        <v>55.212760740221967</v>
      </c>
      <c r="T268" s="88">
        <f>MIN($B$8,AVERAGE(U255:U256)/(1+J268+$D$8/10000))+$B$7</f>
        <v>62.909596607961298</v>
      </c>
      <c r="U268" s="88">
        <f t="shared" si="10"/>
        <v>77.077410432301619</v>
      </c>
    </row>
    <row r="269" spans="1:21" x14ac:dyDescent="0.35">
      <c r="A269" s="30"/>
      <c r="B269" s="4"/>
      <c r="C269" s="4"/>
      <c r="D269" s="4"/>
      <c r="E269" s="4"/>
      <c r="F269" s="4"/>
      <c r="G269" s="8">
        <f>F275*EXP(10*$G$22)</f>
        <v>0.24182273928627426</v>
      </c>
      <c r="H269" s="8">
        <f>G275*EXP(10*$H$22)</f>
        <v>0.30184876218967771</v>
      </c>
      <c r="I269" s="9">
        <f>(H275+$B$4)*EXP(10*$I$22)</f>
        <v>0.3776670037246968</v>
      </c>
      <c r="J269" s="9">
        <f>(I275+$B$4)*EXP(10*$J$22)</f>
        <v>0.47626487302794862</v>
      </c>
      <c r="K269" s="9">
        <f>(J275+$B$4)*EXP(10*$K$22)</f>
        <v>0.58197426714121503</v>
      </c>
      <c r="L269" s="89"/>
      <c r="M269" s="87"/>
      <c r="N269" s="87"/>
      <c r="O269" s="87"/>
      <c r="P269" s="87"/>
      <c r="Q269" s="88">
        <f>MIN($B$8,AVERAGE(R257:R258)/(1+G269+$D$8/10000))+$B$7</f>
        <v>53.208079226779596</v>
      </c>
      <c r="R269" s="88">
        <f>MIN($B$8,AVERAGE(S257:S258)/(1+H269+$D$8/10000))+$B$7</f>
        <v>51.741786770817498</v>
      </c>
      <c r="S269" s="88">
        <f>MIN($B$8,AVERAGE(T257:T258)/(1+I269+$D$8/10000))+$B$7</f>
        <v>54.764387188280637</v>
      </c>
      <c r="T269" s="88">
        <f>MIN($B$8,AVERAGE(U257:U258)/(1+J269+$D$8/10000))+$B$7</f>
        <v>62.032950591503543</v>
      </c>
      <c r="U269" s="88">
        <f t="shared" si="10"/>
        <v>76.99043298862685</v>
      </c>
    </row>
    <row r="270" spans="1:21" x14ac:dyDescent="0.35">
      <c r="A270" s="30"/>
      <c r="B270" s="4"/>
      <c r="C270" s="4"/>
      <c r="D270" s="4"/>
      <c r="E270" s="4"/>
      <c r="F270" s="4"/>
      <c r="G270" s="9">
        <f>(F275+$B$4)*EXP(10*$G$22)</f>
        <v>0.24433993930613324</v>
      </c>
      <c r="H270" s="9">
        <f>(G275+$B$4)*EXP(10*$H$22)</f>
        <v>0.30426556902794955</v>
      </c>
      <c r="I270" s="8">
        <f>H275*EXP(10*I$22)</f>
        <v>0.37516736257722483</v>
      </c>
      <c r="J270" s="8">
        <f>I275*EXP(10*J$22)</f>
        <v>0.47374515454905014</v>
      </c>
      <c r="K270" s="8">
        <f>J275*EXP(10*K$22)</f>
        <v>0.57949949783872789</v>
      </c>
      <c r="L270" s="89"/>
      <c r="M270" s="87"/>
      <c r="N270" s="87"/>
      <c r="O270" s="87"/>
      <c r="P270" s="87"/>
      <c r="Q270" s="88">
        <f>MIN($B$8,AVERAGE(R259:R260)/(1+G270+$D$8/10000))+$B$7</f>
        <v>52.543622513232854</v>
      </c>
      <c r="R270" s="88">
        <f>MIN($B$8,AVERAGE(S259:S260)/(1+H270+$D$8/10000))+$B$7</f>
        <v>51.286670469650147</v>
      </c>
      <c r="S270" s="88">
        <f>MIN($B$8,AVERAGE(T259:T260)/(1+I270+$D$8/10000))+$B$7</f>
        <v>55.105505641852652</v>
      </c>
      <c r="T270" s="88">
        <f>MIN($B$8,AVERAGE(U259:U260)/(1+J270+$D$8/10000))+$B$7</f>
        <v>62.264135797100927</v>
      </c>
      <c r="U270" s="88">
        <f t="shared" si="10"/>
        <v>77.117428458657656</v>
      </c>
    </row>
    <row r="271" spans="1:21" x14ac:dyDescent="0.35">
      <c r="A271" s="30"/>
      <c r="B271" s="4"/>
      <c r="C271" s="4"/>
      <c r="D271" s="4"/>
      <c r="E271" s="4"/>
      <c r="F271" s="4"/>
      <c r="G271" s="8">
        <f>F276*EXP(10*$G$22)</f>
        <v>0.24490649172767553</v>
      </c>
      <c r="H271" s="8">
        <f>G276*EXP(10*$H$22)</f>
        <v>0.30489055530032427</v>
      </c>
      <c r="I271" s="9">
        <f>(H276+$B$4)*EXP(10*$I$22)</f>
        <v>0.38068757863391472</v>
      </c>
      <c r="J271" s="9">
        <f>(I276+$B$4)*EXP(10*$J$22)</f>
        <v>0.47311567703299856</v>
      </c>
      <c r="K271" s="9">
        <f>(J276+$B$4)*EXP(10*$K$22)</f>
        <v>0.57885640616997125</v>
      </c>
      <c r="L271" s="89"/>
      <c r="M271" s="87"/>
      <c r="N271" s="87"/>
      <c r="O271" s="87"/>
      <c r="P271" s="87"/>
      <c r="Q271" s="88">
        <f>MIN($B$8,AVERAGE(R261:R262)/(1+G271+$D$8/10000))+$B$7</f>
        <v>52.395745131390534</v>
      </c>
      <c r="R271" s="88">
        <f>MIN($B$8,AVERAGE(S261:S262)/(1+H271+$D$8/10000))+$B$7</f>
        <v>51.169937851407305</v>
      </c>
      <c r="S271" s="88">
        <f>MIN($B$8,AVERAGE(T261:T262)/(1+I271+$D$8/10000))+$B$7</f>
        <v>54.356416821918678</v>
      </c>
      <c r="T271" s="88">
        <f>MIN($B$8,AVERAGE(U261:U262)/(1+J271+$D$8/10000))+$B$7</f>
        <v>62.322110668090879</v>
      </c>
      <c r="U271" s="88">
        <f t="shared" si="10"/>
        <v>77.150501776335801</v>
      </c>
    </row>
    <row r="272" spans="1:21" x14ac:dyDescent="0.35">
      <c r="A272" s="30"/>
      <c r="B272" s="4"/>
      <c r="C272" s="4"/>
      <c r="D272" s="4"/>
      <c r="E272" s="4"/>
      <c r="F272" s="4"/>
      <c r="G272" s="9">
        <f>(F276+$B$4)*EXP(10*$G$22)</f>
        <v>0.24742369174753451</v>
      </c>
      <c r="H272" s="9">
        <f>(G276+$B$4)*EXP(10*$H$22)</f>
        <v>0.30730736213859611</v>
      </c>
      <c r="I272" s="8">
        <f>H276*EXP(10*I$22)</f>
        <v>0.37818793748644275</v>
      </c>
      <c r="J272" s="8">
        <f>I276*EXP(10*J$22)</f>
        <v>0.47059595855410008</v>
      </c>
      <c r="K272" s="8">
        <f>J276*EXP(10*K$22)</f>
        <v>0.576381636867484</v>
      </c>
      <c r="L272" s="90"/>
      <c r="M272" s="87"/>
      <c r="N272" s="87"/>
      <c r="O272" s="87"/>
      <c r="P272" s="87"/>
      <c r="Q272" s="88">
        <f>MIN($B$8,AVERAGE(R263:R264)/(1+G272+$D$8/10000))+$B$7</f>
        <v>51.746038505340501</v>
      </c>
      <c r="R272" s="88">
        <f>MIN($B$8,AVERAGE(S263:S264)/(1+H272+$D$8/10000))+$B$7</f>
        <v>50.722205312278305</v>
      </c>
      <c r="S272" s="88">
        <f>MIN($B$8,AVERAGE(T263:T264)/(1+I272+$D$8/10000))+$B$7</f>
        <v>54.693698483285239</v>
      </c>
      <c r="T272" s="88">
        <f>MIN($B$8,AVERAGE(U263:U264)/(1+J272+$D$8/10000))+$B$7</f>
        <v>62.555062956145115</v>
      </c>
      <c r="U272" s="88">
        <f t="shared" si="10"/>
        <v>77.278055348623496</v>
      </c>
    </row>
    <row r="273" spans="1:21" x14ac:dyDescent="0.35">
      <c r="A273" s="30"/>
      <c r="B273" s="4"/>
      <c r="C273" s="4"/>
      <c r="D273" s="4"/>
      <c r="E273" s="4"/>
      <c r="F273" s="8">
        <f>E277*EXP(10*$F$22)</f>
        <v>0.18903708239750899</v>
      </c>
      <c r="G273" s="8">
        <f>F277*EXP(10*$G$22)</f>
        <v>0.2467076313048612</v>
      </c>
      <c r="H273" s="8">
        <f>G277*EXP(10*$H$22)</f>
        <v>0.29713518465806499</v>
      </c>
      <c r="I273" s="9">
        <f>(H277+$B$4)*EXP(10*$I$22)</f>
        <v>0.3730096510993286</v>
      </c>
      <c r="J273" s="9">
        <f>(I277+$B$4)*EXP(10*$J$22)</f>
        <v>0.47147527168719117</v>
      </c>
      <c r="K273" s="9">
        <f>(J277+$B$4)*EXP(10*$K$22)</f>
        <v>0.58116216761903949</v>
      </c>
      <c r="L273" s="87"/>
      <c r="M273" s="87"/>
      <c r="N273" s="87"/>
      <c r="O273" s="87"/>
      <c r="P273" s="88">
        <f>MIN($B$8,AVERAGE(Q265:Q266)/(1+F273+$D$8/10000))+$B$7</f>
        <v>58.335463700705439</v>
      </c>
      <c r="Q273" s="88">
        <f>MIN($B$8,AVERAGE(R265:R266)/(1+G273+$D$8/10000))+$B$7</f>
        <v>51.929651702934223</v>
      </c>
      <c r="R273" s="88">
        <f>MIN($B$8,AVERAGE(S265:S266)/(1+H273+$D$8/10000))+$B$7</f>
        <v>52.646689449858485</v>
      </c>
      <c r="S273" s="88">
        <f>MIN($B$8,AVERAGE(T265:T266)/(1+I273+$D$8/10000))+$B$7</f>
        <v>55.402547616104641</v>
      </c>
      <c r="T273" s="88">
        <f>MIN($B$8,AVERAGE(U265:U266)/(1+J273+$D$8/10000))+$B$7</f>
        <v>62.473607453943032</v>
      </c>
      <c r="U273" s="88">
        <f t="shared" si="10"/>
        <v>77.032058098720086</v>
      </c>
    </row>
    <row r="274" spans="1:21" x14ac:dyDescent="0.35">
      <c r="A274" s="30"/>
      <c r="B274" s="4"/>
      <c r="C274" s="4"/>
      <c r="D274" s="4"/>
      <c r="E274" s="4"/>
      <c r="F274" s="9">
        <f>(E277+$B$4)*EXP(10*$F$22)</f>
        <v>0.191487227334004</v>
      </c>
      <c r="G274" s="9">
        <f>(F277+$B$4)*EXP(10*$G$22)</f>
        <v>0.24922483132472015</v>
      </c>
      <c r="H274" s="9">
        <f>(G277+$B$4)*EXP(10*$H$22)</f>
        <v>0.29955199149633688</v>
      </c>
      <c r="I274" s="8">
        <f>H277*EXP(10*I$22)</f>
        <v>0.37051000995185662</v>
      </c>
      <c r="J274" s="8">
        <f>I277*EXP(10*J$22)</f>
        <v>0.46895555320829269</v>
      </c>
      <c r="K274" s="8">
        <f>J277*EXP(10*K$22)</f>
        <v>0.57868739831655225</v>
      </c>
      <c r="L274" s="87"/>
      <c r="M274" s="87"/>
      <c r="N274" s="87"/>
      <c r="O274" s="87"/>
      <c r="P274" s="88">
        <f>MIN($B$8,AVERAGE(Q267:Q268)/(1+F274+$D$8/10000))+$B$7</f>
        <v>55.339283396737819</v>
      </c>
      <c r="Q274" s="88">
        <f>MIN($B$8,AVERAGE(R267:R268)/(1+G274+$D$8/10000))+$B$7</f>
        <v>51.288377461681719</v>
      </c>
      <c r="R274" s="88">
        <f>MIN($B$8,AVERAGE(S267:S268)/(1+H274+$D$8/10000))+$B$7</f>
        <v>52.179833133487286</v>
      </c>
      <c r="S274" s="88">
        <f>MIN($B$8,AVERAGE(T267:T268)/(1+I274+$D$8/10000))+$B$7</f>
        <v>55.749691063789243</v>
      </c>
      <c r="T274" s="88">
        <f>MIN($B$8,AVERAGE(U267:U268)/(1+J274+$D$8/10000))+$B$7</f>
        <v>62.707487390933707</v>
      </c>
      <c r="U274" s="88">
        <f t="shared" si="10"/>
        <v>77.159198582596588</v>
      </c>
    </row>
    <row r="275" spans="1:21" x14ac:dyDescent="0.35">
      <c r="A275" s="30"/>
      <c r="B275" s="4"/>
      <c r="C275" s="4"/>
      <c r="D275" s="4"/>
      <c r="E275" s="4"/>
      <c r="F275" s="8">
        <f>E278*EXP(10*$F$22)</f>
        <v>0.19213629221234801</v>
      </c>
      <c r="G275" s="8">
        <f>F278*EXP(10*$G$22)</f>
        <v>0.24979138374626242</v>
      </c>
      <c r="H275" s="8">
        <f>G278*EXP(10*$H$22)</f>
        <v>0.30017697776871161</v>
      </c>
      <c r="I275" s="9">
        <f>(H278+$B$4)*EXP(10*$I$22)</f>
        <v>0.37603022600854663</v>
      </c>
      <c r="J275" s="9">
        <f>(I278+$B$4)*EXP(10*$J$22)</f>
        <v>0.46832607569224111</v>
      </c>
      <c r="K275" s="9">
        <f>(J278+$B$4)*EXP(10*$K$22)</f>
        <v>0.5780443066477956</v>
      </c>
      <c r="L275" s="87"/>
      <c r="M275" s="87"/>
      <c r="N275" s="87"/>
      <c r="O275" s="87"/>
      <c r="P275" s="88">
        <f>MIN($B$8,AVERAGE(Q269:Q270)/(1+F275+$D$8/10000))+$B$7</f>
        <v>55.087468035564278</v>
      </c>
      <c r="Q275" s="88">
        <f>MIN($B$8,AVERAGE(R269:R270)/(1+G275+$D$8/10000))+$B$7</f>
        <v>51.145647669558755</v>
      </c>
      <c r="R275" s="88">
        <f>MIN($B$8,AVERAGE(S269:S270)/(1+H275+$D$8/10000))+$B$7</f>
        <v>52.06009506477379</v>
      </c>
      <c r="S275" s="88">
        <f>MIN($B$8,AVERAGE(T269:T270)/(1+I275+$D$8/10000))+$B$7</f>
        <v>54.987391640590658</v>
      </c>
      <c r="T275" s="88">
        <f>MIN($B$8,AVERAGE(U269:U270)/(1+J275+$D$8/10000))+$B$7</f>
        <v>62.76613891096487</v>
      </c>
      <c r="U275" s="88">
        <f t="shared" si="10"/>
        <v>77.19230970751191</v>
      </c>
    </row>
    <row r="276" spans="1:21" x14ac:dyDescent="0.35">
      <c r="A276" s="30"/>
      <c r="B276" s="4"/>
      <c r="C276" s="4"/>
      <c r="D276" s="4"/>
      <c r="E276" s="4"/>
      <c r="F276" s="9">
        <f>(E278+$B$4)*EXP(10*$F$22)</f>
        <v>0.19458643714884302</v>
      </c>
      <c r="G276" s="9">
        <f>(F278+$B$4)*EXP(10*$G$22)</f>
        <v>0.25230858376612136</v>
      </c>
      <c r="H276" s="9">
        <f>(G278+$B$4)*EXP(10*$H$22)</f>
        <v>0.30259378460698338</v>
      </c>
      <c r="I276" s="8">
        <f>H278*EXP(10*I$22)</f>
        <v>0.37353058486107465</v>
      </c>
      <c r="J276" s="8">
        <f>I278*EXP(10*J$22)</f>
        <v>0.46580635721334263</v>
      </c>
      <c r="K276" s="8">
        <f>J278*EXP(10*K$22)</f>
        <v>0.57556953734530847</v>
      </c>
      <c r="L276" s="87"/>
      <c r="M276" s="87"/>
      <c r="N276" s="87"/>
      <c r="O276" s="87"/>
      <c r="P276" s="88">
        <f>MIN($B$8,AVERAGE(Q271:Q272)/(1+F276+$D$8/10000))+$B$7</f>
        <v>54.190918822064184</v>
      </c>
      <c r="Q276" s="88">
        <f>MIN($B$8,AVERAGE(R271:R272)/(1+G276+$D$8/10000))+$B$7</f>
        <v>50.518506056472049</v>
      </c>
      <c r="R276" s="88">
        <f>MIN($B$8,AVERAGE(S271:S272)/(1+H276+$D$8/10000))+$B$7</f>
        <v>51.600856862803298</v>
      </c>
      <c r="S276" s="88">
        <f>MIN($B$8,AVERAGE(T271:T272)/(1+I276+$D$8/10000))+$B$7</f>
        <v>55.33061229105634</v>
      </c>
      <c r="T276" s="88">
        <f>MIN($B$8,AVERAGE(U271:U272)/(1+J276+$D$8/10000))+$B$7</f>
        <v>63.00181365459791</v>
      </c>
      <c r="U276" s="88">
        <f t="shared" si="10"/>
        <v>77.320009250899759</v>
      </c>
    </row>
    <row r="277" spans="1:21" x14ac:dyDescent="0.35">
      <c r="A277" s="30"/>
      <c r="B277" s="4"/>
      <c r="C277" s="4"/>
      <c r="D277" s="4"/>
      <c r="E277" s="8">
        <f>D278*EXP(10*$E$22)</f>
        <v>0.15430685718366677</v>
      </c>
      <c r="F277" s="8">
        <f>E279*EXP(10*$F$22)</f>
        <v>0.19601750306571566</v>
      </c>
      <c r="G277" s="8">
        <f>F279*EXP(10*$G$22)</f>
        <v>0.24589071824253259</v>
      </c>
      <c r="H277" s="8">
        <f>G279*EXP(10*$H$22)</f>
        <v>0.29645056077475351</v>
      </c>
      <c r="I277" s="9">
        <f>(H279+$B$4)*EXP(10*$I$22)</f>
        <v>0.37222853039781212</v>
      </c>
      <c r="J277" s="9">
        <f>(I279+$B$4)*EXP(10*$J$22)</f>
        <v>0.46766977247936431</v>
      </c>
      <c r="K277" s="9">
        <f>(J279+$B$4)*EXP(10*$K$22)</f>
        <v>0.57726540083113043</v>
      </c>
      <c r="L277" s="87"/>
      <c r="M277" s="87"/>
      <c r="N277" s="87"/>
      <c r="O277" s="88">
        <f t="shared" ref="O277:T277" si="11">MIN($B$8,AVERAGE(P273:P274)/(1+E277+$D$8/10000))+$B$7</f>
        <v>60.998287855624532</v>
      </c>
      <c r="P277" s="88">
        <f t="shared" si="11"/>
        <v>53.677192602675291</v>
      </c>
      <c r="Q277" s="88">
        <f t="shared" si="11"/>
        <v>52.140294201904972</v>
      </c>
      <c r="R277" s="88">
        <f t="shared" si="11"/>
        <v>52.780054756630065</v>
      </c>
      <c r="S277" s="88">
        <f t="shared" si="11"/>
        <v>55.510676588462992</v>
      </c>
      <c r="T277" s="88">
        <f t="shared" si="11"/>
        <v>62.827385448061463</v>
      </c>
      <c r="U277" s="88">
        <f t="shared" si="10"/>
        <v>77.232453707677649</v>
      </c>
    </row>
    <row r="278" spans="1:21" x14ac:dyDescent="0.35">
      <c r="A278" s="30"/>
      <c r="B278" s="4"/>
      <c r="C278" s="4"/>
      <c r="D278" s="8">
        <f>C280*EXP(10*$D$22)</f>
        <v>0.1219905031872314</v>
      </c>
      <c r="E278" s="9">
        <f>(D278+$B$4)*EXP(10*$E$22)</f>
        <v>0.15683667472113255</v>
      </c>
      <c r="F278" s="9">
        <f>(E279+$B$4)*EXP(10*$F$22)</f>
        <v>0.19846764800221064</v>
      </c>
      <c r="G278" s="9">
        <f>(F279+$B$4)*EXP(10*$G$22)</f>
        <v>0.24840791826239153</v>
      </c>
      <c r="H278" s="9">
        <f>(G279+$B$4)*EXP(10*$H$22)</f>
        <v>0.2988673676130254</v>
      </c>
      <c r="I278" s="8">
        <f>H279*EXP(10*I$22)</f>
        <v>0.36972888925034014</v>
      </c>
      <c r="J278" s="8">
        <f>I279*EXP(10*J$22)</f>
        <v>0.46515005400046583</v>
      </c>
      <c r="K278" s="8">
        <f>J279*EXP(10*K$22)</f>
        <v>0.57479063152864329</v>
      </c>
      <c r="L278" s="87"/>
      <c r="M278" s="87"/>
      <c r="N278" s="87"/>
      <c r="O278" s="88">
        <f>MIN($B$8,AVERAGE(P275:P276)/(1+E278+$D$8/10000))+$B$7</f>
        <v>58.655225187984065</v>
      </c>
      <c r="P278" s="88">
        <f>MIN($B$8,AVERAGE(Q275:Q276)/(1+F278+$D$8/10000))+$B$7</f>
        <v>52.814212143905401</v>
      </c>
      <c r="Q278" s="88">
        <f>MIN($B$8,AVERAGE(R275:R276)/(1+G278+$D$8/10000))+$B$7</f>
        <v>51.495211894616752</v>
      </c>
      <c r="R278" s="88">
        <f>MIN($B$8,AVERAGE(S275:S276)/(1+H27*+$D$8/10000))+$B$7</f>
        <v>59.159001965823499</v>
      </c>
      <c r="S278" s="88">
        <f>MIN($B$8,AVERAGE(T275:T276)/(1+I278+$D$8/10000))+$B$7</f>
        <v>55.858843711837707</v>
      </c>
      <c r="T278" s="88">
        <f>MIN($B$8,AVERAGE(U275:U276)/(1+J278+$D$8/10000))+$B$7</f>
        <v>63.063436560414019</v>
      </c>
      <c r="U278" s="88">
        <f t="shared" si="10"/>
        <v>77.360293491297895</v>
      </c>
    </row>
    <row r="279" spans="1:21" x14ac:dyDescent="0.35">
      <c r="A279" s="30"/>
      <c r="B279" s="4"/>
      <c r="C279" s="4"/>
      <c r="D279" s="9">
        <f>(C280+$B$4)*EXP(10*$D$22)</f>
        <v>0.12449514861961512</v>
      </c>
      <c r="E279" s="9">
        <f>(D279+$B$4)*EXP(10*$E$22)</f>
        <v>0.16000482269112148</v>
      </c>
      <c r="F279" s="9">
        <f>(E280+$B$4)*EXP(10*$F$22)</f>
        <v>0.19536843818737168</v>
      </c>
      <c r="G279" s="9">
        <f>(F280+$B$4)*EXP(10*$G$22)</f>
        <v>0.24532416582099026</v>
      </c>
      <c r="H279" s="9">
        <f>(G280+$B$4)*EXP(10*$H$22)</f>
        <v>0.29582557450237879</v>
      </c>
      <c r="I279" s="9">
        <f>(H280+$B$4)*EXP(10*$I$22)</f>
        <v>0.36920795548859409</v>
      </c>
      <c r="J279" s="9">
        <f>(I280+$B$4)*EXP(10*$J$22)</f>
        <v>0.46452057648441425</v>
      </c>
      <c r="K279" s="9">
        <f>(J280+$B$4)*EXP(10*$K$22)</f>
        <v>0.57414753985988665</v>
      </c>
      <c r="L279" s="81"/>
      <c r="M279" s="87"/>
      <c r="N279" s="88">
        <f>MIN($B$8,AVERAGE(O277:O278)/(1+D278+$D$8/10000))+$B$7</f>
        <v>66.005602182054389</v>
      </c>
      <c r="O279" s="88">
        <f t="shared" ref="O279:T279" si="12">MIN($B$8,AVERAGE(P277:P278)/(1+E279+$D$8/10000))+$B$7</f>
        <v>57.093069213175021</v>
      </c>
      <c r="P279" s="88">
        <f t="shared" si="12"/>
        <v>53.909299388614308</v>
      </c>
      <c r="Q279" s="88">
        <f t="shared" si="12"/>
        <v>55.433402345987076</v>
      </c>
      <c r="R279" s="88">
        <f t="shared" si="12"/>
        <v>52.902236380856351</v>
      </c>
      <c r="S279" s="88">
        <f t="shared" si="12"/>
        <v>55.931817354820353</v>
      </c>
      <c r="T279" s="88">
        <f t="shared" si="12"/>
        <v>63.122633274088948</v>
      </c>
      <c r="U279" s="88">
        <f t="shared" si="10"/>
        <v>77.393586934910786</v>
      </c>
    </row>
    <row r="280" spans="1:21" x14ac:dyDescent="0.35">
      <c r="A280" s="30"/>
      <c r="B280" s="4"/>
      <c r="C280" s="9">
        <f>(B281+$B$4)*EXP(10*$C$22)</f>
        <v>9.7411395329621744E-2</v>
      </c>
      <c r="D280" s="4"/>
      <c r="E280" s="8">
        <f>D279*EXP(10*$E$22)</f>
        <v>0.15747500515365573</v>
      </c>
      <c r="F280" s="8">
        <f>E280*EXP(10*$F$22)</f>
        <v>0.19291829325087667</v>
      </c>
      <c r="G280" s="8">
        <f>F280*EXP(10*$G$22)</f>
        <v>0.24280696580113129</v>
      </c>
      <c r="H280" s="8">
        <f>G280*EXP(10*$H$22)</f>
        <v>0.2934087676641069</v>
      </c>
      <c r="I280" s="8">
        <f>H280*EXP(10*I$22)</f>
        <v>0.36670831434112211</v>
      </c>
      <c r="J280" s="8">
        <f>I280*EXP(10*J$22)</f>
        <v>0.46200085800551577</v>
      </c>
      <c r="K280" s="8">
        <f>J280*EXP(10*K$22)</f>
        <v>0.5716727705573994</v>
      </c>
      <c r="L280" s="89"/>
      <c r="M280" s="88">
        <f t="shared" ref="M280:T280" si="13">MIN($B$8,AVERAGE(N279:N280)/(1+C280+$D$8/10000))+$B$7</f>
        <v>77.876496143991957</v>
      </c>
      <c r="N280" s="88">
        <f t="shared" si="13"/>
        <v>72.923787570617975</v>
      </c>
      <c r="O280" s="88">
        <f t="shared" si="13"/>
        <v>59.094516446118526</v>
      </c>
      <c r="P280" s="88">
        <f t="shared" si="13"/>
        <v>56.317749287846915</v>
      </c>
      <c r="Q280" s="88">
        <f t="shared" si="13"/>
        <v>52.946822137185372</v>
      </c>
      <c r="R280" s="88">
        <f t="shared" si="13"/>
        <v>53.378638306157768</v>
      </c>
      <c r="S280" s="88">
        <f t="shared" si="13"/>
        <v>56.283979212084873</v>
      </c>
      <c r="T280" s="88">
        <f t="shared" si="13"/>
        <v>63.360501610710827</v>
      </c>
      <c r="U280" s="88">
        <f t="shared" si="10"/>
        <v>77.521990401901306</v>
      </c>
    </row>
    <row r="281" spans="1:21" x14ac:dyDescent="0.35">
      <c r="A281" s="30"/>
      <c r="B281" s="8">
        <f>B23*EXP(10*B22)</f>
        <v>7.5056829799683769E-2</v>
      </c>
      <c r="C281" s="14"/>
      <c r="D281" s="4"/>
      <c r="E281" s="4"/>
      <c r="F281" s="4"/>
      <c r="G281" s="4"/>
      <c r="H281" s="15"/>
      <c r="L281" s="91">
        <f>AVERAGE(M280:M282)/(1+F281+$D$8/10000)</f>
        <v>99.581555472005007</v>
      </c>
      <c r="M281" s="87"/>
      <c r="N281" s="87"/>
      <c r="O281" s="87"/>
      <c r="P281" s="87"/>
      <c r="Q281" s="87"/>
      <c r="R281" s="87"/>
      <c r="S281" s="87"/>
      <c r="T281" s="87"/>
      <c r="U281" s="87"/>
    </row>
    <row r="282" spans="1:21" x14ac:dyDescent="0.35">
      <c r="A282" s="30"/>
      <c r="B282" s="4"/>
      <c r="C282" s="40">
        <f>(B281-$B$4)*EXP(10*$C$22)</f>
        <v>9.2354795125182937E-2</v>
      </c>
      <c r="D282" s="4"/>
      <c r="E282" s="8">
        <f>D283*EXP(10*$E$22)</f>
        <v>0.1431286803773085</v>
      </c>
      <c r="F282" s="8">
        <f>E282*EXP(10*$F$22)</f>
        <v>0.17534300574683673</v>
      </c>
      <c r="G282" s="8">
        <f>F282*EXP(10*$G$22)</f>
        <v>0.22068670877403321</v>
      </c>
      <c r="H282" s="8">
        <f>G282*EXP(10*H$22)</f>
        <v>0.26667857344039608</v>
      </c>
      <c r="I282" s="8">
        <f>H282*EXP(10*I$22)</f>
        <v>0.33330036766036958</v>
      </c>
      <c r="J282" s="8">
        <f>I282*EXP(10*J$22)</f>
        <v>0.41991154770874239</v>
      </c>
      <c r="K282" s="8">
        <f>J282*EXP(10*K$22)</f>
        <v>0.51959210401474276</v>
      </c>
      <c r="L282" s="89"/>
      <c r="M282" s="88">
        <f t="shared" ref="M282:T282" si="14">MIN($B$8,AVERAGE(N282:N283)/(1+C282+$D$8/10000))+$B$7</f>
        <v>89.992115177385756</v>
      </c>
      <c r="N282" s="88">
        <f t="shared" si="14"/>
        <v>86.305554916498139</v>
      </c>
      <c r="O282" s="88">
        <f t="shared" si="14"/>
        <v>68.501034304570723</v>
      </c>
      <c r="P282" s="88">
        <f t="shared" si="14"/>
        <v>63.00102491297379</v>
      </c>
      <c r="Q282" s="88">
        <f t="shared" si="14"/>
        <v>59.67510907532472</v>
      </c>
      <c r="R282" s="88">
        <f t="shared" si="14"/>
        <v>58.934103269405959</v>
      </c>
      <c r="S282" s="88">
        <f t="shared" si="14"/>
        <v>61.152034731821651</v>
      </c>
      <c r="T282" s="88">
        <f t="shared" si="14"/>
        <v>67.352496180628094</v>
      </c>
      <c r="U282" s="88">
        <f t="shared" ref="U282:U345" si="15">MIN($B$8,((100+$B$7)/(1+K282+$D$8/10000)))+$B$7</f>
        <v>80.332398305644645</v>
      </c>
    </row>
    <row r="283" spans="1:21" x14ac:dyDescent="0.35">
      <c r="A283" s="30"/>
      <c r="B283" s="4"/>
      <c r="C283" s="4"/>
      <c r="D283" s="40">
        <f>(C282-$B$4)*EXP(10*$D$22)</f>
        <v>0.11315336245212852</v>
      </c>
      <c r="E283" s="40">
        <f>(D283-$B$4)*EXP(10*$E$22)</f>
        <v>0.14059886283984271</v>
      </c>
      <c r="F283" s="40">
        <f>(E282-$B$4)*EXP(10*$F$22)</f>
        <v>0.17289286081034172</v>
      </c>
      <c r="G283" s="40">
        <f>(F282-$B$4)*EXP(10*$G$22)</f>
        <v>0.21816950875417424</v>
      </c>
      <c r="H283" s="40">
        <f>(G282-$B$4)*EXP(10*H$22)</f>
        <v>0.26426176660212425</v>
      </c>
      <c r="I283" s="40">
        <f>(H282+$B$4)*EXP(10*$I$22)</f>
        <v>0.33580000880784155</v>
      </c>
      <c r="J283" s="40">
        <f>(I282+$B$4)*EXP(10*$J$22)</f>
        <v>0.42243126618764087</v>
      </c>
      <c r="K283" s="40">
        <f>(J282+$B$4)*EXP(10*$J$22)</f>
        <v>0.53154916161118426</v>
      </c>
      <c r="L283" s="89"/>
      <c r="M283" s="87"/>
      <c r="N283" s="88">
        <f t="shared" ref="N283:T283" si="16">MIN($B$8,AVERAGE(O284:O285)/(1+D283+$D$8/10000))+$B$7</f>
        <v>74.538361681805299</v>
      </c>
      <c r="O283" s="88">
        <f t="shared" si="16"/>
        <v>70.244731840366839</v>
      </c>
      <c r="P283" s="88">
        <f t="shared" si="16"/>
        <v>64.194844501582665</v>
      </c>
      <c r="Q283" s="88">
        <f t="shared" si="16"/>
        <v>60.476112762241371</v>
      </c>
      <c r="R283" s="88">
        <f t="shared" si="16"/>
        <v>59.493168268169377</v>
      </c>
      <c r="S283" s="88">
        <f t="shared" si="16"/>
        <v>60.75207709977191</v>
      </c>
      <c r="T283" s="88">
        <f t="shared" si="16"/>
        <v>67.088563225501673</v>
      </c>
      <c r="U283" s="88">
        <f t="shared" si="15"/>
        <v>79.668328050726814</v>
      </c>
    </row>
    <row r="284" spans="1:21" x14ac:dyDescent="0.35">
      <c r="A284" s="30"/>
      <c r="B284" s="4"/>
      <c r="C284" s="4"/>
      <c r="D284" s="8">
        <f>C282*EXP(10*$D$22)</f>
        <v>0.11565800788451225</v>
      </c>
      <c r="E284" s="40">
        <f>(D284-$B$4)*EXP(10*$E$22)</f>
        <v>0.14376701080983167</v>
      </c>
      <c r="F284" s="40">
        <f>(E283-$B$4)*EXP(10*$F$22)</f>
        <v>0.1697936509955027</v>
      </c>
      <c r="G284" s="40">
        <f>(F283-$B$4)*EXP(10*$G$22)</f>
        <v>0.21508575631277296</v>
      </c>
      <c r="H284" s="40">
        <f>(G283-$B$4)*EXP(10*H$22)</f>
        <v>0.26121997349147763</v>
      </c>
      <c r="I284" s="8">
        <f>H283*EXP(10*I$22)</f>
        <v>0.3302797927511516</v>
      </c>
      <c r="J284" s="8">
        <f>I283*EXP(10*J$22)</f>
        <v>0.42306074370369245</v>
      </c>
      <c r="K284" s="8">
        <f>J283*EXP(10*K$22)</f>
        <v>0.52270996498598665</v>
      </c>
      <c r="L284" s="89"/>
      <c r="M284" s="87"/>
      <c r="N284" s="87"/>
      <c r="O284" s="88">
        <f t="shared" ref="O284:T284" si="17">MIN($B$8,AVERAGE(P286:P287)/(1+E284+$D$8/10000))+$B$7</f>
        <v>68.21781565751229</v>
      </c>
      <c r="P284" s="88">
        <f t="shared" si="17"/>
        <v>65.711767893115393</v>
      </c>
      <c r="Q284" s="88">
        <f t="shared" si="17"/>
        <v>61.447985115722908</v>
      </c>
      <c r="R284" s="88">
        <f t="shared" si="17"/>
        <v>60.207781925477022</v>
      </c>
      <c r="S284" s="88">
        <f t="shared" si="17"/>
        <v>61.640616191211919</v>
      </c>
      <c r="T284" s="88">
        <f t="shared" si="17"/>
        <v>67.022889934614454</v>
      </c>
      <c r="U284" s="88">
        <f t="shared" si="15"/>
        <v>80.158117918101738</v>
      </c>
    </row>
    <row r="285" spans="1:21" x14ac:dyDescent="0.35">
      <c r="A285" s="30"/>
      <c r="B285" s="4"/>
      <c r="C285" s="4"/>
      <c r="D285" s="4"/>
      <c r="E285" s="8">
        <f>D284*EXP(10*$E$22)</f>
        <v>0.14629682834729746</v>
      </c>
      <c r="F285" s="8">
        <f>E283*EXP(10*$F$22)</f>
        <v>0.17224379593199771</v>
      </c>
      <c r="G285" s="8">
        <f>F283*EXP(10*$G$22)</f>
        <v>0.21760295633263191</v>
      </c>
      <c r="H285" s="8">
        <f>G283*EXP(10*H$22)</f>
        <v>0.26363678032974952</v>
      </c>
      <c r="I285" s="40">
        <f>(H283+$B$4)*EXP(10*$I$22)</f>
        <v>0.33277943389862358</v>
      </c>
      <c r="J285" s="40">
        <f>(I283+$B$4)*EXP(10*$J$22)</f>
        <v>0.42558046218259094</v>
      </c>
      <c r="K285" s="40">
        <f>(J283+$B$4)*EXP(10*$J$22)</f>
        <v>0.53472365221763551</v>
      </c>
      <c r="L285" s="89"/>
      <c r="M285" s="87"/>
      <c r="N285" s="87"/>
      <c r="O285" s="88">
        <f t="shared" ref="O285:T285" si="18">MIN($B$8,AVERAGE(P288:P289)/(1+E285+$D$8/10000))+$B$7</f>
        <v>66.654827776295491</v>
      </c>
      <c r="P285" s="88">
        <f t="shared" si="18"/>
        <v>64.587494291236396</v>
      </c>
      <c r="Q285" s="88">
        <f t="shared" si="18"/>
        <v>60.839389798199633</v>
      </c>
      <c r="R285" s="88">
        <f t="shared" si="18"/>
        <v>59.638991957710843</v>
      </c>
      <c r="S285" s="88">
        <f t="shared" si="18"/>
        <v>61.2358826469627</v>
      </c>
      <c r="T285" s="88">
        <f t="shared" si="18"/>
        <v>66.761052495488471</v>
      </c>
      <c r="U285" s="88">
        <f t="shared" si="15"/>
        <v>79.49395994427087</v>
      </c>
    </row>
    <row r="286" spans="1:21" x14ac:dyDescent="0.35">
      <c r="A286" s="30"/>
      <c r="B286" s="4"/>
      <c r="C286" s="4"/>
      <c r="D286" s="4"/>
      <c r="E286" s="4"/>
      <c r="F286" s="40">
        <f>(E284-$B$4)*EXP(10*$F$22)</f>
        <v>0.17367486184887038</v>
      </c>
      <c r="G286" s="40">
        <f>(F284-$B$4)*EXP(10*$G$22)</f>
        <v>0.21118509080904305</v>
      </c>
      <c r="H286" s="40">
        <f>(G284-$B$4)*EXP(10*H$22)</f>
        <v>0.25749355649751959</v>
      </c>
      <c r="I286" s="8">
        <f>H284*EXP(10*I$22)</f>
        <v>0.32647809714041709</v>
      </c>
      <c r="J286" s="8">
        <f>I284*EXP(10*J$22)</f>
        <v>0.41610604850091565</v>
      </c>
      <c r="K286" s="8">
        <f>J284*EXP(10*K$22)</f>
        <v>0.52348887080265183</v>
      </c>
      <c r="L286" s="90"/>
      <c r="M286" s="87"/>
      <c r="N286" s="87"/>
      <c r="O286" s="87"/>
      <c r="P286" s="88">
        <f>MIN($B$8,AVERAGE(Q290:Q291)/(1+F286+$D$8/10000))+$B$7</f>
        <v>63.908559351686996</v>
      </c>
      <c r="Q286" s="88">
        <f>MIN($B$8,AVERAGE(R290:R291)/(1+G286+$D$8/10000))+$B$7</f>
        <v>62.87171264194086</v>
      </c>
      <c r="R286" s="88">
        <f>MIN($B$8,AVERAGE(S290:S291)/(1+H286+$D$8/10000))+$B$7</f>
        <v>60.994410436364525</v>
      </c>
      <c r="S286" s="88">
        <f>MIN($B$8,AVERAGE(T290:T291)/(1+I286+$D$8/10000))+$B$7</f>
        <v>62.263872336584448</v>
      </c>
      <c r="T286" s="88">
        <f>MIN($B$8,AVERAGE(U290:U291)/(1+J286+$D$8/10000))+$B$7</f>
        <v>67.754324597865661</v>
      </c>
      <c r="U286" s="88">
        <f t="shared" si="15"/>
        <v>80.114703261600965</v>
      </c>
    </row>
    <row r="287" spans="1:21" x14ac:dyDescent="0.35">
      <c r="A287" s="30"/>
      <c r="B287" s="4"/>
      <c r="C287" s="4"/>
      <c r="D287" s="4"/>
      <c r="E287" s="4"/>
      <c r="F287" s="8">
        <f>E284*EXP(10*$F$22)</f>
        <v>0.17612500678536538</v>
      </c>
      <c r="G287" s="8">
        <f>F284*EXP(10*$G$22)</f>
        <v>0.21370229082890199</v>
      </c>
      <c r="H287" s="8">
        <f>G284*EXP(10*H$22)</f>
        <v>0.25991036333579143</v>
      </c>
      <c r="I287" s="40">
        <f>(H284+$B$4)*EXP(10*$I$22)</f>
        <v>0.32897773828788907</v>
      </c>
      <c r="J287" s="40">
        <f>(I284+$B$4)*EXP(10*$J$22)</f>
        <v>0.41862576697981407</v>
      </c>
      <c r="K287" s="40">
        <f>(J284+$B$4)*EXP(10*$J$22)</f>
        <v>0.5355167052822587</v>
      </c>
      <c r="L287" s="87"/>
      <c r="M287" s="87"/>
      <c r="N287" s="87"/>
      <c r="O287" s="87"/>
      <c r="P287" s="88">
        <f>MIN($B$8,AVERAGE(Q292:Q293)/(1+F287+$D$8/10000))+$B$7</f>
        <v>62.810788010442458</v>
      </c>
      <c r="Q287" s="88">
        <f>MIN($B$8,AVERAGE(R292:R293)/(1+G287+$D$8/10000))+$B$7</f>
        <v>62.114815726117698</v>
      </c>
      <c r="R287" s="88">
        <f>MIN($B$8,AVERAGE(S292:S293)/(1+H287+$D$8/10000))+$B$7</f>
        <v>60.560442647134586</v>
      </c>
      <c r="S287" s="88">
        <f>MIN($B$8,AVERAGE(T292:T293)/(1+I287+$D$8/10000))+$B$7</f>
        <v>61.853024575644937</v>
      </c>
      <c r="T287" s="88">
        <f>MIN($B$8,AVERAGE(U292:U293)/(1+J287+$D$8/10000))+$B$7</f>
        <v>67.487829279672212</v>
      </c>
      <c r="U287" s="88">
        <f t="shared" si="15"/>
        <v>79.450524588963901</v>
      </c>
    </row>
    <row r="288" spans="1:21" x14ac:dyDescent="0.35">
      <c r="A288" s="30"/>
      <c r="B288" s="4"/>
      <c r="C288" s="4"/>
      <c r="D288" s="4"/>
      <c r="E288" s="4"/>
      <c r="F288" s="40">
        <f>(E285-$B$4)*EXP(10*$F$22)</f>
        <v>0.1767740716637094</v>
      </c>
      <c r="G288" s="40">
        <f>(F285-$B$4)*EXP(10*$G$22)</f>
        <v>0.21426884325044432</v>
      </c>
      <c r="H288" s="40">
        <f>(G285-$B$4)*EXP(10*H$22)</f>
        <v>0.26053534960816616</v>
      </c>
      <c r="I288" s="8">
        <f>H285*EXP(10*I$22)</f>
        <v>0.32949867204963512</v>
      </c>
      <c r="J288" s="8">
        <f>I285*EXP(10*J$22)</f>
        <v>0.41925524449586565</v>
      </c>
      <c r="K288" s="8">
        <f>J285*EXP(10*K$22)</f>
        <v>0.52660673177389561</v>
      </c>
      <c r="L288" s="87"/>
      <c r="M288" s="87"/>
      <c r="N288" s="87"/>
      <c r="O288" s="87"/>
      <c r="P288" s="88">
        <f>MIN($B$8,AVERAGE(Q294:Q295)/(1+F288+$D$8/10000))+$B$7</f>
        <v>62.510077171082429</v>
      </c>
      <c r="Q288" s="88">
        <f>MIN($B$8,AVERAGE(R294:R295)/(1+G288+$D$8/10000))+$B$7</f>
        <v>61.907074064272642</v>
      </c>
      <c r="R288" s="88">
        <f>MIN($B$8,AVERAGE(S294:S295)/(1+H288+$D$8/10000))+$B$7</f>
        <v>60.553012491021768</v>
      </c>
      <c r="S288" s="88">
        <f>MIN($B$8,AVERAGE(T294:T295)/(1+I288+$D$8/10000))+$B$7</f>
        <v>61.767912024603724</v>
      </c>
      <c r="T288" s="88">
        <f>MIN($B$8,AVERAGE(U294:U295)/(1+J288+$D$8/10000))+$B$7</f>
        <v>67.421519281996225</v>
      </c>
      <c r="U288" s="88">
        <f t="shared" si="15"/>
        <v>79.941414400876937</v>
      </c>
    </row>
    <row r="289" spans="1:21" x14ac:dyDescent="0.35">
      <c r="A289" s="30"/>
      <c r="B289" s="4"/>
      <c r="C289" s="4"/>
      <c r="D289" s="4"/>
      <c r="E289" s="4"/>
      <c r="F289" s="8">
        <f>E285*EXP(10*$F$22)</f>
        <v>0.17922421660020441</v>
      </c>
      <c r="G289" s="8">
        <f>F285*EXP(10*$G$22)</f>
        <v>0.21678604327030326</v>
      </c>
      <c r="H289" s="8">
        <f>G285*EXP(10*H22)</f>
        <v>0.26295215644643799</v>
      </c>
      <c r="I289" s="40">
        <f>(H285+$B$4)*EXP(10*$I$22)</f>
        <v>0.3319983131971071</v>
      </c>
      <c r="J289" s="40">
        <f>(I285+$B$4)*EXP(10*$J$22)</f>
        <v>0.42177496297476413</v>
      </c>
      <c r="K289" s="40">
        <f>(J285+$B$4)*EXP(10*$J$22)</f>
        <v>0.53869119588870984</v>
      </c>
      <c r="L289" s="87"/>
      <c r="M289" s="87"/>
      <c r="N289" s="87"/>
      <c r="O289" s="87"/>
      <c r="P289" s="88">
        <f>MIN($B$8,AVERAGE(Q296:Q297)/(1+F289+$D$8/10000))+$B$7</f>
        <v>61.442077373166278</v>
      </c>
      <c r="Q289" s="88">
        <f>MIN($B$8,AVERAGE(R296:R297)/(1+G289+$D$8/10000))+$B$7</f>
        <v>61.099328567697803</v>
      </c>
      <c r="R289" s="88">
        <f>MIN($B$8,AVERAGE(S296:S297)/(1+H289+$D$8/10000))+$B$7</f>
        <v>60.000258979857435</v>
      </c>
      <c r="S289" s="88">
        <f>MIN($B$8,AVERAGE(T296:T297)/(1+I289+$D$8/10000))+$B$7</f>
        <v>61.361931679235184</v>
      </c>
      <c r="T289" s="88">
        <f>MIN($B$8,AVERAGE(U296:U297)/(1+J289+$D$8/10000))+$B$7</f>
        <v>67.157146783183279</v>
      </c>
      <c r="U289" s="88">
        <f t="shared" si="15"/>
        <v>79.277157689059479</v>
      </c>
    </row>
    <row r="290" spans="1:21" x14ac:dyDescent="0.35">
      <c r="A290" s="30"/>
      <c r="B290" s="4"/>
      <c r="C290" s="4"/>
      <c r="D290" s="4"/>
      <c r="E290" s="4"/>
      <c r="F290" s="4"/>
      <c r="G290" s="40">
        <f>(F286-$B$4)*EXP(10*$G$22)</f>
        <v>0.21606998282762999</v>
      </c>
      <c r="H290" s="40">
        <f>(G286-$B$4)*EXP(10*H$22)</f>
        <v>0.25277997896590682</v>
      </c>
      <c r="I290" s="8">
        <f>H286*EXP(10*I$22)</f>
        <v>0.32182074451504894</v>
      </c>
      <c r="J290" s="8">
        <f>I286*EXP(10*J$22)</f>
        <v>0.41131644716015814</v>
      </c>
      <c r="K290" s="8">
        <f>J286*EXP(10*K$22)</f>
        <v>0.51488323770465827</v>
      </c>
      <c r="L290" s="87"/>
      <c r="M290" s="87"/>
      <c r="N290" s="87"/>
      <c r="O290" s="87"/>
      <c r="P290" s="87"/>
      <c r="Q290" s="88">
        <f>MIN($B$8,AVERAGE(R298:R299)/(1+G290+$D$8/10000))+$B$7</f>
        <v>61.282316030258905</v>
      </c>
      <c r="R290" s="88">
        <f>MIN($B$8,AVERAGE(S298:S299)/(1+H290+$D$8/10000))+$B$7</f>
        <v>62.24237163371815</v>
      </c>
      <c r="S290" s="88">
        <f>MIN($B$8,AVERAGE(T298:T299)/(1+I290+$D$8/10000))+$B$7</f>
        <v>62.731279930306755</v>
      </c>
      <c r="T290" s="88">
        <f>MIN($B$8,AVERAGE(U298:U299)/(1+J290+$D$8/10000))+$B$7</f>
        <v>68.265632235209438</v>
      </c>
      <c r="U290" s="88">
        <f t="shared" si="15"/>
        <v>80.597129074659094</v>
      </c>
    </row>
    <row r="291" spans="1:21" x14ac:dyDescent="0.35">
      <c r="A291" s="30"/>
      <c r="B291" s="4"/>
      <c r="C291" s="4"/>
      <c r="D291" s="4"/>
      <c r="E291" s="4"/>
      <c r="F291" s="4"/>
      <c r="G291" s="8">
        <f>F286*EXP(10*$G$22)</f>
        <v>0.21858718284748896</v>
      </c>
      <c r="H291" s="8">
        <f>G286*EXP(10*H$22)</f>
        <v>0.25519678580417865</v>
      </c>
      <c r="I291" s="40">
        <f>(H286+$B$4)*EXP(10*$I$22)</f>
        <v>0.32432038566252092</v>
      </c>
      <c r="J291" s="40">
        <f>(I286+$B$4)*EXP(10*$J$22)</f>
        <v>0.41383616563905662</v>
      </c>
      <c r="K291" s="40">
        <f>(J286+$B$4)*EXP(10*$J$22)</f>
        <v>0.526754768273487</v>
      </c>
      <c r="L291" s="87"/>
      <c r="M291" s="87"/>
      <c r="N291" s="87"/>
      <c r="O291" s="87"/>
      <c r="P291" s="87"/>
      <c r="Q291" s="88">
        <f>MIN($B$8,AVERAGE(R300:R301)/(1+G291+$D$8/10000))+$B$7</f>
        <v>60.51716034919211</v>
      </c>
      <c r="R291" s="88">
        <f>MIN($B$8,AVERAGE(S300:S301)/(1+H291+$D$8/10000))+$B$7</f>
        <v>61.865685196051594</v>
      </c>
      <c r="S291" s="88">
        <f>MIN($B$8,AVERAGE(T300:T301)/(1+I291+$D$8/10000))+$B$7</f>
        <v>62.69786440616808</v>
      </c>
      <c r="T291" s="88">
        <f>MIN($B$8,AVERAGE(U300:U301)/(1+J291+$D$8/10000))+$B$7</f>
        <v>67.995864262424988</v>
      </c>
      <c r="U291" s="88">
        <f t="shared" si="15"/>
        <v>79.933206239472199</v>
      </c>
    </row>
    <row r="292" spans="1:21" x14ac:dyDescent="0.35">
      <c r="A292" s="30"/>
      <c r="B292" s="4"/>
      <c r="C292" s="4"/>
      <c r="D292" s="4"/>
      <c r="E292" s="4"/>
      <c r="F292" s="4"/>
      <c r="G292" s="40">
        <f>(F287-$B$4)*EXP(10*G$22)</f>
        <v>0.21915373526903126</v>
      </c>
      <c r="H292" s="40">
        <f>(G287-$B$4)*EXP(10*H$22)</f>
        <v>0.25582177207655338</v>
      </c>
      <c r="I292" s="8">
        <f>H287*EXP(10*I$22)</f>
        <v>0.32484131942426692</v>
      </c>
      <c r="J292" s="8">
        <f>I287*EXP(10*J$22)</f>
        <v>0.4144656431551082</v>
      </c>
      <c r="K292" s="8">
        <f>J287*EXP(10*K$22)</f>
        <v>0.51800109867590205</v>
      </c>
      <c r="L292" s="87"/>
      <c r="M292" s="87"/>
      <c r="N292" s="87"/>
      <c r="O292" s="87"/>
      <c r="P292" s="87"/>
      <c r="Q292" s="88">
        <f>MIN($B$8,AVERAGE(R302:R303)/(1+G292+$D$8/10000))+$B$7</f>
        <v>60.31707615263803</v>
      </c>
      <c r="R292" s="88">
        <f>MIN($B$8,AVERAGE(S302:S303)/(1+H292+$D$8/10000))+$B$7</f>
        <v>61.680818794848555</v>
      </c>
      <c r="S292" s="88">
        <f>MIN($B$8,AVERAGE(T302:T303)/(1+I292+$D$8/10000))+$B$7</f>
        <v>62.550791223021179</v>
      </c>
      <c r="T292" s="88">
        <f>MIN($B$8,AVERAGE(U302:U303)/(1+J292+$D$8/10000))+$B$7</f>
        <v>67.928741078039977</v>
      </c>
      <c r="U292" s="88">
        <f t="shared" si="15"/>
        <v>80.421639125990509</v>
      </c>
    </row>
    <row r="293" spans="1:21" x14ac:dyDescent="0.35">
      <c r="A293" s="30"/>
      <c r="B293" s="4"/>
      <c r="C293" s="4"/>
      <c r="D293" s="4"/>
      <c r="E293" s="4"/>
      <c r="F293" s="4"/>
      <c r="G293" s="8">
        <f>F287*EXP(10*$G$22)</f>
        <v>0.22167093528889023</v>
      </c>
      <c r="H293" s="8">
        <f>G287*EXP(10*H$22)</f>
        <v>0.25823857891482521</v>
      </c>
      <c r="I293" s="40">
        <f>(H287+$B$4)*EXP(10*$I$22)</f>
        <v>0.32734096057173889</v>
      </c>
      <c r="J293" s="40">
        <f>(I287+$B$4)*EXP(10*$J$22)</f>
        <v>0.41698536163400668</v>
      </c>
      <c r="K293" s="40">
        <f>(J287+$B$4)*EXP(10*$J$22)</f>
        <v>0.52992925887993814</v>
      </c>
      <c r="L293" s="89"/>
      <c r="M293" s="87"/>
      <c r="N293" s="87"/>
      <c r="O293" s="87"/>
      <c r="P293" s="87"/>
      <c r="Q293" s="88">
        <f>MIN($B$8,AVERAGE(R304:R305)/(1+G293+$D$8/10000))+$B$7</f>
        <v>59.538722502868971</v>
      </c>
      <c r="R293" s="88">
        <f>MIN($B$8,AVERAGE(S304:S305)/(1+H293+$D$8/10000))+$B$7</f>
        <v>61.12418917083879</v>
      </c>
      <c r="S293" s="88">
        <f>MIN($B$8,AVERAGE(T304:T305)/(1+I293+$D$8/10000))+$B$7</f>
        <v>62.19669976265935</v>
      </c>
      <c r="T293" s="88">
        <f>MIN($B$8,AVERAGE(U304:U305)/(1+J293+$D$8/10000))+$B$7</f>
        <v>67.661130926126404</v>
      </c>
      <c r="U293" s="88">
        <f t="shared" si="15"/>
        <v>79.757616656096701</v>
      </c>
    </row>
    <row r="294" spans="1:21" x14ac:dyDescent="0.35">
      <c r="A294" s="30"/>
      <c r="B294" s="4"/>
      <c r="C294" s="4"/>
      <c r="D294" s="4"/>
      <c r="E294" s="4"/>
      <c r="F294" s="4"/>
      <c r="G294" s="40">
        <f>(F288-$B$4)*EXP(10*G$22)</f>
        <v>0.21997064833135993</v>
      </c>
      <c r="H294" s="40">
        <f>(G288-$B$4)*EXP(10*H$22)</f>
        <v>0.25650639595986485</v>
      </c>
      <c r="I294" s="8">
        <f>H288*EXP(10*I$22)</f>
        <v>0.3256224401257834</v>
      </c>
      <c r="J294" s="8">
        <f>I288*EXP(10*J$22)</f>
        <v>0.415121946367985</v>
      </c>
      <c r="K294" s="8">
        <f>J288*EXP(10*K$22)</f>
        <v>0.51878000449256723</v>
      </c>
      <c r="L294" s="89"/>
      <c r="M294" s="87"/>
      <c r="N294" s="87"/>
      <c r="O294" s="87"/>
      <c r="P294" s="87"/>
      <c r="Q294" s="88">
        <f>MIN($B$8,AVERAGE(R306:R307)/(1+G294+$D$8/10000))+$B$7</f>
        <v>60.035576638229891</v>
      </c>
      <c r="R294" s="88">
        <f>MIN($B$8,AVERAGE(S306:S307)/(1+H294+$D$8/10000))+$B$7</f>
        <v>61.472567889320118</v>
      </c>
      <c r="S294" s="88">
        <f>MIN($B$8,AVERAGE(T306:T307)/(1+I294+$D$8/10000))+$B$7</f>
        <v>62.555913869271819</v>
      </c>
      <c r="T294" s="88">
        <f>MIN($B$8,AVERAGE(U306:U307)/(1+J294+$D$8/10000))+$B$7</f>
        <v>67.85887199387291</v>
      </c>
      <c r="U294" s="88">
        <f t="shared" si="15"/>
        <v>80.377923590399178</v>
      </c>
    </row>
    <row r="295" spans="1:21" x14ac:dyDescent="0.35">
      <c r="A295" s="30"/>
      <c r="B295" s="4"/>
      <c r="C295" s="4"/>
      <c r="D295" s="4"/>
      <c r="E295" s="4"/>
      <c r="F295" s="4"/>
      <c r="G295" s="8">
        <f>F288*EXP(10*$G$22)</f>
        <v>0.22248784835121888</v>
      </c>
      <c r="H295" s="8">
        <f>G288*EXP(10*H$22)</f>
        <v>0.25892320279813669</v>
      </c>
      <c r="I295" s="40">
        <f>(H288+$B$4)*EXP(10*$I$22)</f>
        <v>0.32812208127325537</v>
      </c>
      <c r="J295" s="40">
        <f>(I288+$B$4)*EXP(10*$J$22)</f>
        <v>0.41764166484688348</v>
      </c>
      <c r="K295" s="40">
        <f>(J288+$B$4)*EXP(10*$J$22)</f>
        <v>0.53072231194456132</v>
      </c>
      <c r="L295" s="89"/>
      <c r="M295" s="87"/>
      <c r="N295" s="87"/>
      <c r="O295" s="87"/>
      <c r="P295" s="87"/>
      <c r="Q295" s="88">
        <f>MIN($B$8,AVERAGE(R308:R309)/(1+G295+$D$8/10000))+$B$7</f>
        <v>59.283330001930786</v>
      </c>
      <c r="R295" s="88">
        <f>MIN($B$8,AVERAGE(S308:S309)/(1+H295+$D$8/10000))+$B$7</f>
        <v>60.959066695325852</v>
      </c>
      <c r="S295" s="88">
        <f>MIN($B$8,AVERAGE(T308:T309)/(1+I295+$D$8/10000))+$B$7</f>
        <v>62.245879168829909</v>
      </c>
      <c r="T295" s="88">
        <f>MIN($B$8,AVERAGE(U308:U309)/(1+J295+$D$8/10000))+$B$7</f>
        <v>67.591708620856707</v>
      </c>
      <c r="U295" s="88">
        <f t="shared" si="15"/>
        <v>79.713877469778296</v>
      </c>
    </row>
    <row r="296" spans="1:21" x14ac:dyDescent="0.35">
      <c r="A296" s="30"/>
      <c r="B296" s="4"/>
      <c r="C296" s="4"/>
      <c r="D296" s="4"/>
      <c r="E296" s="4"/>
      <c r="F296" s="4"/>
      <c r="G296" s="40">
        <f>(F289-$B$4)*EXP(10*G$22)</f>
        <v>0.2230544007727612</v>
      </c>
      <c r="H296" s="40">
        <f>(G289-$B$4)*EXP(10*H$22)</f>
        <v>0.25954818907051141</v>
      </c>
      <c r="I296" s="8">
        <f>H289*EXP(10*I$22)</f>
        <v>0.32864301503500137</v>
      </c>
      <c r="J296" s="8">
        <f>I289*EXP(10*J$22)</f>
        <v>0.41827114236293506</v>
      </c>
      <c r="K296" s="8">
        <f>J289*EXP(10*K$22)</f>
        <v>0.52189786546381112</v>
      </c>
      <c r="L296" s="89"/>
      <c r="M296" s="87"/>
      <c r="N296" s="87"/>
      <c r="O296" s="87"/>
      <c r="P296" s="87"/>
      <c r="Q296" s="88">
        <f>MIN($B$8,AVERAGE(R310:R311)/(1+G296+$D$8/10000))+$B$7</f>
        <v>59.089117792018172</v>
      </c>
      <c r="R296" s="88">
        <f>MIN($B$8,AVERAGE(S310:S311)/(1+H296+$D$8/10000))+$B$7</f>
        <v>60.778140218734023</v>
      </c>
      <c r="S296" s="88">
        <f>MIN($B$8,AVERAGE(T310:T311)/(1+I296+$D$8/10000))+$B$7</f>
        <v>62.101072820023717</v>
      </c>
      <c r="T296" s="88">
        <f>MIN($B$8,AVERAGE(U310:U311)/(1+J296+$D$8/10000))+$B$7</f>
        <v>67.525232623946778</v>
      </c>
      <c r="U296" s="88">
        <f t="shared" si="15"/>
        <v>80.203435493885991</v>
      </c>
    </row>
    <row r="297" spans="1:21" x14ac:dyDescent="0.35">
      <c r="A297" s="30"/>
      <c r="B297" s="4"/>
      <c r="C297" s="4"/>
      <c r="D297" s="4"/>
      <c r="E297" s="4"/>
      <c r="F297" s="4"/>
      <c r="G297" s="8">
        <f>F289*EXP(10*$G$22)</f>
        <v>0.22557160079262015</v>
      </c>
      <c r="H297" s="8">
        <f>G289*EXP(10*H$22)</f>
        <v>0.2619649959087833</v>
      </c>
      <c r="I297" s="40">
        <f>(H289+$B$4)*EXP(10*$I$22)</f>
        <v>0.33114265618247329</v>
      </c>
      <c r="J297" s="40">
        <f>(I289+$B$4)*EXP(10*$J$22)</f>
        <v>0.42079086084183354</v>
      </c>
      <c r="K297" s="40">
        <f>(J289+$B$4)*EXP(10*$J$22)</f>
        <v>0.53389680255101257</v>
      </c>
      <c r="L297" s="89"/>
      <c r="M297" s="87"/>
      <c r="N297" s="87"/>
      <c r="O297" s="87"/>
      <c r="P297" s="87"/>
      <c r="Q297" s="88">
        <f>MIN($B$8,AVERAGE(R312:R313)/(1+G297+$D$8/10000))+$B$7</f>
        <v>58.333312353211269</v>
      </c>
      <c r="R297" s="88">
        <f>MIN($B$8,AVERAGE(S312:S313)/(1+H297+$D$8/10000))+$B$7</f>
        <v>60.233156948141279</v>
      </c>
      <c r="S297" s="88">
        <f>MIN($B$8,AVERAGE(T312:T313)/(1+I297+$D$8/10000))+$B$7</f>
        <v>61.751581473306175</v>
      </c>
      <c r="T297" s="88">
        <f>MIN($B$8,AVERAGE(U312:U313)/(1+J297+$D$8/10000))+$B$7</f>
        <v>67.260199203474713</v>
      </c>
      <c r="U297" s="88">
        <f t="shared" si="15"/>
        <v>79.539299616535118</v>
      </c>
    </row>
    <row r="298" spans="1:21" x14ac:dyDescent="0.35">
      <c r="A298" s="30"/>
      <c r="B298" s="4"/>
      <c r="C298" s="4"/>
      <c r="D298" s="4"/>
      <c r="E298" s="4"/>
      <c r="F298" s="4"/>
      <c r="G298" s="4"/>
      <c r="H298" s="40">
        <f>(G290-$B$4)*EXP(10*H$22)</f>
        <v>0.25868289918327708</v>
      </c>
      <c r="I298" s="8">
        <f>H290*EXP(10*I$22)</f>
        <v>0.31592961834013961</v>
      </c>
      <c r="J298" s="8">
        <f>I290*EXP(10*J$22)</f>
        <v>0.40544883842371499</v>
      </c>
      <c r="K298" s="8">
        <f>J290*EXP(10*K$22)</f>
        <v>0.50895665852002914</v>
      </c>
      <c r="L298" s="87"/>
      <c r="M298" s="87"/>
      <c r="N298" s="87"/>
      <c r="O298" s="87"/>
      <c r="P298" s="87"/>
      <c r="Q298" s="87"/>
      <c r="R298" s="88">
        <f>MIN($B$8,AVERAGE(S314:S315)/(1+H298+$D$8/10000))+$B$7</f>
        <v>60.878691233622654</v>
      </c>
      <c r="S298" s="88">
        <f>MIN($B$8,AVERAGE(T314:T315)/(1+I298+$D$8/10000))+$B$7</f>
        <v>63.754003183342107</v>
      </c>
      <c r="T298" s="88">
        <f>MIN($B$8,AVERAGE(U312:U313)/(1+J298+$D$8/10000))+$B$7</f>
        <v>68.037676370750262</v>
      </c>
      <c r="U298" s="88">
        <f t="shared" si="15"/>
        <v>80.932940584156341</v>
      </c>
    </row>
    <row r="299" spans="1:21" x14ac:dyDescent="0.35">
      <c r="A299" s="30"/>
      <c r="B299" s="4"/>
      <c r="C299" s="4"/>
      <c r="D299" s="4"/>
      <c r="E299" s="4"/>
      <c r="F299" s="4"/>
      <c r="G299" s="4"/>
      <c r="H299" s="8">
        <f>G290*EXP(10*H$22)</f>
        <v>0.26109970602154892</v>
      </c>
      <c r="I299" s="40">
        <f>(H290+$B$4)*EXP(10*$I$22)</f>
        <v>0.31842925948761158</v>
      </c>
      <c r="J299" s="40">
        <f>(I290+$B$4)*EXP(10*$J$22)</f>
        <v>0.40796855690261341</v>
      </c>
      <c r="K299" s="40">
        <f>(J290+$B$4)*EXP(10*$J$22)</f>
        <v>0.52072054477105523</v>
      </c>
      <c r="L299" s="87"/>
      <c r="M299" s="87"/>
      <c r="N299" s="87"/>
      <c r="O299" s="87"/>
      <c r="P299" s="87"/>
      <c r="Q299" s="87"/>
      <c r="R299" s="88">
        <f>MIN($B$8,AVERAGE(S316:S317)/(1+H299+$D$8/10000))+$B$7</f>
        <v>60.438378273195823</v>
      </c>
      <c r="S299" s="88">
        <f>MIN($B$8,AVERAGE(T316:T317)/(1+I299+$D$8/10000))+$B$7</f>
        <v>63.872503327473538</v>
      </c>
      <c r="T299" s="88">
        <f>MIN($B$8,AVERAGE(U314:U315)/(1+J299+$D$8/10000))+$B$7</f>
        <v>68.769879925951187</v>
      </c>
      <c r="U299" s="88">
        <f t="shared" si="15"/>
        <v>80.269229351000988</v>
      </c>
    </row>
    <row r="300" spans="1:21" x14ac:dyDescent="0.35">
      <c r="A300" s="30"/>
      <c r="B300" s="4"/>
      <c r="C300" s="4"/>
      <c r="D300" s="4"/>
      <c r="E300" s="4"/>
      <c r="F300" s="4"/>
      <c r="G300" s="4"/>
      <c r="H300" s="40">
        <f>(G291-$B$4)*EXP(10*H$22)</f>
        <v>0.26172469229392364</v>
      </c>
      <c r="I300" s="8">
        <f>H291*EXP(10*I$22)</f>
        <v>0.31895019324935758</v>
      </c>
      <c r="J300" s="8">
        <f>I291*EXP(10*J$22)</f>
        <v>0.40859803441866499</v>
      </c>
      <c r="K300" s="8">
        <f>J291*EXP(10*K$22)</f>
        <v>0.51207451949127303</v>
      </c>
      <c r="L300" s="87"/>
      <c r="M300" s="87"/>
      <c r="N300" s="87"/>
      <c r="O300" s="87"/>
      <c r="P300" s="87"/>
      <c r="Q300" s="87"/>
      <c r="R300" s="88">
        <f>MIN($B$8,AVERAGE(S318:S319)/(1+H300+$D$8/10000))+$B$7</f>
        <v>60.259705475687475</v>
      </c>
      <c r="S300" s="88">
        <f>MIN($B$8,AVERAGE(T318:T319)/(1+I300+$D$8/10000))+$B$7</f>
        <v>63.721900030040985</v>
      </c>
      <c r="T300" s="88">
        <f>MIN($B$8,AVERAGE(U316:U317)/(1+J300+$D$8/10000))+$B$7</f>
        <v>68.594259420941597</v>
      </c>
      <c r="U300" s="88">
        <f t="shared" si="15"/>
        <v>80.755910300333042</v>
      </c>
    </row>
    <row r="301" spans="1:21" x14ac:dyDescent="0.35">
      <c r="A301" s="30"/>
      <c r="B301" s="4"/>
      <c r="C301" s="4"/>
      <c r="D301" s="4"/>
      <c r="E301" s="4"/>
      <c r="F301" s="4"/>
      <c r="G301" s="4"/>
      <c r="H301" s="8">
        <f>G291*EXP(10*H$22)</f>
        <v>0.26414149913219553</v>
      </c>
      <c r="I301" s="40">
        <f>(H291+$B$4)*EXP(10*$I$22)</f>
        <v>0.32144983439682956</v>
      </c>
      <c r="J301" s="40">
        <f>(I291+$B$4)*EXP(10*$J$22)</f>
        <v>0.41111775289756347</v>
      </c>
      <c r="K301" s="40">
        <f>(J291+$B$4)*EXP(10*$J$22)</f>
        <v>0.52389503537750648</v>
      </c>
      <c r="L301" s="87"/>
      <c r="M301" s="87"/>
      <c r="N301" s="87"/>
      <c r="O301" s="87"/>
      <c r="P301" s="87"/>
      <c r="Q301" s="87"/>
      <c r="R301" s="88">
        <f>MIN($B$8,AVERAGE(S320:S321)/(1+H301+$D$8/10000))+$B$7</f>
        <v>59.72138613789906</v>
      </c>
      <c r="S301" s="88">
        <f>MIN($B$8,AVERAGE(T320:T321)/(1+I301+$D$8/10000))+$B$7</f>
        <v>63.358873873128644</v>
      </c>
      <c r="T301" s="88">
        <f>MIN($B$8,AVERAGE(U318:U319)/(1+J301+$D$8/10000))+$B$7</f>
        <v>68.428906566661752</v>
      </c>
      <c r="U301" s="88">
        <f t="shared" si="15"/>
        <v>80.092084087646228</v>
      </c>
    </row>
    <row r="302" spans="1:21" x14ac:dyDescent="0.35">
      <c r="A302" s="30"/>
      <c r="B302" s="4"/>
      <c r="C302" s="4"/>
      <c r="D302" s="4"/>
      <c r="E302" s="4"/>
      <c r="F302" s="4"/>
      <c r="G302" s="4"/>
      <c r="H302" s="40">
        <f>(G292-$B$4)*EXP(10*H$22)</f>
        <v>0.26240931617723512</v>
      </c>
      <c r="I302" s="8">
        <f>H292*EXP(10*I$22)</f>
        <v>0.31973131395087406</v>
      </c>
      <c r="J302" s="8">
        <f>I292*EXP(10*J$22)</f>
        <v>0.40925433763154173</v>
      </c>
      <c r="K302" s="8">
        <f>J292*EXP(10*K$22)</f>
        <v>0.5128534253079382</v>
      </c>
      <c r="L302" s="87"/>
      <c r="M302" s="87"/>
      <c r="N302" s="87"/>
      <c r="O302" s="87"/>
      <c r="P302" s="87"/>
      <c r="Q302" s="87"/>
      <c r="R302" s="88">
        <f>MIN($B$8,AVERAGE(S322:S323)/(1+H302+$D$8/10000))+$B$7</f>
        <v>60.058435706290048</v>
      </c>
      <c r="S302" s="88">
        <f>MIN($B$8,AVERAGE(T322:T323)/(1+I302+$D$8/10000))+$B$7</f>
        <v>63.519832146917786</v>
      </c>
      <c r="T302" s="88">
        <f>MIN($B$8,AVERAGE(U320:U321)/(1+J302+$D$8/10000))+$B$7</f>
        <v>68.38265102648613</v>
      </c>
      <c r="U302" s="88">
        <f t="shared" si="15"/>
        <v>80.711811611854017</v>
      </c>
    </row>
    <row r="303" spans="1:21" x14ac:dyDescent="0.35">
      <c r="A303" s="30"/>
      <c r="B303" s="4"/>
      <c r="C303" s="4"/>
      <c r="D303" s="4"/>
      <c r="E303" s="4"/>
      <c r="F303" s="4"/>
      <c r="G303" s="4"/>
      <c r="H303" s="8">
        <f>G292*EXP(10*H$22)</f>
        <v>0.26482612301550695</v>
      </c>
      <c r="I303" s="40">
        <f>(H292+$B$4)*EXP(10*$I$22)</f>
        <v>0.32223095509834604</v>
      </c>
      <c r="J303" s="40">
        <f>(I292+$B$4)*EXP(10*$J$22)</f>
        <v>0.41177405611044021</v>
      </c>
      <c r="K303" s="40">
        <f>(J292+$B$4)*EXP(10*$J$22)</f>
        <v>0.52468808844212966</v>
      </c>
      <c r="L303" s="87"/>
      <c r="M303" s="87"/>
      <c r="N303" s="87"/>
      <c r="O303" s="87"/>
      <c r="P303" s="87"/>
      <c r="Q303" s="87"/>
      <c r="R303" s="88">
        <f>MIN($B$8,AVERAGE(S324:S325)/(1+H303+$D$8/10000))+$B$7</f>
        <v>59.561707443820218</v>
      </c>
      <c r="S303" s="88">
        <f>MIN($B$8,AVERAGE(T324:T325)/(1+I303+$D$8/10000))+$B$7</f>
        <v>63.227049886159669</v>
      </c>
      <c r="T303" s="88">
        <f>MIN($B$8,AVERAGE(U322:U323)/(1+J303+$D$8/10000))+$B$7</f>
        <v>68.358192318251554</v>
      </c>
      <c r="U303" s="88">
        <f t="shared" si="15"/>
        <v>80.047957947053533</v>
      </c>
    </row>
    <row r="304" spans="1:21" x14ac:dyDescent="0.35">
      <c r="A304" s="30"/>
      <c r="B304" s="4"/>
      <c r="C304" s="4"/>
      <c r="D304" s="4"/>
      <c r="E304" s="4"/>
      <c r="F304" s="4"/>
      <c r="G304" s="4"/>
      <c r="H304" s="40">
        <f>(G293-$B$4)*EXP(10*H$22)</f>
        <v>0.26545110928788174</v>
      </c>
      <c r="I304" s="8">
        <f>H293*EXP(10*I$22)</f>
        <v>0.32275188886009204</v>
      </c>
      <c r="J304" s="8">
        <f>I293*EXP(10*J$22)</f>
        <v>0.41240353362649179</v>
      </c>
      <c r="K304" s="8">
        <f>J293*EXP(10*K$22)</f>
        <v>0.5159712862791821</v>
      </c>
      <c r="L304" s="87"/>
      <c r="M304" s="87"/>
      <c r="N304" s="87"/>
      <c r="O304" s="87"/>
      <c r="P304" s="87"/>
      <c r="Q304" s="87"/>
      <c r="R304" s="88">
        <f>MIN($B$8,AVERAGE(S326:S327)/(1+H304+$D$8/10000))+$B$7</f>
        <v>59.386813966600911</v>
      </c>
      <c r="S304" s="88">
        <f>MIN($B$8,AVERAGE(T326:T327)/(1+I304+$D$8/10000))+$B$7</f>
        <v>63.078754558799346</v>
      </c>
      <c r="T304" s="88">
        <f>MIN($B$8,AVERAGE(U324:U325)/(1+J304+$D$8/10000))+$B$7</f>
        <v>68.184307827815019</v>
      </c>
      <c r="U304" s="88">
        <f t="shared" si="15"/>
        <v>80.535796380440985</v>
      </c>
    </row>
    <row r="305" spans="1:21" x14ac:dyDescent="0.35">
      <c r="A305" s="30"/>
      <c r="B305" s="4"/>
      <c r="C305" s="4"/>
      <c r="D305" s="4"/>
      <c r="E305" s="4"/>
      <c r="F305" s="4"/>
      <c r="G305" s="4"/>
      <c r="H305" s="8">
        <f>G293*EXP(10*H$22)</f>
        <v>0.26786791612615357</v>
      </c>
      <c r="I305" s="40">
        <f>(H293+$B$4)*EXP(10*$I$22)</f>
        <v>0.32525153000756402</v>
      </c>
      <c r="J305" s="40">
        <f>(I293+$B$4)*EXP(10*$J$22)</f>
        <v>0.41492325210539027</v>
      </c>
      <c r="K305" s="40">
        <f>(J293+$B$4)*EXP(10*$J$22)</f>
        <v>0.5278625790485808</v>
      </c>
      <c r="L305" s="87"/>
      <c r="M305" s="87"/>
      <c r="N305" s="87"/>
      <c r="O305" s="87"/>
      <c r="P305" s="87"/>
      <c r="Q305" s="87"/>
      <c r="R305" s="88">
        <f>MIN($B$8,AVERAGE(S328:S329)/(1+H305+$D$8/10000))+$B$7</f>
        <v>58.859673229307617</v>
      </c>
      <c r="S305" s="88">
        <f>MIN($B$8,AVERAGE(T328:T329)/(1+I305+$D$8/10000))+$B$7</f>
        <v>62.721114960328549</v>
      </c>
      <c r="T305" s="88">
        <f>MIN($B$8,AVERAGE(U326:U327)/(1+J305+$D$8/10000))+$B$7</f>
        <v>68.020524034918367</v>
      </c>
      <c r="U305" s="88">
        <f t="shared" si="15"/>
        <v>79.871837869488672</v>
      </c>
    </row>
    <row r="306" spans="1:21" x14ac:dyDescent="0.35">
      <c r="A306" s="30"/>
      <c r="B306" s="4"/>
      <c r="C306" s="4"/>
      <c r="D306" s="4"/>
      <c r="E306" s="4"/>
      <c r="F306" s="4"/>
      <c r="G306" s="4"/>
      <c r="H306" s="40">
        <f>(G294-$B$4)*EXP(10*H$22)</f>
        <v>0.26339647671488986</v>
      </c>
      <c r="I306" s="8">
        <f>H294*EXP(10*I$22)</f>
        <v>0.32058697096550776</v>
      </c>
      <c r="J306" s="8">
        <f>I294*EXP(10*J$22)</f>
        <v>0.41023843976447238</v>
      </c>
      <c r="K306" s="8">
        <f>J294*EXP(10*K$22)</f>
        <v>0.51366552483011385</v>
      </c>
      <c r="L306" s="87"/>
      <c r="M306" s="87"/>
      <c r="N306" s="87"/>
      <c r="O306" s="87"/>
      <c r="P306" s="87"/>
      <c r="Q306" s="87"/>
      <c r="R306" s="88">
        <f>MIN($B$8,AVERAGE(S330:S331)/(1+H306+$D$8/10000))+$B$7</f>
        <v>59.781225290895819</v>
      </c>
      <c r="S306" s="88">
        <f>MIN($B$8,AVERAGE(T330:T331)/(1+I306+$D$8/10000))+$B$7</f>
        <v>63.284853925829708</v>
      </c>
      <c r="T306" s="88">
        <f>MIN($B$8,AVERAGE(U328:U328)/(1+J306+$D$8/10000))+$B$7</f>
        <v>68.383721779713142</v>
      </c>
      <c r="U306" s="88">
        <f t="shared" si="15"/>
        <v>80.66588754689964</v>
      </c>
    </row>
    <row r="307" spans="1:21" x14ac:dyDescent="0.35">
      <c r="A307" s="30"/>
      <c r="B307" s="4"/>
      <c r="C307" s="4"/>
      <c r="D307" s="4"/>
      <c r="E307" s="4"/>
      <c r="F307" s="4"/>
      <c r="G307" s="4"/>
      <c r="H307" s="8">
        <f>G294*EXP(10*H$22)</f>
        <v>0.26581328355316175</v>
      </c>
      <c r="I307" s="40">
        <f>(H294+$B$4)*EXP(10*$I$22)</f>
        <v>0.32308661211297973</v>
      </c>
      <c r="J307" s="40">
        <f>(I294+$B$4)*EXP(10*$J$22)</f>
        <v>0.41275815824337081</v>
      </c>
      <c r="K307" s="40">
        <f>(J294+$B$4)*EXP(10*$J$22)</f>
        <v>0.52551493810875272</v>
      </c>
      <c r="L307" s="87"/>
      <c r="M307" s="87"/>
      <c r="N307" s="87"/>
      <c r="O307" s="87"/>
      <c r="P307" s="87"/>
      <c r="Q307" s="87"/>
      <c r="R307" s="88">
        <f>MIN($B$8,AVERAGE(S332:S333)/(1+H307+$D$8/10000))+$B$7</f>
        <v>59.332551916699913</v>
      </c>
      <c r="S307" s="88">
        <f>MIN($B$8,AVERAGE(T332:T333)/(1+I307+$D$8/10000))+$B$7</f>
        <v>63.083115179609109</v>
      </c>
      <c r="T307" s="88">
        <f>MIN($B$8,AVERAGE(U330:U331)/(1+J307+$D$8/10000))+$B$7</f>
        <v>68.460563582088142</v>
      </c>
      <c r="U307" s="88">
        <f t="shared" si="15"/>
        <v>80.002005797972743</v>
      </c>
    </row>
    <row r="308" spans="1:21" x14ac:dyDescent="0.35">
      <c r="A308" s="30"/>
      <c r="B308" s="4"/>
      <c r="C308" s="4"/>
      <c r="D308" s="4"/>
      <c r="E308" s="4"/>
      <c r="F308" s="4"/>
      <c r="G308" s="4"/>
      <c r="H308" s="40">
        <f>(G295-$B$4)*EXP(10*H$22)</f>
        <v>0.26643826982553642</v>
      </c>
      <c r="I308" s="8">
        <f>H295*EXP(10*I$22)</f>
        <v>0.32360754587472573</v>
      </c>
      <c r="J308" s="8">
        <f>I295*EXP(10*J$22)</f>
        <v>0.41338763575942239</v>
      </c>
      <c r="K308" s="8">
        <f>J295*EXP(10*K$22)</f>
        <v>0.51678338580135763</v>
      </c>
      <c r="L308" s="87"/>
      <c r="M308" s="87"/>
      <c r="N308" s="87"/>
      <c r="O308" s="87"/>
      <c r="P308" s="87"/>
      <c r="Q308" s="87"/>
      <c r="R308" s="88">
        <f>MIN($B$8,AVERAGE(S334:S335)/(1+H308+$D$8/10000))+$B$7</f>
        <v>59.158643170933303</v>
      </c>
      <c r="S308" s="88">
        <f>MIN($B$8,AVERAGE(T334:T335)/(1+I308+$D$8/10000))+$B$7</f>
        <v>62.935333145539481</v>
      </c>
      <c r="T308" s="88">
        <f>MIN($B$8,AVERAGE(U332:U333)/(1+J308+$D$8/10000))+$B$7</f>
        <v>68.287324867406355</v>
      </c>
      <c r="U308" s="88">
        <f t="shared" si="15"/>
        <v>80.490082756425508</v>
      </c>
    </row>
    <row r="309" spans="1:21" x14ac:dyDescent="0.35">
      <c r="A309" s="30"/>
      <c r="B309" s="4"/>
      <c r="C309" s="4"/>
      <c r="D309" s="4"/>
      <c r="E309" s="4"/>
      <c r="F309" s="4"/>
      <c r="G309" s="4"/>
      <c r="H309" s="8">
        <f>G295*EXP(10*H$22)</f>
        <v>0.26885507666380831</v>
      </c>
      <c r="I309" s="40">
        <f>(H295+$B$4)*EXP(10*$I$22)</f>
        <v>0.32610718702219771</v>
      </c>
      <c r="J309" s="40">
        <f>(I295+$B$4)*EXP(10*$J$22)</f>
        <v>0.41590735423832087</v>
      </c>
      <c r="K309" s="40">
        <f>(J295+$B$4)*EXP(10*$J$22)</f>
        <v>0.52868942871520386</v>
      </c>
      <c r="L309" s="87"/>
      <c r="M309" s="87"/>
      <c r="N309" s="87"/>
      <c r="O309" s="87"/>
      <c r="P309" s="87"/>
      <c r="Q309" s="87"/>
      <c r="R309" s="88">
        <f>MIN($B$8,AVERAGE(S336:S337)/(1+H309+$D$8/10000))+$B$7</f>
        <v>58.634415830161451</v>
      </c>
      <c r="S309" s="88">
        <f>MIN($B$8,AVERAGE(T336:T337)/(1+I309+$D$8/10000))+$B$7</f>
        <v>62.578891899732028</v>
      </c>
      <c r="T309" s="88">
        <f>MIN($B$8,AVERAGE(U334:U335)/(1+J309+$D$8/10000))+$B$7</f>
        <v>68.12360167959099</v>
      </c>
      <c r="U309" s="88">
        <f t="shared" si="15"/>
        <v>79.826098251842495</v>
      </c>
    </row>
    <row r="310" spans="1:21" x14ac:dyDescent="0.35">
      <c r="A310" s="30"/>
      <c r="B310" s="4"/>
      <c r="C310" s="4"/>
      <c r="D310" s="4"/>
      <c r="E310" s="4"/>
      <c r="F310" s="4"/>
      <c r="G310" s="4"/>
      <c r="H310" s="40">
        <f>(G296-$B$4)*EXP(10*H$22)</f>
        <v>0.26712289370884795</v>
      </c>
      <c r="I310" s="8">
        <f>H296*EXP(10*I$22)</f>
        <v>0.32438866657624221</v>
      </c>
      <c r="J310" s="8">
        <f>I296*EXP(10*J$22)</f>
        <v>0.41404393897229913</v>
      </c>
      <c r="K310" s="8">
        <f>J296*EXP(10*K$22)</f>
        <v>0.51756229161802281</v>
      </c>
      <c r="L310" s="87"/>
      <c r="M310" s="87"/>
      <c r="N310" s="87"/>
      <c r="O310" s="87"/>
      <c r="P310" s="87"/>
      <c r="Q310" s="87"/>
      <c r="R310" s="88">
        <f>MIN($B$8,AVERAGE(S338:S339)/(1+H310+$D$8/10000))+$B$7</f>
        <v>58.962743185104777</v>
      </c>
      <c r="S310" s="88">
        <f>MIN($B$8,AVERAGE(T338:T339)/(1+I310+$D$8/10000))+$B$7</f>
        <v>62.737031836555644</v>
      </c>
      <c r="T310" s="88">
        <f>MIN($B$8,AVERAGE(U336:U337)/(1+J310+$D$8/10000))+$B$7</f>
        <v>68.078609092387453</v>
      </c>
      <c r="U310" s="88">
        <f t="shared" si="15"/>
        <v>80.446288904468858</v>
      </c>
    </row>
    <row r="311" spans="1:21" x14ac:dyDescent="0.35">
      <c r="A311" s="30"/>
      <c r="B311" s="4"/>
      <c r="C311" s="4"/>
      <c r="D311" s="4"/>
      <c r="E311" s="4"/>
      <c r="F311" s="4"/>
      <c r="G311" s="4"/>
      <c r="H311" s="8">
        <f>G296*EXP(10*H$22)</f>
        <v>0.26953970054711979</v>
      </c>
      <c r="I311" s="40">
        <f>(H296+$B$4)*EXP(10*$I$22)</f>
        <v>0.32688830772371419</v>
      </c>
      <c r="J311" s="40">
        <f>(I296+$B$4)*EXP(10*$J$22)</f>
        <v>0.41656365745119761</v>
      </c>
      <c r="K311" s="40">
        <f>(J296+$B$4)*EXP(10*$J$22)</f>
        <v>0.52948248177982704</v>
      </c>
      <c r="L311" s="87"/>
      <c r="M311" s="87"/>
      <c r="N311" s="87"/>
      <c r="O311" s="87"/>
      <c r="P311" s="87"/>
      <c r="Q311" s="87"/>
      <c r="R311" s="88">
        <f>MIN($B$8,AVERAGE(S340:S341)/(1+H311+$D$8/10000))+$B$7</f>
        <v>58.478926558009277</v>
      </c>
      <c r="S311" s="88">
        <f>MIN($B$8,AVERAGE(T340:T341)/(1+I311+$D$8/10000))+$B$7</f>
        <v>62.449477200901008</v>
      </c>
      <c r="T311" s="88">
        <f>MIN($B$8,AVERAGE(U338:U339)/(1+J311+$D$8/10000))+$B$7</f>
        <v>68.053716899920843</v>
      </c>
      <c r="U311" s="88">
        <f t="shared" si="15"/>
        <v>79.782279976001973</v>
      </c>
    </row>
    <row r="312" spans="1:21" x14ac:dyDescent="0.35">
      <c r="A312" s="30"/>
      <c r="B312" s="4"/>
      <c r="C312" s="4"/>
      <c r="D312" s="4"/>
      <c r="E312" s="4"/>
      <c r="F312" s="4"/>
      <c r="G312" s="4"/>
      <c r="H312" s="40">
        <f>(G297-$B$4)*EXP(10*H$22)</f>
        <v>0.27016468681949452</v>
      </c>
      <c r="I312" s="8">
        <f>H297*EXP(10*I$22)</f>
        <v>0.32740924148546025</v>
      </c>
      <c r="J312" s="8">
        <f>I297*EXP(10*J$22)</f>
        <v>0.41719313496724914</v>
      </c>
      <c r="K312" s="8">
        <f>J297*EXP(10*K$22)</f>
        <v>0.5206801525892667</v>
      </c>
      <c r="L312" s="87"/>
      <c r="M312" s="87"/>
      <c r="N312" s="87"/>
      <c r="O312" s="87"/>
      <c r="P312" s="87"/>
      <c r="Q312" s="87"/>
      <c r="R312" s="88">
        <f>MIN($B$8,AVERAGE(S342:S343)/(1+H312+$D$8/10000))+$B$7</f>
        <v>58.308674412923047</v>
      </c>
      <c r="S312" s="88">
        <f>MIN($B$8,AVERAGE(T342:T343)/(1+I312+$D$8/10000))+$B$7</f>
        <v>62.303948807597379</v>
      </c>
      <c r="T312" s="88">
        <f>MIN($B$8,AVERAGE(U340:U341)/(1+J312+$D$8/10000))+$B$7</f>
        <v>67.882177403192628</v>
      </c>
      <c r="U312" s="88">
        <f t="shared" si="15"/>
        <v>80.271488659594056</v>
      </c>
    </row>
    <row r="313" spans="1:21" x14ac:dyDescent="0.35">
      <c r="A313" s="30"/>
      <c r="B313" s="4"/>
      <c r="C313" s="4"/>
      <c r="D313" s="4"/>
      <c r="E313" s="4"/>
      <c r="F313" s="4"/>
      <c r="G313" s="4"/>
      <c r="H313" s="8">
        <f>G297*EXP(10*H$22)</f>
        <v>0.27258149365776635</v>
      </c>
      <c r="I313" s="40">
        <f>(H297+$B$4)*EXP(10*$I$22)</f>
        <v>0.32990888263293222</v>
      </c>
      <c r="J313" s="40">
        <f>(I297+$B$4)*EXP(10*$J$22)</f>
        <v>0.41971285344614762</v>
      </c>
      <c r="K313" s="40">
        <f>(J297+$B$4)*EXP(10*$J$22)</f>
        <v>0.53265697238627818</v>
      </c>
      <c r="L313" s="87"/>
      <c r="M313" s="87"/>
      <c r="N313" s="87"/>
      <c r="O313" s="87"/>
      <c r="P313" s="87"/>
      <c r="Q313" s="87"/>
      <c r="R313" s="88">
        <f>MIN($B$8,AVERAGE(S344:S345)/(1+H313+$D$8/10000))+$B$7</f>
        <v>57.795268041137923</v>
      </c>
      <c r="S313" s="88">
        <f>MIN($B$8,AVERAGE(T344:T345)/(1+I313+$D$8/10000))+$B$7</f>
        <v>61.952770645877898</v>
      </c>
      <c r="T313" s="88">
        <f>MIN($B$8,AVERAGE(U342:U343)/(1+J313+$D$8/10000))+$B$7</f>
        <v>67.719997725236766</v>
      </c>
      <c r="U313" s="88">
        <f t="shared" si="15"/>
        <v>79.607386905383422</v>
      </c>
    </row>
    <row r="314" spans="1:21" x14ac:dyDescent="0.35">
      <c r="A314" s="30"/>
      <c r="B314" s="4"/>
      <c r="C314" s="4"/>
      <c r="D314" s="4"/>
      <c r="E314" s="4"/>
      <c r="F314" s="4"/>
      <c r="G314" s="4"/>
      <c r="H314" s="17"/>
      <c r="I314" s="8">
        <f>H298*EXP(10*I$22)</f>
        <v>0.32330720947293107</v>
      </c>
      <c r="J314" s="8">
        <f>I298*EXP(10*J$22)</f>
        <v>0.39802684868149424</v>
      </c>
      <c r="K314" s="8">
        <f>J298*EXP(10*K$22)</f>
        <v>0.50169616953005158</v>
      </c>
      <c r="L314" s="87"/>
      <c r="M314" s="87"/>
      <c r="N314" s="87"/>
      <c r="O314" s="87"/>
      <c r="P314" s="87"/>
      <c r="Q314" s="87"/>
      <c r="R314" s="87"/>
      <c r="S314" s="88">
        <f>MIN($B$8,AVERAGE(T346:T347)/(1+I314+$D$8/10000))+$B$7</f>
        <v>62.770226228154094</v>
      </c>
      <c r="T314" s="88">
        <f>MIN($B$8,AVERAGE(U344:U345)/(1+J314+$D$8/10000))+$B$7</f>
        <v>68.692686727269091</v>
      </c>
      <c r="U314" s="88">
        <f t="shared" si="15"/>
        <v>81.348368832119093</v>
      </c>
    </row>
    <row r="315" spans="1:21" x14ac:dyDescent="0.35">
      <c r="A315" s="30"/>
      <c r="B315" s="4"/>
      <c r="C315" s="4"/>
      <c r="D315" s="4"/>
      <c r="E315" s="4"/>
      <c r="F315" s="4"/>
      <c r="G315" s="4"/>
      <c r="H315" s="17"/>
      <c r="I315" s="40">
        <f>(H298+$B$4)*EXP(10*$I$22)</f>
        <v>0.32580685062040304</v>
      </c>
      <c r="J315" s="40">
        <f>(I298+$B$4)*EXP(10*$J$22)</f>
        <v>0.40054656716039272</v>
      </c>
      <c r="K315" s="40">
        <f>(J298+$B$4)*EXP(10*$J$22)</f>
        <v>0.51332818369097433</v>
      </c>
      <c r="L315" s="87"/>
      <c r="M315" s="87"/>
      <c r="N315" s="87"/>
      <c r="O315" s="87"/>
      <c r="P315" s="87"/>
      <c r="Q315" s="87"/>
      <c r="R315" s="87"/>
      <c r="S315" s="88">
        <f>MIN($B$8,AVERAGE(T348:T349)/(1+I315+$D$8/10000))+$B$7</f>
        <v>62.539548232140874</v>
      </c>
      <c r="T315" s="88">
        <f>MIN($B$8,AVERAGE(U346:U347)/(1+J315+$D$8/10000))+$B$7</f>
        <v>69.793145439035541</v>
      </c>
      <c r="U315" s="88">
        <f t="shared" si="15"/>
        <v>80.684957442545596</v>
      </c>
    </row>
    <row r="316" spans="1:21" x14ac:dyDescent="0.35">
      <c r="A316" s="30"/>
      <c r="B316" s="4"/>
      <c r="C316" s="4"/>
      <c r="D316" s="4"/>
      <c r="E316" s="4"/>
      <c r="F316" s="4"/>
      <c r="G316" s="4"/>
      <c r="H316" s="17"/>
      <c r="I316" s="8">
        <f>H299*EXP(10*I$22)</f>
        <v>0.32632778438214904</v>
      </c>
      <c r="J316" s="8">
        <f>I299*EXP(10*J$22)</f>
        <v>0.4011760446764443</v>
      </c>
      <c r="K316" s="8">
        <f>J299*EXP(10*K$22)</f>
        <v>0.50481403050129536</v>
      </c>
      <c r="L316" s="87"/>
      <c r="M316" s="87"/>
      <c r="N316" s="87"/>
      <c r="O316" s="87"/>
      <c r="P316" s="87"/>
      <c r="Q316" s="87"/>
      <c r="R316" s="87"/>
      <c r="S316" s="88">
        <f>MIN($B$8,AVERAGE(T350:T351)/(1+I316+$D$8/10000))+$B$7</f>
        <v>62.482592489523981</v>
      </c>
      <c r="T316" s="88">
        <f>MIN($B$8,AVERAGE(U348:U349)/(1+J316+$D$8/10000))+$B$7</f>
        <v>69.614299616210062</v>
      </c>
      <c r="U316" s="88">
        <f t="shared" si="15"/>
        <v>81.169423727099684</v>
      </c>
    </row>
    <row r="317" spans="1:21" x14ac:dyDescent="0.35">
      <c r="A317" s="30"/>
      <c r="B317" s="4"/>
      <c r="C317" s="4"/>
      <c r="D317" s="4"/>
      <c r="E317" s="4"/>
      <c r="F317" s="4"/>
      <c r="G317" s="4"/>
      <c r="H317" s="17"/>
      <c r="I317" s="40">
        <f>(H299+$B$4)*EXP(10*$I$22)</f>
        <v>0.32882742552962096</v>
      </c>
      <c r="J317" s="40">
        <f>(I299+$B$4)*EXP(10*$J$22)</f>
        <v>0.40369576315534272</v>
      </c>
      <c r="K317" s="40">
        <f>(J299+$B$4)*EXP(10*$J$22)</f>
        <v>0.51650267429742547</v>
      </c>
      <c r="L317" s="87"/>
      <c r="M317" s="87"/>
      <c r="N317" s="87"/>
      <c r="O317" s="87"/>
      <c r="P317" s="87"/>
      <c r="Q317" s="87"/>
      <c r="R317" s="87"/>
      <c r="S317" s="88">
        <f>MIN($B$8,AVERAGE(T352:T353)/(1+I317+$D$8/10000))+$B$7</f>
        <v>62.129927251661961</v>
      </c>
      <c r="T317" s="88">
        <f>MIN($B$8,AVERAGE(U350:U351)/(1+J317+$D$8/10000))+$B$7</f>
        <v>69.445487939519097</v>
      </c>
      <c r="U317" s="88">
        <f t="shared" si="15"/>
        <v>80.505878017410552</v>
      </c>
    </row>
    <row r="318" spans="1:21" x14ac:dyDescent="0.35">
      <c r="A318" s="30"/>
      <c r="B318" s="4"/>
      <c r="C318" s="4"/>
      <c r="D318" s="4"/>
      <c r="E318" s="4"/>
      <c r="F318" s="4"/>
      <c r="G318" s="4"/>
      <c r="H318" s="17"/>
      <c r="I318" s="8">
        <f>H300*EXP(10*I$22)</f>
        <v>0.32710890508366552</v>
      </c>
      <c r="J318" s="8">
        <f>I300*EXP(10*J$22)</f>
        <v>0.40183234788932104</v>
      </c>
      <c r="K318" s="8">
        <f>J300*EXP(10*K$22)</f>
        <v>0.50559293631796054</v>
      </c>
      <c r="L318" s="87"/>
      <c r="M318" s="87"/>
      <c r="N318" s="87"/>
      <c r="O318" s="87"/>
      <c r="P318" s="87"/>
      <c r="Q318" s="87"/>
      <c r="R318" s="87"/>
      <c r="S318" s="88">
        <f>MIN($B$8,AVERAGE(T354:T355)/(1+I318+$D$8/10000))+$B$7</f>
        <v>62.286450154397521</v>
      </c>
      <c r="T318" s="88">
        <f>MIN($B$8,AVERAGE(U352:U353)/(1+J318+$D$8/10000))+$B$7</f>
        <v>69.398830194113771</v>
      </c>
      <c r="U318" s="88">
        <f t="shared" si="15"/>
        <v>81.12484874369386</v>
      </c>
    </row>
    <row r="319" spans="1:21" x14ac:dyDescent="0.35">
      <c r="A319" s="30"/>
      <c r="B319" s="4"/>
      <c r="C319" s="4"/>
      <c r="D319" s="4"/>
      <c r="E319" s="4"/>
      <c r="F319" s="4"/>
      <c r="G319" s="4"/>
      <c r="H319" s="17"/>
      <c r="I319" s="40">
        <f>(H300+$B$4)*EXP(10*$I$22)</f>
        <v>0.3296085462311375</v>
      </c>
      <c r="J319" s="40">
        <f>(I300+$B$4)*EXP(10*$J$22)</f>
        <v>0.40435206636821946</v>
      </c>
      <c r="K319" s="40">
        <f>(J300+$B$4)*EXP(10*$J$22)</f>
        <v>0.51729572736204865</v>
      </c>
      <c r="L319" s="87"/>
      <c r="M319" s="87"/>
      <c r="N319" s="87"/>
      <c r="O319" s="87"/>
      <c r="P319" s="87"/>
      <c r="Q319" s="87"/>
      <c r="R319" s="87"/>
      <c r="S319" s="88">
        <f>MIN($B$8,AVERAGE(T356:T357)/(1+I319+$D$8/10000))+$B$7</f>
        <v>62.001893962530026</v>
      </c>
      <c r="T319" s="88">
        <f>MIN($B$8,AVERAGE(U354:U355)/(1+J319+$D$8/10000))+$B$7</f>
        <v>69.373388674128279</v>
      </c>
      <c r="U319" s="88">
        <f t="shared" si="15"/>
        <v>80.461270790656599</v>
      </c>
    </row>
    <row r="320" spans="1:21" x14ac:dyDescent="0.35">
      <c r="A320" s="30"/>
      <c r="B320" s="4"/>
      <c r="C320" s="4"/>
      <c r="D320" s="4"/>
      <c r="E320" s="4"/>
      <c r="F320" s="4"/>
      <c r="G320" s="4"/>
      <c r="H320" s="17"/>
      <c r="I320" s="8">
        <f>H301*EXP(10*I$22)</f>
        <v>0.33012947999288356</v>
      </c>
      <c r="J320" s="8">
        <f>I301*EXP(10*J$22)</f>
        <v>0.40498154388427104</v>
      </c>
      <c r="K320" s="8">
        <f>J301*EXP(10*K$22)</f>
        <v>0.50871079728920432</v>
      </c>
      <c r="L320" s="87"/>
      <c r="M320" s="87"/>
      <c r="N320" s="87"/>
      <c r="O320" s="87"/>
      <c r="P320" s="87"/>
      <c r="Q320" s="87"/>
      <c r="R320" s="87"/>
      <c r="S320" s="88">
        <f>MIN($B$8,AVERAGE(T358:T359)/(1+I320+$D$8/10000))+$B$7</f>
        <v>61.857951546419145</v>
      </c>
      <c r="T320" s="88">
        <f>MIN($B$8,AVERAGE(U356:U357)/(1+J320+$D$8/10000))+$B$7</f>
        <v>69.196315903502281</v>
      </c>
      <c r="U320" s="88">
        <f t="shared" si="15"/>
        <v>80.946935180336553</v>
      </c>
    </row>
    <row r="321" spans="1:21" x14ac:dyDescent="0.35">
      <c r="A321" s="30"/>
      <c r="B321" s="4"/>
      <c r="C321" s="4"/>
      <c r="D321" s="4"/>
      <c r="E321" s="4"/>
      <c r="F321" s="4"/>
      <c r="G321" s="4"/>
      <c r="H321" s="17"/>
      <c r="I321" s="40">
        <f>(H301+$B$4)*EXP(10*$I$22)</f>
        <v>0.33262912114035553</v>
      </c>
      <c r="J321" s="40">
        <f>(I301+$B$4)*EXP(10*$J$22)</f>
        <v>0.40750126236316953</v>
      </c>
      <c r="K321" s="40">
        <f>(J301+$B$4)*EXP(10*$J$22)</f>
        <v>0.52047021796849979</v>
      </c>
      <c r="L321" s="87"/>
      <c r="M321" s="87"/>
      <c r="N321" s="87"/>
      <c r="O321" s="87"/>
      <c r="P321" s="87"/>
      <c r="Q321" s="87"/>
      <c r="R321" s="87"/>
      <c r="S321" s="88">
        <f>MIN($B$8,AVERAGE(T360:T361)/(1+I321+$D$8/10000))+$B$7</f>
        <v>61.510478858060011</v>
      </c>
      <c r="T321" s="88">
        <f>MIN($B$8,AVERAGE(U358:U359)/(1+J321+$D$8/10000))+$B$7</f>
        <v>69.029112492384584</v>
      </c>
      <c r="U321" s="88">
        <f t="shared" si="15"/>
        <v>80.283233362666735</v>
      </c>
    </row>
    <row r="322" spans="1:21" x14ac:dyDescent="0.35">
      <c r="A322" s="30"/>
      <c r="B322" s="4"/>
      <c r="C322" s="4"/>
      <c r="D322" s="4"/>
      <c r="E322" s="4"/>
      <c r="F322" s="4"/>
      <c r="G322" s="4"/>
      <c r="H322" s="17"/>
      <c r="I322" s="8">
        <f>H302*EXP(10*I$22)</f>
        <v>0.32796456209829922</v>
      </c>
      <c r="J322" s="8">
        <f>I302*EXP(10*J$22)</f>
        <v>0.40281645002225164</v>
      </c>
      <c r="K322" s="8">
        <f>J302*EXP(10*K$22)</f>
        <v>0.50640503584013608</v>
      </c>
      <c r="L322" s="87"/>
      <c r="M322" s="87"/>
      <c r="N322" s="87"/>
      <c r="O322" s="87"/>
      <c r="P322" s="87"/>
      <c r="Q322" s="87"/>
      <c r="R322" s="87"/>
      <c r="S322" s="88">
        <f>MIN($B$8,AVERAGE(T362:T363)/(1+I322+$D$8/10000))+$B$7</f>
        <v>62.058364287866041</v>
      </c>
      <c r="T322" s="88">
        <f>MIN($B$8,AVERAGE(U360:U361)/(1+J322+$D$8/10000))+$B$7</f>
        <v>69.13016420717787</v>
      </c>
      <c r="U322" s="88">
        <f t="shared" si="15"/>
        <v>81.078428961848857</v>
      </c>
    </row>
    <row r="323" spans="1:21" x14ac:dyDescent="0.35">
      <c r="A323" s="30"/>
      <c r="B323" s="4"/>
      <c r="C323" s="4"/>
      <c r="D323" s="4"/>
      <c r="E323" s="4"/>
      <c r="F323" s="4"/>
      <c r="G323" s="4"/>
      <c r="H323" s="17"/>
      <c r="I323" s="40">
        <f>(H302+$B$4)*EXP(10*$I$22)</f>
        <v>0.33046420324577119</v>
      </c>
      <c r="J323" s="40">
        <f>(I302+$B$4)*EXP(10*$J$22)</f>
        <v>0.40533616850115006</v>
      </c>
      <c r="K323" s="40">
        <f>(J302+$B$4)*EXP(10*$J$22)</f>
        <v>0.51812257702867159</v>
      </c>
      <c r="L323" s="87"/>
      <c r="M323" s="87"/>
      <c r="N323" s="87"/>
      <c r="O323" s="87"/>
      <c r="P323" s="87"/>
      <c r="Q323" s="87"/>
      <c r="R323" s="87"/>
      <c r="S323" s="88">
        <f>MIN($B$8,AVERAGE(T364:T365)/(1+I323+$D$8/10000))+$B$7</f>
        <v>61.862094678961505</v>
      </c>
      <c r="T323" s="88">
        <f>MIN($B$8,AVERAGE(U362:U363)/(1+J323+$D$8/10000))+$B$7</f>
        <v>69.265505913106338</v>
      </c>
      <c r="U323" s="88">
        <f t="shared" si="15"/>
        <v>80.414817946364948</v>
      </c>
    </row>
    <row r="324" spans="1:21" x14ac:dyDescent="0.35">
      <c r="A324" s="30"/>
      <c r="B324" s="4"/>
      <c r="C324" s="4"/>
      <c r="D324" s="4"/>
      <c r="E324" s="4"/>
      <c r="F324" s="4"/>
      <c r="G324" s="4"/>
      <c r="H324" s="17"/>
      <c r="I324" s="8">
        <f>H303*EXP(10*I$22)</f>
        <v>0.33098513700751719</v>
      </c>
      <c r="J324" s="8">
        <f>I303*EXP(10*J$22)</f>
        <v>0.4059656460172017</v>
      </c>
      <c r="K324" s="8">
        <f>J303*EXP(10*K$22)</f>
        <v>0.50952289681137986</v>
      </c>
      <c r="L324" s="87"/>
      <c r="M324" s="87"/>
      <c r="N324" s="87"/>
      <c r="O324" s="87"/>
      <c r="P324" s="87"/>
      <c r="Q324" s="87"/>
      <c r="R324" s="87"/>
      <c r="S324" s="88">
        <f>MIN($B$8,AVERAGE(T366:T367)/(1+I324+$D$8/10000))+$B$7</f>
        <v>61.718646620672729</v>
      </c>
      <c r="T324" s="88">
        <f>MIN($B$8,AVERAGE(U364:U365)/(1+J324+$D$8/10000))+$B$7</f>
        <v>69.088887824767369</v>
      </c>
      <c r="U324" s="88">
        <f t="shared" si="15"/>
        <v>80.900729251985283</v>
      </c>
    </row>
    <row r="325" spans="1:21" x14ac:dyDescent="0.35">
      <c r="A325" s="30"/>
      <c r="B325" s="4"/>
      <c r="C325" s="4"/>
      <c r="D325" s="4"/>
      <c r="E325" s="4"/>
      <c r="F325" s="4"/>
      <c r="G325" s="4"/>
      <c r="H325" s="17"/>
      <c r="I325" s="40">
        <f>(H303+$B$4)*EXP(10*$I$22)</f>
        <v>0.33348477815498917</v>
      </c>
      <c r="J325" s="40">
        <f>(I303+$B$4)*EXP(10*$J$22)</f>
        <v>0.40848536449610012</v>
      </c>
      <c r="K325" s="40">
        <f>(J303+$B$4)*EXP(10*$J$22)</f>
        <v>0.52129706763512285</v>
      </c>
      <c r="L325" s="87"/>
      <c r="M325" s="87"/>
      <c r="N325" s="87"/>
      <c r="O325" s="87"/>
      <c r="P325" s="87"/>
      <c r="Q325" s="87"/>
      <c r="R325" s="87"/>
      <c r="S325" s="88">
        <f>MIN($B$8,AVERAGE(T368:T369)/(1+I325+$D$8/10000))+$B$7</f>
        <v>61.372329226610248</v>
      </c>
      <c r="T325" s="88">
        <f>MIN($B$8,AVERAGE(U366:U367)/(1+J325+$D$8/10000))+$B$7</f>
        <v>68.922096955276658</v>
      </c>
      <c r="U325" s="88">
        <f t="shared" si="15"/>
        <v>80.236996528798429</v>
      </c>
    </row>
    <row r="326" spans="1:21" x14ac:dyDescent="0.35">
      <c r="A326" s="30"/>
      <c r="B326" s="4"/>
      <c r="C326" s="4"/>
      <c r="D326" s="4"/>
      <c r="E326" s="4"/>
      <c r="F326" s="4"/>
      <c r="G326" s="4"/>
      <c r="H326" s="17"/>
      <c r="I326" s="8">
        <f>H304*EXP(10*I$22)</f>
        <v>0.33176625770903373</v>
      </c>
      <c r="J326" s="8">
        <f>I304*EXP(10*J$22)</f>
        <v>0.40662194923007844</v>
      </c>
      <c r="K326" s="8">
        <f>J304*EXP(10*K$22)</f>
        <v>0.51030180262804503</v>
      </c>
      <c r="L326" s="87"/>
      <c r="M326" s="87"/>
      <c r="N326" s="87"/>
      <c r="O326" s="87"/>
      <c r="P326" s="87"/>
      <c r="Q326" s="87"/>
      <c r="R326" s="87"/>
      <c r="S326" s="88">
        <f>MIN($B$8,AVERAGE(T370:T371)/(1+I326+$D$8/10000))+$B$7</f>
        <v>61.526132227342487</v>
      </c>
      <c r="T326" s="88">
        <f>MIN($B$8,AVERAGE(U368:U369)/(1+J326+$D$8/10000))+$B$7</f>
        <v>68.876101643617091</v>
      </c>
      <c r="U326" s="88">
        <f t="shared" si="15"/>
        <v>80.856464048406679</v>
      </c>
    </row>
    <row r="327" spans="1:21" x14ac:dyDescent="0.35">
      <c r="A327" s="30"/>
      <c r="B327" s="4"/>
      <c r="C327" s="4"/>
      <c r="D327" s="4"/>
      <c r="E327" s="4"/>
      <c r="F327" s="4"/>
      <c r="G327" s="4"/>
      <c r="H327" s="17"/>
      <c r="I327" s="40">
        <f>(H304+$B$4)*EXP(10*$I$22)</f>
        <v>0.33426589885650571</v>
      </c>
      <c r="J327" s="40">
        <f>(I304+$B$4)*EXP(10*$J$22)</f>
        <v>0.40914166770897686</v>
      </c>
      <c r="K327" s="40">
        <f>(J304+$B$4)*EXP(10*$J$22)</f>
        <v>0.52209012069974592</v>
      </c>
      <c r="L327" s="87"/>
      <c r="M327" s="87"/>
      <c r="N327" s="87"/>
      <c r="O327" s="87"/>
      <c r="P327" s="87"/>
      <c r="Q327" s="87"/>
      <c r="R327" s="87"/>
      <c r="S327" s="88">
        <f>MIN($B$8,AVERAGE(T372:T373)/(1+I327+$D$8/10000))+$B$7</f>
        <v>61.246617963426843</v>
      </c>
      <c r="T327" s="88">
        <f>MIN($B$8,AVERAGE(U370:U371)/(1+J327+$D$8/10000))+$B$7</f>
        <v>68.850877317041835</v>
      </c>
      <c r="U327" s="88">
        <f t="shared" si="15"/>
        <v>80.192702206335866</v>
      </c>
    </row>
    <row r="328" spans="1:21" x14ac:dyDescent="0.35">
      <c r="A328" s="30"/>
      <c r="B328" s="4"/>
      <c r="C328" s="4"/>
      <c r="D328" s="4"/>
      <c r="E328" s="4"/>
      <c r="F328" s="4"/>
      <c r="G328" s="4"/>
      <c r="H328" s="17"/>
      <c r="I328" s="8">
        <f>H305*EXP(10*I$22)</f>
        <v>0.33478683261825171</v>
      </c>
      <c r="J328" s="8">
        <f>I305*EXP(10*J$22)</f>
        <v>0.40977114522502844</v>
      </c>
      <c r="K328" s="8">
        <f>J305*EXP(10*K$22)</f>
        <v>0.51341966359928892</v>
      </c>
      <c r="L328" s="87"/>
      <c r="M328" s="87"/>
      <c r="N328" s="87"/>
      <c r="O328" s="87"/>
      <c r="P328" s="87"/>
      <c r="Q328" s="87"/>
      <c r="R328" s="87"/>
      <c r="S328" s="88">
        <f>MIN($B$8,AVERAGE(T374:T375)/(1+I328+$D$8/10000))+$B$7</f>
        <v>61.105340608040436</v>
      </c>
      <c r="T328" s="88">
        <f>MIN($B$8,AVERAGE(U372:U373)/(1+J328+$D$8/10000))+$B$7</f>
        <v>68.676002851897664</v>
      </c>
      <c r="U328" s="88">
        <f t="shared" si="15"/>
        <v>80.679785145606218</v>
      </c>
    </row>
    <row r="329" spans="1:21" x14ac:dyDescent="0.35">
      <c r="A329" s="30"/>
      <c r="B329" s="4"/>
      <c r="C329" s="4"/>
      <c r="D329" s="4"/>
      <c r="E329" s="4"/>
      <c r="F329" s="4"/>
      <c r="G329" s="4"/>
      <c r="H329" s="17"/>
      <c r="I329" s="40">
        <f>(H305+$B$4)*EXP(10*$I$22)</f>
        <v>0.33728647376572368</v>
      </c>
      <c r="J329" s="40">
        <f>(I305+$B$4)*EXP(10*$J$22)</f>
        <v>0.41229086370392692</v>
      </c>
      <c r="K329" s="40">
        <f>(J305+$B$4)*EXP(10*$K$22)</f>
        <v>0.51589443290177617</v>
      </c>
      <c r="L329" s="87"/>
      <c r="M329" s="87"/>
      <c r="N329" s="87"/>
      <c r="O329" s="87"/>
      <c r="P329" s="87"/>
      <c r="Q329" s="87"/>
      <c r="R329" s="87"/>
      <c r="S329" s="88">
        <f>MIN($B$8,AVERAGE(T376:T377)/(1+I329+$D$8/10000))+$B$7</f>
        <v>60.764097636125314</v>
      </c>
      <c r="T329" s="88">
        <f>MIN($B$8,AVERAGE(U374:U375)/(1+J329+$D$8/10000))+$B$7</f>
        <v>68.510794450520407</v>
      </c>
      <c r="U329" s="88">
        <f t="shared" si="15"/>
        <v>80.540125338648807</v>
      </c>
    </row>
    <row r="330" spans="1:21" x14ac:dyDescent="0.35">
      <c r="A330" s="30"/>
      <c r="B330" s="4"/>
      <c r="C330" s="4"/>
      <c r="D330" s="4"/>
      <c r="E330" s="4"/>
      <c r="F330" s="4"/>
      <c r="G330" s="4"/>
      <c r="H330" s="17"/>
      <c r="I330" s="8">
        <f>H306*EXP(10*I$22)</f>
        <v>0.3291983356478404</v>
      </c>
      <c r="J330" s="8">
        <f>I306*EXP(10*J$22)</f>
        <v>0.40389445741793745</v>
      </c>
      <c r="K330" s="8">
        <f>J306*EXP(10*K$22)</f>
        <v>0.50762274871468049</v>
      </c>
      <c r="L330" s="87"/>
      <c r="M330" s="87"/>
      <c r="N330" s="87"/>
      <c r="O330" s="87"/>
      <c r="P330" s="87"/>
      <c r="Q330" s="87"/>
      <c r="R330" s="87"/>
      <c r="S330" s="88">
        <f>MIN($B$8,AVERAGE(T378:T379)/(1+I330+$D$8/10000))+$B$7</f>
        <v>61.756454711381615</v>
      </c>
      <c r="T330" s="88">
        <f>MIN($B$8,AVERAGE(U376:U377)/(1+J330+$D$8/10000))+$B$7</f>
        <v>68.803112261880727</v>
      </c>
      <c r="U330" s="88">
        <f t="shared" si="15"/>
        <v>81.008928851325621</v>
      </c>
    </row>
    <row r="331" spans="1:21" x14ac:dyDescent="0.35">
      <c r="A331" s="30"/>
      <c r="B331" s="4"/>
      <c r="C331" s="4"/>
      <c r="D331" s="4"/>
      <c r="E331" s="4"/>
      <c r="F331" s="4"/>
      <c r="G331" s="4"/>
      <c r="H331" s="17"/>
      <c r="I331" s="40">
        <f>(H306+$B$4)*EXP(10*$I$22)</f>
        <v>0.33169797679531238</v>
      </c>
      <c r="J331" s="40">
        <f>(I306+$B$4)*EXP(10*$J$22)</f>
        <v>0.40641417589683587</v>
      </c>
      <c r="K331" s="40">
        <f>(J306+$B$4)*EXP(10*$K$22)</f>
        <v>0.51009751801716774</v>
      </c>
      <c r="L331" s="87"/>
      <c r="M331" s="87"/>
      <c r="N331" s="87"/>
      <c r="O331" s="87"/>
      <c r="P331" s="87"/>
      <c r="Q331" s="87"/>
      <c r="R331" s="87"/>
      <c r="S331" s="88">
        <f>MIN($B$8,AVERAGE(T380:T381)/(1+I331+$D$8/10000))+$B$7</f>
        <v>61.661344427416047</v>
      </c>
      <c r="T331" s="88">
        <f>MIN($B$8,AVERAGE(U378:U379)/(1+J331+$D$8/10000))+$B$7</f>
        <v>69.147640883476129</v>
      </c>
      <c r="U331" s="88">
        <f t="shared" si="15"/>
        <v>80.868068608488457</v>
      </c>
    </row>
    <row r="332" spans="1:21" x14ac:dyDescent="0.35">
      <c r="A332" s="30"/>
      <c r="B332" s="4"/>
      <c r="C332" s="4"/>
      <c r="D332" s="4"/>
      <c r="E332" s="4"/>
      <c r="F332" s="4"/>
      <c r="G332" s="4"/>
      <c r="H332" s="17"/>
      <c r="I332" s="8">
        <f>H307*EXP(10*I$22)</f>
        <v>0.33221891055705843</v>
      </c>
      <c r="J332" s="8">
        <f>I307*EXP(10*J$22)</f>
        <v>0.40704365341288745</v>
      </c>
      <c r="K332" s="8">
        <f>J307*EXP(10*K$22)</f>
        <v>0.51074060968592427</v>
      </c>
      <c r="L332" s="87"/>
      <c r="M332" s="87"/>
      <c r="N332" s="87"/>
      <c r="O332" s="87"/>
      <c r="P332" s="87"/>
      <c r="Q332" s="87"/>
      <c r="R332" s="87"/>
      <c r="S332" s="88">
        <f>MIN($B$8,AVERAGE(T382:T383)/(1+I332+$D$8/10000))+$B$7</f>
        <v>61.518605418074053</v>
      </c>
      <c r="T332" s="88">
        <f>MIN($B$8,AVERAGE(U380:U381)/(1+J332+$D$8/10000))+$B$7</f>
        <v>68.971519073806022</v>
      </c>
      <c r="U332" s="88">
        <f t="shared" si="15"/>
        <v>80.831549084955043</v>
      </c>
    </row>
    <row r="333" spans="1:21" x14ac:dyDescent="0.35">
      <c r="A333" s="30"/>
      <c r="B333" s="4"/>
      <c r="C333" s="4"/>
      <c r="D333" s="4"/>
      <c r="E333" s="4"/>
      <c r="F333" s="4"/>
      <c r="G333" s="4"/>
      <c r="H333" s="17"/>
      <c r="I333" s="40">
        <f>(H307+$B$4)*EXP(10*$I$22)</f>
        <v>0.33471855170453041</v>
      </c>
      <c r="J333" s="40">
        <f>(I307+$B$4)*EXP(10*$J$22)</f>
        <v>0.40956337189178593</v>
      </c>
      <c r="K333" s="40">
        <f>(J307+$B$4)*EXP(10*$K$22)</f>
        <v>0.51321537898841152</v>
      </c>
      <c r="L333" s="87"/>
      <c r="M333" s="87"/>
      <c r="N333" s="87"/>
      <c r="O333" s="87"/>
      <c r="P333" s="87"/>
      <c r="Q333" s="87"/>
      <c r="R333" s="87"/>
      <c r="S333" s="88">
        <f>MIN($B$8,AVERAGE(T384:T385)/(1+I333+$D$8/10000))+$B$7</f>
        <v>61.173945274691256</v>
      </c>
      <c r="T333" s="88">
        <f>MIN($B$8,AVERAGE(U382:U383)/(1+J333+$D$8/10000))+$B$7</f>
        <v>68.805178541989989</v>
      </c>
      <c r="U333" s="88">
        <f t="shared" si="15"/>
        <v>80.691336409496628</v>
      </c>
    </row>
    <row r="334" spans="1:21" x14ac:dyDescent="0.35">
      <c r="A334" s="30"/>
      <c r="B334" s="4"/>
      <c r="C334" s="4"/>
      <c r="D334" s="4"/>
      <c r="E334" s="4"/>
      <c r="F334" s="4"/>
      <c r="G334" s="4"/>
      <c r="H334" s="17"/>
      <c r="I334" s="8">
        <f>H308*EXP(10*I$22)</f>
        <v>0.33300003125857486</v>
      </c>
      <c r="J334" s="8">
        <f>I308*EXP(10*J$22)</f>
        <v>0.40769995662576419</v>
      </c>
      <c r="K334" s="8">
        <f>J308*EXP(10*K$22)</f>
        <v>0.51151951550258945</v>
      </c>
      <c r="L334" s="87"/>
      <c r="M334" s="87"/>
      <c r="N334" s="87"/>
      <c r="O334" s="87"/>
      <c r="P334" s="87"/>
      <c r="Q334" s="87"/>
      <c r="R334" s="87"/>
      <c r="S334" s="88">
        <f>MIN($B$8,AVERAGE(T386:T387)/(1+I334+$D$8/10000))+$B$7</f>
        <v>61.327037868289494</v>
      </c>
      <c r="T334" s="88">
        <f>MIN($B$8,AVERAGE(U384:U385)/(1+J334+$D$8/10000))+$B$7</f>
        <v>68.759330649308822</v>
      </c>
      <c r="U334" s="88">
        <f t="shared" si="15"/>
        <v>80.787363464939034</v>
      </c>
    </row>
    <row r="335" spans="1:21" x14ac:dyDescent="0.35">
      <c r="A335" s="30"/>
      <c r="B335" s="4"/>
      <c r="C335" s="4"/>
      <c r="D335" s="4"/>
      <c r="E335" s="4"/>
      <c r="F335" s="4"/>
      <c r="G335" s="4"/>
      <c r="H335" s="17"/>
      <c r="I335" s="40">
        <f>(H308+$B$4)*EXP(10*$I$22)</f>
        <v>0.33549967240604683</v>
      </c>
      <c r="J335" s="40">
        <f>(I308+$B$4)*EXP(10*$J$22)</f>
        <v>0.41021967510466267</v>
      </c>
      <c r="K335" s="40">
        <f>(J308+$B$4)*EXP(10*$K$22)</f>
        <v>0.5139942848050767</v>
      </c>
      <c r="L335" s="87"/>
      <c r="M335" s="87"/>
      <c r="N335" s="87"/>
      <c r="O335" s="87"/>
      <c r="P335" s="87"/>
      <c r="Q335" s="87"/>
      <c r="R335" s="87"/>
      <c r="S335" s="88">
        <f>MIN($B$8,AVERAGE(T388:T389)/(1+I335+$D$8/10000))+$B$7</f>
        <v>61.048840175454849</v>
      </c>
      <c r="T335" s="88">
        <f>MIN($B$8,AVERAGE(U386:U387)/(1+J335+$D$8/10000))+$B$7</f>
        <v>68.734154896527727</v>
      </c>
      <c r="U335" s="88">
        <f t="shared" si="15"/>
        <v>80.647311867995953</v>
      </c>
    </row>
    <row r="336" spans="1:21" x14ac:dyDescent="0.35">
      <c r="A336" s="30"/>
      <c r="B336" s="4"/>
      <c r="C336" s="4"/>
      <c r="D336" s="4"/>
      <c r="E336" s="4"/>
      <c r="F336" s="4"/>
      <c r="G336" s="4"/>
      <c r="H336" s="17"/>
      <c r="I336" s="8">
        <f>H309*EXP(10*I$22)</f>
        <v>0.33602060616779289</v>
      </c>
      <c r="J336" s="8">
        <f>I309*EXP(10*J$22)</f>
        <v>0.41084915262071425</v>
      </c>
      <c r="K336" s="8">
        <f>J309*EXP(10*K$22)</f>
        <v>0.51463737647383334</v>
      </c>
      <c r="L336" s="87"/>
      <c r="M336" s="87"/>
      <c r="N336" s="87"/>
      <c r="O336" s="87"/>
      <c r="P336" s="87"/>
      <c r="Q336" s="87"/>
      <c r="R336" s="87"/>
      <c r="S336" s="88">
        <f>MIN($B$8,AVERAGE(T390:T391)/(1+I336+$D$8/10000))+$B$7</f>
        <v>60.908258361161046</v>
      </c>
      <c r="T336" s="88">
        <f>MIN($B$8,AVERAGE(U388:U389)/(1+J336+$D$8/10000))+$B$7</f>
        <v>68.559770170935039</v>
      </c>
      <c r="U336" s="88">
        <f t="shared" si="15"/>
        <v>80.611001753922807</v>
      </c>
    </row>
    <row r="337" spans="1:21" x14ac:dyDescent="0.35">
      <c r="A337" s="30"/>
      <c r="B337" s="4"/>
      <c r="C337" s="4"/>
      <c r="D337" s="4"/>
      <c r="E337" s="4"/>
      <c r="F337" s="4"/>
      <c r="G337" s="4"/>
      <c r="H337" s="17"/>
      <c r="I337" s="40">
        <f>(H309+$B$4)*EXP(10*$I$22)</f>
        <v>0.33852024731526481</v>
      </c>
      <c r="J337" s="40">
        <f>(I309+$B$4)*EXP(10*$J$22)</f>
        <v>0.41336887109961273</v>
      </c>
      <c r="K337" s="40">
        <f>(J309+$B$4)*EXP(10*$K$22)</f>
        <v>0.51711214577632059</v>
      </c>
      <c r="L337" s="87"/>
      <c r="M337" s="87"/>
      <c r="N337" s="87"/>
      <c r="O337" s="87"/>
      <c r="P337" s="87"/>
      <c r="Q337" s="87"/>
      <c r="R337" s="87"/>
      <c r="S337" s="88">
        <f>MIN($B$8,AVERAGE(T392:T393)/(1+I337+$D$8/10000))+$B$7</f>
        <v>60.568641893376203</v>
      </c>
      <c r="T337" s="88">
        <f>MIN($B$8,AVERAGE(U390:U391)/(1+J337+$D$8/10000))+$B$7</f>
        <v>68.395006372717248</v>
      </c>
      <c r="U337" s="88">
        <f t="shared" si="15"/>
        <v>80.471592162434987</v>
      </c>
    </row>
    <row r="338" spans="1:21" x14ac:dyDescent="0.35">
      <c r="A338" s="30"/>
      <c r="B338" s="4"/>
      <c r="C338" s="4"/>
      <c r="D338" s="4"/>
      <c r="E338" s="4"/>
      <c r="F338" s="4"/>
      <c r="G338" s="4"/>
      <c r="H338" s="17"/>
      <c r="I338" s="8">
        <f>H310*EXP(10*I$22)</f>
        <v>0.33385568827320861</v>
      </c>
      <c r="J338" s="8">
        <f>I310*EXP(10*J$22)</f>
        <v>0.40868405875869485</v>
      </c>
      <c r="K338" s="8">
        <f>J310*EXP(10*K$22)</f>
        <v>0.51233161502476499</v>
      </c>
      <c r="L338" s="87"/>
      <c r="M338" s="87"/>
      <c r="N338" s="87"/>
      <c r="O338" s="87"/>
      <c r="P338" s="87"/>
      <c r="Q338" s="87"/>
      <c r="R338" s="87"/>
      <c r="S338" s="88">
        <f>MIN($B$8,AVERAGE(T394:T395)/(1+I338+$D$8/10000))+$B$7</f>
        <v>61.104273247203388</v>
      </c>
      <c r="T338" s="88">
        <f>MIN($B$8,AVERAGE(U392:U393)/(1+J338+$D$8/10000))+$B$7</f>
        <v>68.494738470592083</v>
      </c>
      <c r="U338" s="88">
        <f t="shared" si="15"/>
        <v>80.741348923274046</v>
      </c>
    </row>
    <row r="339" spans="1:21" x14ac:dyDescent="0.35">
      <c r="A339" s="30"/>
      <c r="B339" s="4"/>
      <c r="C339" s="4"/>
      <c r="D339" s="4"/>
      <c r="E339" s="4"/>
      <c r="F339" s="4"/>
      <c r="G339" s="4"/>
      <c r="H339" s="17"/>
      <c r="I339" s="40">
        <f>(H310+$B$4)*EXP(10*$I$22)</f>
        <v>0.33635532942068058</v>
      </c>
      <c r="J339" s="40">
        <f>(I310+$B$4)*EXP(10*$J$22)</f>
        <v>0.41120377723759327</v>
      </c>
      <c r="K339" s="40">
        <f>(J310+$B$4)*EXP(10*$K$22)</f>
        <v>0.51480638432725223</v>
      </c>
      <c r="L339" s="87"/>
      <c r="M339" s="87"/>
      <c r="N339" s="87"/>
      <c r="O339" s="87"/>
      <c r="P339" s="87"/>
      <c r="Q339" s="87"/>
      <c r="R339" s="87"/>
      <c r="S339" s="88">
        <f>MIN($B$8,AVERAGE(T396:T397)/(1+I339+$D$8/10000))+$B$7</f>
        <v>60.912235461218039</v>
      </c>
      <c r="T339" s="88">
        <f>MIN($B$8,AVERAGE(U394:U395)/(1+J339+$D$8/10000))+$B$7</f>
        <v>68.627880449776356</v>
      </c>
      <c r="U339" s="88">
        <f t="shared" si="15"/>
        <v>80.601464973947714</v>
      </c>
    </row>
    <row r="340" spans="1:21" x14ac:dyDescent="0.35">
      <c r="A340" s="30"/>
      <c r="B340" s="4"/>
      <c r="C340" s="4"/>
      <c r="D340" s="4"/>
      <c r="E340" s="4"/>
      <c r="F340" s="4"/>
      <c r="G340" s="4"/>
      <c r="H340" s="17"/>
      <c r="I340" s="8">
        <f>H311*EXP(10*I$22)</f>
        <v>0.33687626318242658</v>
      </c>
      <c r="J340" s="8">
        <f>I311*EXP(10*J$22)</f>
        <v>0.41183325475364485</v>
      </c>
      <c r="K340" s="8">
        <f>J311*EXP(10*K$22)</f>
        <v>0.51544947599600888</v>
      </c>
      <c r="L340" s="87"/>
      <c r="M340" s="87"/>
      <c r="N340" s="87"/>
      <c r="O340" s="87"/>
      <c r="P340" s="87"/>
      <c r="Q340" s="87"/>
      <c r="R340" s="87"/>
      <c r="S340" s="88">
        <f>MIN($B$8,AVERAGE(T398:T399)/(1+I340+$D$8/10000))+$B$7</f>
        <v>60.772133487408006</v>
      </c>
      <c r="T340" s="88">
        <f>MIN($B$8,AVERAGE(U396:U397)/(1+J340+$D$8/10000))+$B$7</f>
        <v>68.453941202075285</v>
      </c>
      <c r="U340" s="88">
        <f t="shared" si="15"/>
        <v>80.565198274684519</v>
      </c>
    </row>
    <row r="341" spans="1:21" x14ac:dyDescent="0.35">
      <c r="A341" s="30"/>
      <c r="B341" s="4"/>
      <c r="C341" s="4"/>
      <c r="D341" s="4"/>
      <c r="E341" s="4"/>
      <c r="F341" s="4"/>
      <c r="G341" s="4"/>
      <c r="H341" s="17"/>
      <c r="I341" s="40">
        <f>(H311+$B$4)*EXP(10*$I$22)</f>
        <v>0.33937590432989856</v>
      </c>
      <c r="J341" s="40">
        <f>(I311+$B$4)*EXP(10*$J$22)</f>
        <v>0.41435297323254333</v>
      </c>
      <c r="K341" s="40">
        <f>(J311+$B$4)*EXP(10*$K$22)</f>
        <v>0.51792424529849612</v>
      </c>
      <c r="L341" s="87"/>
      <c r="M341" s="87"/>
      <c r="N341" s="87"/>
      <c r="O341" s="87"/>
      <c r="P341" s="87"/>
      <c r="Q341" s="87"/>
      <c r="R341" s="87"/>
      <c r="S341" s="88">
        <f>MIN($B$8,AVERAGE(T400:T401)/(1+I341+$D$8/10000))+$B$7</f>
        <v>60.433639269639258</v>
      </c>
      <c r="T341" s="88">
        <f>MIN($B$8,AVERAGE(U398:U399)/(1+J341+$D$8/10000))+$B$7</f>
        <v>68.289581873648274</v>
      </c>
      <c r="U341" s="88">
        <f t="shared" si="15"/>
        <v>80.425955179717235</v>
      </c>
    </row>
    <row r="342" spans="1:21" x14ac:dyDescent="0.35">
      <c r="A342" s="30"/>
      <c r="B342" s="4"/>
      <c r="C342" s="4"/>
      <c r="D342" s="4"/>
      <c r="E342" s="4"/>
      <c r="F342" s="4"/>
      <c r="G342" s="4"/>
      <c r="H342" s="17"/>
      <c r="I342" s="8">
        <f>H312*EXP(10*I$22)</f>
        <v>0.33765738388394306</v>
      </c>
      <c r="J342" s="8">
        <f>I312*EXP(10*J$22)</f>
        <v>0.4124895579665217</v>
      </c>
      <c r="K342" s="8">
        <f>J312*EXP(10*K$22)</f>
        <v>0.51622838181267394</v>
      </c>
      <c r="L342" s="87"/>
      <c r="M342" s="87"/>
      <c r="N342" s="87"/>
      <c r="O342" s="87"/>
      <c r="P342" s="87"/>
      <c r="Q342" s="87"/>
      <c r="R342" s="87"/>
      <c r="S342" s="88">
        <f>MIN($B$8,AVERAGE(T402:T403)/(1+I342+$D$8/10000))+$B$7</f>
        <v>60.584087584646788</v>
      </c>
      <c r="T342" s="88">
        <f>MIN($B$8,AVERAGE(U400:U401)/(1+J342+$D$8/10000))+$B$7</f>
        <v>68.244381640370463</v>
      </c>
      <c r="U342" s="88">
        <f t="shared" si="15"/>
        <v>80.521318391455821</v>
      </c>
    </row>
    <row r="343" spans="1:21" x14ac:dyDescent="0.35">
      <c r="A343" s="30"/>
      <c r="B343" s="4"/>
      <c r="C343" s="4"/>
      <c r="D343" s="4"/>
      <c r="E343" s="4"/>
      <c r="F343" s="4"/>
      <c r="G343" s="4"/>
      <c r="H343" s="17"/>
      <c r="I343" s="40">
        <f>(H312+$B$4)*EXP(10*$I$22)</f>
        <v>0.34015702503141504</v>
      </c>
      <c r="J343" s="40">
        <f>(I312+$B$4)*EXP(10*$J$22)</f>
        <v>0.41500927644542013</v>
      </c>
      <c r="K343" s="40">
        <f>(J312+$B$4)*EXP(10*$K$22)</f>
        <v>0.51870315111516119</v>
      </c>
      <c r="L343" s="87"/>
      <c r="M343" s="87"/>
      <c r="N343" s="87"/>
      <c r="O343" s="87"/>
      <c r="P343" s="87"/>
      <c r="Q343" s="87"/>
      <c r="R343" s="87"/>
      <c r="S343" s="88">
        <f>MIN($B$8,AVERAGE(T404:T405)/(1+I343+$D$8/10000))+$B$7</f>
        <v>60.310789248892604</v>
      </c>
      <c r="T343" s="88">
        <f>MIN($B$8,AVERAGE(U402:U403)/(1+J343+$D$8/10000))+$B$7</f>
        <v>68.21942033195387</v>
      </c>
      <c r="U343" s="88">
        <f t="shared" si="15"/>
        <v>80.382234707567122</v>
      </c>
    </row>
    <row r="344" spans="1:21" x14ac:dyDescent="0.35">
      <c r="A344" s="30"/>
      <c r="B344" s="4"/>
      <c r="C344" s="4"/>
      <c r="D344" s="4"/>
      <c r="E344" s="4"/>
      <c r="F344" s="4"/>
      <c r="G344" s="4"/>
      <c r="H344" s="17"/>
      <c r="I344" s="8">
        <f>H313*EXP(10*I$22)</f>
        <v>0.34067795879316104</v>
      </c>
      <c r="J344" s="8">
        <f>I313*EXP(10*J$22)</f>
        <v>0.41563875396147171</v>
      </c>
      <c r="K344" s="8">
        <f>J313*EXP(10*K$22)</f>
        <v>0.51934624278391783</v>
      </c>
      <c r="L344" s="87"/>
      <c r="M344" s="87"/>
      <c r="N344" s="87"/>
      <c r="O344" s="87"/>
      <c r="P344" s="87"/>
      <c r="Q344" s="87"/>
      <c r="R344" s="87"/>
      <c r="S344" s="88">
        <f>MIN($B$8,AVERAGE(T406:T407)/(1+I344+$D$8/10000))+$B$7</f>
        <v>60.172794385334818</v>
      </c>
      <c r="T344" s="88">
        <f>MIN($B$8,AVERAGE(U404:U405)/(1+J344+$D$8/10000))+$B$7</f>
        <v>68.047189483624706</v>
      </c>
      <c r="U344" s="88">
        <f t="shared" si="15"/>
        <v>80.346175250016486</v>
      </c>
    </row>
    <row r="345" spans="1:21" x14ac:dyDescent="0.35">
      <c r="A345" s="30"/>
      <c r="B345" s="4"/>
      <c r="C345" s="4"/>
      <c r="D345" s="4"/>
      <c r="E345" s="4"/>
      <c r="F345" s="4"/>
      <c r="G345" s="4"/>
      <c r="H345" s="17"/>
      <c r="I345" s="40">
        <f>(H313+$B$4)*EXP(10*$I$22)</f>
        <v>0.34317759994063302</v>
      </c>
      <c r="J345" s="40">
        <f>(I313+$B$4)*EXP(10*$J$22)</f>
        <v>0.41815847244037019</v>
      </c>
      <c r="K345" s="40">
        <f>(J313+$B$4)*EXP(10*$K$22)</f>
        <v>0.52182101208640508</v>
      </c>
      <c r="L345" s="87"/>
      <c r="M345" s="87"/>
      <c r="N345" s="87"/>
      <c r="O345" s="87"/>
      <c r="P345" s="87"/>
      <c r="Q345" s="87"/>
      <c r="R345" s="87"/>
      <c r="S345" s="88">
        <f>MIN($B$8,AVERAGE(T408:T409)/(1+I345+$D$8/10000))+$B$7</f>
        <v>59.839229791079575</v>
      </c>
      <c r="T345" s="88">
        <f>MIN($B$8,AVERAGE(U406:U407)/(1+J345+$D$8/10000))+$B$7</f>
        <v>67.884381723485831</v>
      </c>
      <c r="U345" s="88">
        <f t="shared" si="15"/>
        <v>80.207726935198181</v>
      </c>
    </row>
    <row r="346" spans="1:21" x14ac:dyDescent="0.35">
      <c r="A346" s="30"/>
      <c r="B346" s="4"/>
      <c r="C346" s="4"/>
      <c r="D346" s="4"/>
      <c r="E346" s="4"/>
      <c r="F346" s="4"/>
      <c r="G346" s="4"/>
      <c r="H346" s="17"/>
      <c r="I346" s="4"/>
      <c r="J346" s="8">
        <f>I314*EXP(10*J$22)</f>
        <v>0.40732157503502026</v>
      </c>
      <c r="K346" s="8">
        <f>J314*EXP(10*K$22)</f>
        <v>0.49251231334134016</v>
      </c>
      <c r="L346" s="87"/>
      <c r="M346" s="87"/>
      <c r="N346" s="87"/>
      <c r="O346" s="87"/>
      <c r="P346" s="87"/>
      <c r="Q346" s="87"/>
      <c r="R346" s="87"/>
      <c r="S346" s="87"/>
      <c r="T346" s="88">
        <f>MIN($B$8,AVERAGE(U408:U409)/(1+J346+$D$8/10000))+$B$7</f>
        <v>68.297908891213282</v>
      </c>
      <c r="U346" s="88">
        <f t="shared" ref="U346:U409" si="19">MIN($B$8,((100+$B$7)/(1+K346+$D$8/10000)))+$B$7</f>
        <v>81.880318588146764</v>
      </c>
    </row>
    <row r="347" spans="1:21" x14ac:dyDescent="0.35">
      <c r="A347" s="30"/>
      <c r="B347" s="4"/>
      <c r="C347" s="4"/>
      <c r="D347" s="4"/>
      <c r="E347" s="4"/>
      <c r="F347" s="4"/>
      <c r="G347" s="4"/>
      <c r="H347" s="17"/>
      <c r="I347" s="38"/>
      <c r="J347" s="40">
        <f>(I314+$B$4)*EXP(10*$J$22)</f>
        <v>0.40984129351391874</v>
      </c>
      <c r="K347" s="40">
        <f>(J314+$B$4)*EXP(10*$K$22)</f>
        <v>0.49498708264382735</v>
      </c>
      <c r="L347" s="87"/>
      <c r="M347" s="87"/>
      <c r="N347" s="87"/>
      <c r="O347" s="87"/>
      <c r="P347" s="87"/>
      <c r="Q347" s="87"/>
      <c r="R347" s="87"/>
      <c r="S347" s="87"/>
      <c r="T347" s="88">
        <f>MIN($B$8,AVERAGE(U410:U411)/(1+J347+$D$8/10000))+$B$7</f>
        <v>68.775087954469925</v>
      </c>
      <c r="U347" s="88">
        <f t="shared" si="19"/>
        <v>81.736255500833281</v>
      </c>
    </row>
    <row r="348" spans="1:21" x14ac:dyDescent="0.35">
      <c r="A348" s="30"/>
      <c r="B348" s="4"/>
      <c r="C348" s="4"/>
      <c r="D348" s="4"/>
      <c r="E348" s="4"/>
      <c r="F348" s="4"/>
      <c r="G348" s="4"/>
      <c r="H348" s="17"/>
      <c r="J348" s="8">
        <f>I315*EXP(10*J$22)</f>
        <v>0.41047077102997032</v>
      </c>
      <c r="K348" s="8">
        <f>J315*EXP(10*K$22)</f>
        <v>0.49563017431258399</v>
      </c>
      <c r="L348" s="87"/>
      <c r="M348" s="87"/>
      <c r="N348" s="87"/>
      <c r="O348" s="87"/>
      <c r="P348" s="87"/>
      <c r="Q348" s="87"/>
      <c r="R348" s="87"/>
      <c r="S348" s="87"/>
      <c r="T348" s="88">
        <f>MIN($B$8,AVERAGE(U412:U413)/(1+J348+$D$8/10000))+$B$7</f>
        <v>68.392017861165144</v>
      </c>
      <c r="U348" s="88">
        <f t="shared" si="19"/>
        <v>81.698906579083172</v>
      </c>
    </row>
    <row r="349" spans="1:21" x14ac:dyDescent="0.35">
      <c r="A349" s="30"/>
      <c r="B349" s="4"/>
      <c r="C349" s="4"/>
      <c r="D349" s="4"/>
      <c r="E349" s="4"/>
      <c r="F349" s="4"/>
      <c r="G349" s="4"/>
      <c r="H349" s="17"/>
      <c r="J349" s="40">
        <f>(I315+$B$4)*EXP(10*$J$22)</f>
        <v>0.4129904895088688</v>
      </c>
      <c r="K349" s="40">
        <f>(J315+$B$4)*EXP(10*$K$22)</f>
        <v>0.49810494361507118</v>
      </c>
      <c r="L349" s="87"/>
      <c r="M349" s="87"/>
      <c r="N349" s="87"/>
      <c r="O349" s="87"/>
      <c r="P349" s="87"/>
      <c r="Q349" s="87"/>
      <c r="R349" s="87"/>
      <c r="S349" s="87"/>
      <c r="T349" s="88">
        <f>MIN($B$8,AVERAGE(U414:U415)/(1+J349+$D$8/10000))+$B$7</f>
        <v>68.43561186819403</v>
      </c>
      <c r="U349" s="88">
        <f t="shared" si="19"/>
        <v>81.555513244439382</v>
      </c>
    </row>
    <row r="350" spans="1:21" x14ac:dyDescent="0.35">
      <c r="A350" s="30"/>
      <c r="B350" s="4"/>
      <c r="C350" s="4"/>
      <c r="D350" s="4"/>
      <c r="E350" s="4"/>
      <c r="F350" s="4"/>
      <c r="G350" s="4"/>
      <c r="H350" s="17"/>
      <c r="J350" s="8">
        <f>I316*EXP(10*J$22)</f>
        <v>0.41112707424284706</v>
      </c>
      <c r="K350" s="8">
        <f>J316*EXP(10*K$22)</f>
        <v>0.49640908012924917</v>
      </c>
      <c r="L350" s="87"/>
      <c r="M350" s="87"/>
      <c r="N350" s="87"/>
      <c r="O350" s="87"/>
      <c r="P350" s="87"/>
      <c r="Q350" s="87"/>
      <c r="R350" s="87"/>
      <c r="S350" s="87"/>
      <c r="T350" s="88">
        <f>MIN($B$8,AVERAGE(U416:U417)/(1+J350+$D$8/10000))+$B$7</f>
        <v>68.3902286056191</v>
      </c>
      <c r="U350" s="88">
        <f t="shared" si="19"/>
        <v>81.65371799129673</v>
      </c>
    </row>
    <row r="351" spans="1:21" x14ac:dyDescent="0.35">
      <c r="A351" s="30"/>
      <c r="B351" s="4"/>
      <c r="C351" s="4"/>
      <c r="D351" s="4"/>
      <c r="E351" s="4"/>
      <c r="F351" s="4"/>
      <c r="G351" s="4"/>
      <c r="H351" s="17"/>
      <c r="J351" s="40">
        <f>(I316+$B$4)*EXP(10*$J$22)</f>
        <v>0.41364679272174554</v>
      </c>
      <c r="K351" s="40">
        <f>(J316+$B$4)*EXP(10*$K$22)</f>
        <v>0.49888384943173636</v>
      </c>
      <c r="L351" s="87"/>
      <c r="M351" s="87"/>
      <c r="N351" s="87"/>
      <c r="O351" s="87"/>
      <c r="P351" s="87"/>
      <c r="Q351" s="87"/>
      <c r="R351" s="87"/>
      <c r="S351" s="87"/>
      <c r="T351" s="88">
        <f>MIN($B$8,AVERAGE(U418:U419)/(1+J351+$D$8/10000))+$B$7</f>
        <v>68.365206521731992</v>
      </c>
      <c r="U351" s="88">
        <f t="shared" si="19"/>
        <v>81.510491245504085</v>
      </c>
    </row>
    <row r="352" spans="1:21" x14ac:dyDescent="0.35">
      <c r="A352" s="30"/>
      <c r="B352" s="4"/>
      <c r="C352" s="4"/>
      <c r="D352" s="4"/>
      <c r="E352" s="4"/>
      <c r="F352" s="4"/>
      <c r="G352" s="4"/>
      <c r="H352" s="17"/>
      <c r="J352" s="8">
        <f>I317*EXP(10*J$22)</f>
        <v>0.41427627023779706</v>
      </c>
      <c r="K352" s="8">
        <f>J317*EXP(10*K$22)</f>
        <v>0.49952694110049295</v>
      </c>
      <c r="L352" s="87"/>
      <c r="M352" s="87"/>
      <c r="N352" s="87"/>
      <c r="O352" s="87"/>
      <c r="P352" s="87"/>
      <c r="Q352" s="87"/>
      <c r="R352" s="87"/>
      <c r="S352" s="87"/>
      <c r="T352" s="88">
        <f>MIN($B$8,AVERAGE(U420:U421)/(1+J352+$D$8/10000))+$B$7</f>
        <v>68.192366604743341</v>
      </c>
      <c r="U352" s="88">
        <f t="shared" si="19"/>
        <v>81.473358896915471</v>
      </c>
    </row>
    <row r="353" spans="1:21" x14ac:dyDescent="0.35">
      <c r="A353" s="30"/>
      <c r="B353" s="4"/>
      <c r="C353" s="4"/>
      <c r="D353" s="4"/>
      <c r="E353" s="4"/>
      <c r="F353" s="4"/>
      <c r="G353" s="4"/>
      <c r="H353" s="17"/>
      <c r="J353" s="40">
        <f>(I317+$B$4)*EXP(10*$J$22)</f>
        <v>0.41679598871669549</v>
      </c>
      <c r="K353" s="40">
        <f>(J317+$B$4)*EXP(10*$K$22)</f>
        <v>0.50200171040298014</v>
      </c>
      <c r="L353" s="87"/>
      <c r="M353" s="87"/>
      <c r="N353" s="87"/>
      <c r="O353" s="87"/>
      <c r="P353" s="87"/>
      <c r="Q353" s="87"/>
      <c r="R353" s="87"/>
      <c r="S353" s="87"/>
      <c r="T353" s="88">
        <f>MIN($B$8,AVERAGE(U422:U423)/(1+J353+$D$8/10000))+$B$7</f>
        <v>68.02900560924958</v>
      </c>
      <c r="U353" s="88">
        <f t="shared" si="19"/>
        <v>81.330796086741401</v>
      </c>
    </row>
    <row r="354" spans="1:21" x14ac:dyDescent="0.35">
      <c r="A354" s="30"/>
      <c r="B354" s="4"/>
      <c r="C354" s="4"/>
      <c r="D354" s="4"/>
      <c r="E354" s="4"/>
      <c r="F354" s="4"/>
      <c r="G354" s="4"/>
      <c r="H354" s="17"/>
      <c r="J354" s="8">
        <f>I318*EXP(10*J$22)</f>
        <v>0.41211117637577765</v>
      </c>
      <c r="K354" s="8">
        <f>J318*EXP(10*K$22)</f>
        <v>0.49722117965142471</v>
      </c>
      <c r="L354" s="87"/>
      <c r="M354" s="87"/>
      <c r="N354" s="87"/>
      <c r="O354" s="87"/>
      <c r="P354" s="87"/>
      <c r="Q354" s="87"/>
      <c r="R354" s="87"/>
      <c r="S354" s="87"/>
      <c r="T354" s="88">
        <f>MIN($B$8,AVERAGE(U424:U425)/(1+J354+$D$8/10000))+$B$7</f>
        <v>68.127977672296566</v>
      </c>
      <c r="U354" s="88">
        <f t="shared" si="19"/>
        <v>81.606659590918099</v>
      </c>
    </row>
    <row r="355" spans="1:21" x14ac:dyDescent="0.35">
      <c r="A355" s="30"/>
      <c r="B355" s="4"/>
      <c r="C355" s="4"/>
      <c r="D355" s="4"/>
      <c r="E355" s="4"/>
      <c r="F355" s="4"/>
      <c r="G355" s="4"/>
      <c r="H355" s="17"/>
      <c r="J355" s="40">
        <f>(I318+$B$4)*EXP(10*$J$22)</f>
        <v>0.41463089485467614</v>
      </c>
      <c r="K355" s="40">
        <f>(J318+$B$4)*EXP(10*$K$22)</f>
        <v>0.49969594895391195</v>
      </c>
      <c r="L355" s="87"/>
      <c r="M355" s="87"/>
      <c r="N355" s="87"/>
      <c r="O355" s="87"/>
      <c r="P355" s="87"/>
      <c r="Q355" s="87"/>
      <c r="R355" s="87"/>
      <c r="S355" s="87"/>
      <c r="T355" s="88">
        <f>MIN($B$8,AVERAGE(U426:U427)/(1+J355+$D$8/10000))+$B$7</f>
        <v>68.259856593414753</v>
      </c>
      <c r="U355" s="88">
        <f t="shared" si="19"/>
        <v>81.463606224359964</v>
      </c>
    </row>
    <row r="356" spans="1:21" x14ac:dyDescent="0.35">
      <c r="A356" s="30"/>
      <c r="B356" s="4"/>
      <c r="C356" s="4"/>
      <c r="D356" s="4"/>
      <c r="E356" s="4"/>
      <c r="F356" s="4"/>
      <c r="G356" s="4"/>
      <c r="H356" s="17"/>
      <c r="J356" s="8">
        <f>I319*EXP(10*J$22)</f>
        <v>0.41526037237072772</v>
      </c>
      <c r="K356" s="8">
        <f>J319*EXP(10*K$22)</f>
        <v>0.50033904062266854</v>
      </c>
      <c r="L356" s="87"/>
      <c r="M356" s="87"/>
      <c r="N356" s="87"/>
      <c r="O356" s="87"/>
      <c r="P356" s="87"/>
      <c r="Q356" s="87"/>
      <c r="R356" s="87"/>
      <c r="S356" s="87"/>
      <c r="T356" s="88">
        <f>MIN($B$8,AVERAGE(U428:U429)/(1+J356+$D$8/10000))+$B$7</f>
        <v>68.087456886141638</v>
      </c>
      <c r="U356" s="88">
        <f t="shared" si="19"/>
        <v>81.426518773123306</v>
      </c>
    </row>
    <row r="357" spans="1:21" x14ac:dyDescent="0.35">
      <c r="A357" s="30"/>
      <c r="B357" s="4"/>
      <c r="C357" s="4"/>
      <c r="D357" s="4"/>
      <c r="E357" s="4"/>
      <c r="F357" s="4"/>
      <c r="G357" s="4"/>
      <c r="H357" s="17"/>
      <c r="J357" s="40">
        <f>(I319+$B$4)*EXP(10*$J$22)</f>
        <v>0.4177800908496262</v>
      </c>
      <c r="K357" s="40">
        <f>(J319+$B$4)*EXP(10*$K$22)</f>
        <v>0.50281380992515567</v>
      </c>
      <c r="L357" s="87"/>
      <c r="M357" s="87"/>
      <c r="N357" s="87"/>
      <c r="O357" s="87"/>
      <c r="P357" s="87"/>
      <c r="Q357" s="87"/>
      <c r="R357" s="87"/>
      <c r="S357" s="87"/>
      <c r="T357" s="88">
        <f>MIN($B$8,AVERAGE(U430:U431)/(1+J357+$D$8/10000))+$B$7</f>
        <v>67.924495737537967</v>
      </c>
      <c r="U357" s="88">
        <f t="shared" si="19"/>
        <v>81.284128138380652</v>
      </c>
    </row>
    <row r="358" spans="1:21" x14ac:dyDescent="0.35">
      <c r="A358" s="30"/>
      <c r="B358" s="4"/>
      <c r="C358" s="4"/>
      <c r="D358" s="4"/>
      <c r="E358" s="4"/>
      <c r="F358" s="4"/>
      <c r="G358" s="4"/>
      <c r="H358" s="17"/>
      <c r="J358" s="8">
        <f>I320*EXP(10*J$22)</f>
        <v>0.41591667558360451</v>
      </c>
      <c r="K358" s="8">
        <f>J320*EXP(10*K$22)</f>
        <v>0.50111794643933372</v>
      </c>
      <c r="L358" s="87"/>
      <c r="M358" s="87"/>
      <c r="N358" s="87"/>
      <c r="O358" s="87"/>
      <c r="P358" s="87"/>
      <c r="Q358" s="87"/>
      <c r="R358" s="87"/>
      <c r="S358" s="87"/>
      <c r="T358" s="88">
        <f>MIN($B$8,AVERAGE(U432:U433)/(1+J358+$D$8/10000))+$B$7</f>
        <v>67.879751692541547</v>
      </c>
      <c r="U358" s="88">
        <f t="shared" si="19"/>
        <v>81.381646372298363</v>
      </c>
    </row>
    <row r="359" spans="1:21" x14ac:dyDescent="0.35">
      <c r="A359" s="30"/>
      <c r="B359" s="4"/>
      <c r="C359" s="4"/>
      <c r="D359" s="4"/>
      <c r="E359" s="4"/>
      <c r="F359" s="4"/>
      <c r="G359" s="4"/>
      <c r="H359" s="17"/>
      <c r="J359" s="40">
        <f>(I320+$B$4)*EXP(10*$J$22)</f>
        <v>0.41843639406250299</v>
      </c>
      <c r="K359" s="40">
        <f>(J320+$B$4)*EXP(10*$K$22)</f>
        <v>0.50359271574182085</v>
      </c>
      <c r="L359" s="87"/>
      <c r="M359" s="87"/>
      <c r="N359" s="87"/>
      <c r="O359" s="87"/>
      <c r="P359" s="87"/>
      <c r="Q359" s="87"/>
      <c r="R359" s="87"/>
      <c r="S359" s="87"/>
      <c r="T359" s="88">
        <f>MIN($B$8,AVERAGE(U434:U435)/(1+J359+$D$8/10000))+$B$7</f>
        <v>67.85494246226466</v>
      </c>
      <c r="U359" s="88">
        <f t="shared" si="19"/>
        <v>81.239420582620582</v>
      </c>
    </row>
    <row r="360" spans="1:21" x14ac:dyDescent="0.35">
      <c r="A360" s="30"/>
      <c r="B360" s="4"/>
      <c r="C360" s="4"/>
      <c r="D360" s="4"/>
      <c r="E360" s="4"/>
      <c r="F360" s="4"/>
      <c r="G360" s="4"/>
      <c r="H360" s="17"/>
      <c r="J360" s="8">
        <f>I321*EXP(10*J$22)</f>
        <v>0.41906587157855457</v>
      </c>
      <c r="K360" s="8">
        <f>J321*EXP(10*K$22)</f>
        <v>0.5042358074105775</v>
      </c>
      <c r="L360" s="87"/>
      <c r="M360" s="87"/>
      <c r="N360" s="87"/>
      <c r="O360" s="87"/>
      <c r="P360" s="87"/>
      <c r="Q360" s="87"/>
      <c r="R360" s="87"/>
      <c r="S360" s="87"/>
      <c r="T360" s="88">
        <f>MIN($B$8,AVERAGE(U436:U437)/(1+J360+$D$8/10000))+$B$7</f>
        <v>67.684230992995822</v>
      </c>
      <c r="U360" s="88">
        <f t="shared" si="19"/>
        <v>81.202547437539451</v>
      </c>
    </row>
    <row r="361" spans="1:21" x14ac:dyDescent="0.35">
      <c r="A361" s="30"/>
      <c r="B361" s="4"/>
      <c r="C361" s="4"/>
      <c r="D361" s="4"/>
      <c r="E361" s="4"/>
      <c r="F361" s="4"/>
      <c r="G361" s="4"/>
      <c r="H361" s="17"/>
      <c r="J361" s="40">
        <f>(I321+$B$4)*EXP(10*$J$22)</f>
        <v>0.42158559005745305</v>
      </c>
      <c r="K361" s="40">
        <f>(J321+$B$4)*EXP(10*$K$22)</f>
        <v>0.50671057671306474</v>
      </c>
      <c r="L361" s="87"/>
      <c r="M361" s="87"/>
      <c r="N361" s="87"/>
      <c r="O361" s="87"/>
      <c r="P361" s="87"/>
      <c r="Q361" s="87"/>
      <c r="R361" s="87"/>
      <c r="S361" s="87"/>
      <c r="T361" s="88">
        <f t="array" ref="T361">MIN($B$8,AVERAGE(U438:U439/(1+J361+$D$8/10000))+$B$7)</f>
        <v>67.522803715025276</v>
      </c>
      <c r="U361" s="88">
        <f t="shared" si="19"/>
        <v>81.060978643671973</v>
      </c>
    </row>
    <row r="362" spans="1:21" x14ac:dyDescent="0.35">
      <c r="A362" s="30"/>
      <c r="B362" s="4"/>
      <c r="C362" s="4"/>
      <c r="D362" s="4"/>
      <c r="E362" s="4"/>
      <c r="F362" s="4"/>
      <c r="G362" s="4"/>
      <c r="H362" s="17"/>
      <c r="J362" s="8">
        <f>I322*EXP(10*J$22)</f>
        <v>0.41318918377146346</v>
      </c>
      <c r="K362" s="8">
        <f>J322*EXP(10*K$22)</f>
        <v>0.49843889252596912</v>
      </c>
      <c r="L362" s="87"/>
      <c r="M362" s="87"/>
      <c r="N362" s="87"/>
      <c r="O362" s="87"/>
      <c r="P362" s="87"/>
      <c r="Q362" s="87"/>
      <c r="R362" s="87"/>
      <c r="S362" s="87"/>
      <c r="T362" s="88">
        <f>MIN($B$8,AVERAGE(U440:U441)/(1+J362+$D$8/10000))+$B$7</f>
        <v>67.808722756537662</v>
      </c>
      <c r="U362" s="88">
        <f t="shared" si="19"/>
        <v>81.536204061203193</v>
      </c>
    </row>
    <row r="363" spans="1:21" x14ac:dyDescent="0.35">
      <c r="A363" s="30"/>
      <c r="B363" s="4"/>
      <c r="C363" s="4"/>
      <c r="D363" s="4"/>
      <c r="E363" s="4"/>
      <c r="F363" s="4"/>
      <c r="G363" s="4"/>
      <c r="H363" s="17"/>
      <c r="J363" s="40">
        <f>(I322+$B$4)*EXP(10*$J$22)</f>
        <v>0.41570890225036194</v>
      </c>
      <c r="K363" s="40">
        <f>(J322+$B$4)*EXP(10*$K$22)</f>
        <v>0.50091366182845631</v>
      </c>
      <c r="L363" s="87"/>
      <c r="M363" s="87"/>
      <c r="N363" s="87"/>
      <c r="O363" s="87"/>
      <c r="P363" s="87"/>
      <c r="Q363" s="87"/>
      <c r="R363" s="87"/>
      <c r="S363" s="87"/>
      <c r="T363" s="88">
        <f>MIN($B$8,AVERAGE(U442:U443)/(1+J363+$D$8/10000))+$B$7</f>
        <v>68.144756297716654</v>
      </c>
      <c r="U363" s="88">
        <f t="shared" si="19"/>
        <v>81.39341008097206</v>
      </c>
    </row>
    <row r="364" spans="1:21" x14ac:dyDescent="0.35">
      <c r="A364" s="30"/>
      <c r="B364" s="4"/>
      <c r="C364" s="4"/>
      <c r="D364" s="4"/>
      <c r="E364" s="4"/>
      <c r="F364" s="4"/>
      <c r="G364" s="4"/>
      <c r="H364" s="17"/>
      <c r="J364" s="8">
        <f>I323*EXP(10*J$22)</f>
        <v>0.41633837976641352</v>
      </c>
      <c r="K364" s="8">
        <f>J323*EXP(10*K$22)</f>
        <v>0.50155675349721296</v>
      </c>
      <c r="L364" s="87"/>
      <c r="M364" s="87"/>
      <c r="N364" s="87"/>
      <c r="O364" s="87"/>
      <c r="P364" s="87"/>
      <c r="Q364" s="87"/>
      <c r="R364" s="87"/>
      <c r="S364" s="87"/>
      <c r="T364" s="88">
        <f>MIN($B$8,AVERAGE(U444:U445)/(1+J364+$D$8/10000))+$B$7</f>
        <v>67.972837086596414</v>
      </c>
      <c r="U364" s="88">
        <f t="shared" si="19"/>
        <v>81.356389799197487</v>
      </c>
    </row>
    <row r="365" spans="1:21" x14ac:dyDescent="0.35">
      <c r="A365" s="30"/>
      <c r="B365" s="4"/>
      <c r="C365" s="4"/>
      <c r="D365" s="4"/>
      <c r="E365" s="4"/>
      <c r="F365" s="4"/>
      <c r="G365" s="4"/>
      <c r="H365" s="17"/>
      <c r="J365" s="40">
        <f>(I323+$B$4)*EXP(10*$J$22)</f>
        <v>0.418858098245312</v>
      </c>
      <c r="K365" s="40">
        <f>(J323+$B$4)*EXP(10*$K$22)</f>
        <v>0.50403152279970009</v>
      </c>
      <c r="L365" s="87"/>
      <c r="M365" s="87"/>
      <c r="N365" s="87"/>
      <c r="O365" s="87"/>
      <c r="P365" s="87"/>
      <c r="Q365" s="87"/>
      <c r="R365" s="87"/>
      <c r="S365" s="87"/>
      <c r="T365" s="88">
        <f>MIN($B$8,AVERAGE(U446:U447)/(1+J365+$D$8/10000))+$B$7</f>
        <v>67.810312429944929</v>
      </c>
      <c r="U365" s="88">
        <f t="shared" si="19"/>
        <v>81.214256751171561</v>
      </c>
    </row>
    <row r="366" spans="1:21" x14ac:dyDescent="0.35">
      <c r="A366" s="30"/>
      <c r="B366" s="4"/>
      <c r="C366" s="4"/>
      <c r="D366" s="4"/>
      <c r="E366" s="4"/>
      <c r="F366" s="4"/>
      <c r="G366" s="4"/>
      <c r="H366" s="17"/>
      <c r="J366" s="8">
        <f>I324*EXP(10*J$22)</f>
        <v>0.41699468297929027</v>
      </c>
      <c r="K366" s="8">
        <f>J324*EXP(10*K$22)</f>
        <v>0.50233565931387814</v>
      </c>
      <c r="L366" s="87"/>
      <c r="M366" s="87"/>
      <c r="N366" s="87"/>
      <c r="O366" s="87"/>
      <c r="P366" s="87"/>
      <c r="Q366" s="87"/>
      <c r="R366" s="87"/>
      <c r="S366" s="87"/>
      <c r="T366" s="88">
        <f>MIN($B$8,AVERAGE(U448:U449)/(1+J366+$D$8/10000))+$B$7</f>
        <v>67.765710650554297</v>
      </c>
      <c r="U366" s="88">
        <f t="shared" si="19"/>
        <v>81.311598624291534</v>
      </c>
    </row>
    <row r="367" spans="1:21" x14ac:dyDescent="0.35">
      <c r="A367" s="30"/>
      <c r="B367" s="4"/>
      <c r="C367" s="4"/>
      <c r="D367" s="4"/>
      <c r="E367" s="4"/>
      <c r="F367" s="4"/>
      <c r="G367" s="4"/>
      <c r="H367" s="17"/>
      <c r="J367" s="40">
        <f>(I324+$B$4)*EXP(10*$J$22)</f>
        <v>0.41951440145818875</v>
      </c>
      <c r="K367" s="40">
        <f>(J324+$B$4)*EXP(10*$K$22)</f>
        <v>0.50481042861636538</v>
      </c>
      <c r="L367" s="87"/>
      <c r="M367" s="87"/>
      <c r="N367" s="87"/>
      <c r="O367" s="87"/>
      <c r="P367" s="87"/>
      <c r="Q367" s="87"/>
      <c r="R367" s="87"/>
      <c r="S367" s="87"/>
      <c r="T367" s="88">
        <f>MIN($B$8,AVERAGE(U450:U451)/(1+J367+$D$8/10000))+$B$7</f>
        <v>67.740949023042219</v>
      </c>
      <c r="U367" s="88">
        <f t="shared" si="19"/>
        <v>81.169629974351238</v>
      </c>
    </row>
    <row r="368" spans="1:21" x14ac:dyDescent="0.35">
      <c r="A368" s="30"/>
      <c r="B368" s="4"/>
      <c r="C368" s="4"/>
      <c r="D368" s="4"/>
      <c r="E368" s="4"/>
      <c r="F368" s="4"/>
      <c r="G368" s="4"/>
      <c r="H368" s="17"/>
      <c r="J368" s="8">
        <f>I325*EXP(10*J$22)</f>
        <v>0.42014387897424033</v>
      </c>
      <c r="K368" s="8">
        <f>J325*EXP(10*K$22)</f>
        <v>0.50545352028512192</v>
      </c>
      <c r="L368" s="87"/>
      <c r="M368" s="87"/>
      <c r="N368" s="87"/>
      <c r="O368" s="87"/>
      <c r="P368" s="87"/>
      <c r="Q368" s="87"/>
      <c r="R368" s="87"/>
      <c r="S368" s="87"/>
      <c r="T368" s="88">
        <f>MIN($B$8,AVERAGE(U452:U453)/(1+J368+$D$8/10000))+$B$7</f>
        <v>67.570711769804802</v>
      </c>
      <c r="U368" s="88">
        <f t="shared" si="19"/>
        <v>81.132823417637738</v>
      </c>
    </row>
    <row r="369" spans="1:21" x14ac:dyDescent="0.35">
      <c r="A369" s="30"/>
      <c r="B369" s="4"/>
      <c r="C369" s="4"/>
      <c r="D369" s="4"/>
      <c r="E369" s="4"/>
      <c r="F369" s="4"/>
      <c r="G369" s="4"/>
      <c r="H369" s="17"/>
      <c r="J369" s="40">
        <f>(I325+$B$4)*EXP(10*$J$22)</f>
        <v>0.42266359745313875</v>
      </c>
      <c r="K369" s="40">
        <f>(J325+$B$4)*EXP(10*$K$22)</f>
        <v>0.50792828958760916</v>
      </c>
      <c r="L369" s="87"/>
      <c r="M369" s="87"/>
      <c r="N369" s="87"/>
      <c r="O369" s="87"/>
      <c r="P369" s="87"/>
      <c r="Q369" s="87"/>
      <c r="R369" s="87"/>
      <c r="S369" s="87"/>
      <c r="T369" s="88">
        <f>MIN($B$8,AVERAGE(U454:U455)/(1+J369+$D$8/10000))+$B$7</f>
        <v>67.409715469403395</v>
      </c>
      <c r="U369" s="88">
        <f t="shared" si="19"/>
        <v>80.991509984625907</v>
      </c>
    </row>
    <row r="370" spans="1:21" x14ac:dyDescent="0.35">
      <c r="A370" s="30"/>
      <c r="B370" s="4"/>
      <c r="C370" s="4"/>
      <c r="D370" s="4"/>
      <c r="E370" s="4"/>
      <c r="F370" s="4"/>
      <c r="G370" s="4"/>
      <c r="H370" s="17"/>
      <c r="J370" s="8">
        <f>I326*EXP(10*J$22)</f>
        <v>0.41797878511222092</v>
      </c>
      <c r="K370" s="8">
        <f>J326*EXP(10*K$22)</f>
        <v>0.50314775883605367</v>
      </c>
      <c r="L370" s="87"/>
      <c r="M370" s="87"/>
      <c r="N370" s="87"/>
      <c r="O370" s="87"/>
      <c r="P370" s="87"/>
      <c r="Q370" s="87"/>
      <c r="R370" s="87"/>
      <c r="S370" s="87"/>
      <c r="T370" s="88">
        <f>MIN($B$8,AVERAGE(U456:U457)/(1+J370+$D$8/10000))+$B$7</f>
        <v>67.507404276028353</v>
      </c>
      <c r="U370" s="88">
        <f t="shared" si="19"/>
        <v>81.264953836814342</v>
      </c>
    </row>
    <row r="371" spans="1:21" x14ac:dyDescent="0.35">
      <c r="A371" s="30"/>
      <c r="B371" s="4"/>
      <c r="C371" s="4"/>
      <c r="D371" s="4"/>
      <c r="E371" s="4"/>
      <c r="F371" s="4"/>
      <c r="G371" s="4"/>
      <c r="H371" s="17"/>
      <c r="J371" s="40">
        <f>(I326+$B$4)*EXP(10*$J$22)</f>
        <v>0.4204985035911194</v>
      </c>
      <c r="K371" s="40">
        <f>(J326+$B$4)*EXP(10*$K$22)</f>
        <v>0.50562252813854092</v>
      </c>
      <c r="L371" s="87"/>
      <c r="M371" s="87"/>
      <c r="N371" s="87"/>
      <c r="O371" s="87"/>
      <c r="P371" s="87"/>
      <c r="Q371" s="87"/>
      <c r="R371" s="87"/>
      <c r="S371" s="87"/>
      <c r="T371" s="88">
        <f>MIN($B$8,AVERAGE(U458:U459)/(1+J371+$D$8/10000))+$B$7</f>
        <v>67.63715708397288</v>
      </c>
      <c r="U371" s="88">
        <f t="shared" si="19"/>
        <v>81.123156287385285</v>
      </c>
    </row>
    <row r="372" spans="1:21" x14ac:dyDescent="0.35">
      <c r="A372" s="30"/>
      <c r="B372" s="4"/>
      <c r="C372" s="4"/>
      <c r="D372" s="4"/>
      <c r="E372" s="4"/>
      <c r="F372" s="4"/>
      <c r="G372" s="4"/>
      <c r="H372" s="17"/>
      <c r="J372" s="8">
        <f>I327*EXP(10*J$22)</f>
        <v>0.42112798110717098</v>
      </c>
      <c r="K372" s="8">
        <f>J327*EXP(10*K$22)</f>
        <v>0.50626561980729745</v>
      </c>
      <c r="L372" s="87"/>
      <c r="M372" s="87"/>
      <c r="N372" s="87"/>
      <c r="O372" s="87"/>
      <c r="P372" s="87"/>
      <c r="Q372" s="87"/>
      <c r="R372" s="87"/>
      <c r="S372" s="87"/>
      <c r="T372" s="88">
        <f>MIN($B$8,AVERAGE(U460:U461)/(1+J372+$D$8/10000))+$B$7</f>
        <v>67.467351200618452</v>
      </c>
      <c r="U372" s="88">
        <f t="shared" si="19"/>
        <v>81.086394038617669</v>
      </c>
    </row>
    <row r="373" spans="1:21" x14ac:dyDescent="0.35">
      <c r="A373" s="30"/>
      <c r="B373" s="4"/>
      <c r="C373" s="4"/>
      <c r="D373" s="4"/>
      <c r="E373" s="4"/>
      <c r="F373" s="4"/>
      <c r="G373" s="4"/>
      <c r="H373" s="17"/>
      <c r="J373" s="40">
        <f>(I327+$B$4)*EXP(10*$J$22)</f>
        <v>0.42364769958606946</v>
      </c>
      <c r="K373" s="40">
        <f>(J327+$B$4)*EXP(10*$K$22)</f>
        <v>0.5087403891097847</v>
      </c>
      <c r="L373" s="87"/>
      <c r="M373" s="87"/>
      <c r="N373" s="87"/>
      <c r="O373" s="87"/>
      <c r="P373" s="87"/>
      <c r="Q373" s="87"/>
      <c r="R373" s="87"/>
      <c r="S373" s="87"/>
      <c r="T373" s="88">
        <f>MIN($B$8,AVERAGE(U462:U463)/(1+J373+$D$8/10000))+$B$7</f>
        <v>67.306746985128427</v>
      </c>
      <c r="U373" s="88">
        <f t="shared" si="19"/>
        <v>80.945250523338927</v>
      </c>
    </row>
    <row r="374" spans="1:21" x14ac:dyDescent="0.35">
      <c r="A374" s="30"/>
      <c r="B374" s="4"/>
      <c r="C374" s="4"/>
      <c r="D374" s="4"/>
      <c r="E374" s="4"/>
      <c r="F374" s="4"/>
      <c r="G374" s="4"/>
      <c r="H374" s="17"/>
      <c r="J374" s="8">
        <f>I328*EXP(10*J$22)</f>
        <v>0.42178428432004772</v>
      </c>
      <c r="K374" s="8">
        <f>J328*EXP(10*K$22)</f>
        <v>0.50704452562396263</v>
      </c>
      <c r="L374" s="87"/>
      <c r="M374" s="87"/>
      <c r="N374" s="87"/>
      <c r="O374" s="87"/>
      <c r="P374" s="87"/>
      <c r="Q374" s="87"/>
      <c r="R374" s="87"/>
      <c r="S374" s="87"/>
      <c r="T374" s="88">
        <f>MIN($B$8,AVERAGE(U464:U465)/(1+J374+$D$8/10000))+$B$7</f>
        <v>67.262770282004567</v>
      </c>
      <c r="U374" s="88">
        <f t="shared" si="19"/>
        <v>81.041914896003306</v>
      </c>
    </row>
    <row r="375" spans="1:21" x14ac:dyDescent="0.35">
      <c r="A375" s="30"/>
      <c r="B375" s="4"/>
      <c r="C375" s="4"/>
      <c r="D375" s="4"/>
      <c r="E375" s="4"/>
      <c r="F375" s="4"/>
      <c r="G375" s="4"/>
      <c r="H375" s="17"/>
      <c r="J375" s="40">
        <f>(I328+$B$4)*EXP(10*$J$22)</f>
        <v>0.4243040027989462</v>
      </c>
      <c r="K375" s="40">
        <f>(J328+$B$4)*EXP(10*$K$22)</f>
        <v>0.50951929492644987</v>
      </c>
      <c r="L375" s="87"/>
      <c r="M375" s="87"/>
      <c r="N375" s="87"/>
      <c r="O375" s="87"/>
      <c r="P375" s="87"/>
      <c r="Q375" s="87"/>
      <c r="R375" s="87"/>
      <c r="S375" s="87"/>
      <c r="T375" s="88">
        <f>MIN($B$8,AVERAGE(U466:U467)/(1+J375+$D$8/10000))+$B$7</f>
        <v>67.23821881009809</v>
      </c>
      <c r="U375" s="88">
        <f t="shared" si="19"/>
        <v>80.900934065480058</v>
      </c>
    </row>
    <row r="376" spans="1:21" x14ac:dyDescent="0.35">
      <c r="A376" s="30"/>
      <c r="B376" s="4"/>
      <c r="C376" s="4"/>
      <c r="D376" s="4"/>
      <c r="E376" s="4"/>
      <c r="F376" s="4"/>
      <c r="G376" s="4"/>
      <c r="H376" s="17"/>
      <c r="J376" s="8">
        <f>I329*EXP(10*J$22)</f>
        <v>0.42493348031499778</v>
      </c>
      <c r="K376" s="8">
        <f>J329*EXP(10*K$22)</f>
        <v>0.51016238659520652</v>
      </c>
      <c r="L376" s="87"/>
      <c r="M376" s="87"/>
      <c r="N376" s="87"/>
      <c r="O376" s="87"/>
      <c r="P376" s="87"/>
      <c r="Q376" s="87"/>
      <c r="R376" s="87"/>
      <c r="S376" s="87"/>
      <c r="T376" s="88">
        <f>MIN($B$8,AVERAGE(U468:U469)/(1+J376+$D$8/10000))+$B$7</f>
        <v>67.070067333189371</v>
      </c>
      <c r="U376" s="88">
        <f t="shared" si="19"/>
        <v>80.864383314362016</v>
      </c>
    </row>
    <row r="377" spans="1:21" x14ac:dyDescent="0.35">
      <c r="A377" s="30"/>
      <c r="B377" s="4"/>
      <c r="C377" s="4"/>
      <c r="D377" s="4"/>
      <c r="E377" s="4"/>
      <c r="F377" s="4"/>
      <c r="G377" s="4"/>
      <c r="H377" s="17"/>
      <c r="J377" s="40">
        <f>(I329+$B$4)*EXP(10*$J$22)</f>
        <v>0.42745319879389626</v>
      </c>
      <c r="K377" s="40">
        <f>(J329+$B$4)*EXP(10*$K$22)</f>
        <v>0.51263715589769365</v>
      </c>
      <c r="L377" s="87"/>
      <c r="M377" s="87"/>
      <c r="N377" s="87"/>
      <c r="O377" s="87"/>
      <c r="P377" s="87"/>
      <c r="Q377" s="87"/>
      <c r="R377" s="87"/>
      <c r="S377" s="87"/>
      <c r="T377" s="88">
        <f>MIN($B$8,AVERAGE(U470:U471)/(1+J377+$D$8/10000))+$B$7</f>
        <v>66.910967272296432</v>
      </c>
      <c r="U377" s="88">
        <f t="shared" si="19"/>
        <v>80.72405088199281</v>
      </c>
    </row>
    <row r="378" spans="1:21" x14ac:dyDescent="0.35">
      <c r="A378" s="30"/>
      <c r="B378" s="4"/>
      <c r="C378" s="4"/>
      <c r="D378" s="4"/>
      <c r="E378" s="4"/>
      <c r="F378" s="4"/>
      <c r="G378" s="4"/>
      <c r="H378" s="17"/>
      <c r="J378" s="8">
        <f>I330*EXP(10*J$22)</f>
        <v>0.414743564777241</v>
      </c>
      <c r="K378" s="8">
        <f>J330*EXP(10*K$22)</f>
        <v>0.49977280233131782</v>
      </c>
      <c r="L378" s="87"/>
      <c r="M378" s="87"/>
      <c r="N378" s="87"/>
      <c r="O378" s="87"/>
      <c r="P378" s="87"/>
      <c r="Q378" s="87"/>
      <c r="R378" s="87"/>
      <c r="S378" s="87"/>
      <c r="T378" s="88">
        <f>MIN($B$8,AVERAGE(U472:U473)/(1+J378+$D$8/10000))+$B$7</f>
        <v>67.409676277518244</v>
      </c>
      <c r="U378" s="88">
        <f t="shared" si="19"/>
        <v>81.459172178496061</v>
      </c>
    </row>
    <row r="379" spans="1:21" x14ac:dyDescent="0.35">
      <c r="A379" s="30"/>
      <c r="B379" s="4"/>
      <c r="C379" s="4"/>
      <c r="D379" s="4"/>
      <c r="E379" s="4"/>
      <c r="F379" s="4"/>
      <c r="G379" s="4"/>
      <c r="H379" s="17"/>
      <c r="J379" s="40">
        <f>(I330+$B$4)*EXP(10*$J$22)</f>
        <v>0.41726328325613948</v>
      </c>
      <c r="K379" s="40">
        <f>(J330+$B$4)*EXP(10*$K$22)</f>
        <v>0.50224757163380507</v>
      </c>
      <c r="L379" s="87"/>
      <c r="M379" s="87"/>
      <c r="N379" s="87"/>
      <c r="O379" s="87"/>
      <c r="P379" s="87"/>
      <c r="Q379" s="87"/>
      <c r="R379" s="87"/>
      <c r="S379" s="87"/>
      <c r="T379" s="88">
        <f>MIN($B$8,AVERAGE(U474:U475)/(1+J379+$D$8/10000))+$B$7</f>
        <v>67.979347215459626</v>
      </c>
      <c r="U379" s="88">
        <f t="shared" si="19"/>
        <v>81.316661526976887</v>
      </c>
    </row>
    <row r="380" spans="1:21" x14ac:dyDescent="0.35">
      <c r="A380" s="30"/>
      <c r="B380" s="4"/>
      <c r="C380" s="4"/>
      <c r="D380" s="4"/>
      <c r="E380" s="4"/>
      <c r="F380" s="4"/>
      <c r="G380" s="4"/>
      <c r="H380" s="17"/>
      <c r="J380" s="8">
        <f>I331*EXP(10*J$22)</f>
        <v>0.41789276077219106</v>
      </c>
      <c r="K380" s="8">
        <f>J331*EXP(10*K$22)</f>
        <v>0.5028906633025616</v>
      </c>
      <c r="L380" s="87"/>
      <c r="M380" s="87"/>
      <c r="N380" s="87"/>
      <c r="O380" s="87"/>
      <c r="P380" s="87"/>
      <c r="Q380" s="87"/>
      <c r="R380" s="87"/>
      <c r="S380" s="87"/>
      <c r="T380" s="88">
        <f>MIN($B$8,AVERAGE(U476:U477)/(1+J380+$D$8/10000))+$B$7</f>
        <v>67.80811768440941</v>
      </c>
      <c r="U380" s="88">
        <f t="shared" si="19"/>
        <v>81.279714614914496</v>
      </c>
    </row>
    <row r="381" spans="1:21" x14ac:dyDescent="0.35">
      <c r="A381" s="30"/>
      <c r="B381" s="4"/>
      <c r="C381" s="4"/>
      <c r="D381" s="4"/>
      <c r="E381" s="4"/>
      <c r="F381" s="4"/>
      <c r="G381" s="4"/>
      <c r="H381" s="17"/>
      <c r="J381" s="40">
        <f>(I331+$B$4)*EXP(10*$J$22)</f>
        <v>0.42041247925108954</v>
      </c>
      <c r="K381" s="40">
        <f>(J331+$B$4)*EXP(10*$K$22)</f>
        <v>0.50536543260504885</v>
      </c>
      <c r="L381" s="87"/>
      <c r="M381" s="87"/>
      <c r="N381" s="87"/>
      <c r="O381" s="87"/>
      <c r="P381" s="87"/>
      <c r="Q381" s="87"/>
      <c r="R381" s="87"/>
      <c r="S381" s="87"/>
      <c r="T381" s="88">
        <f>MIN($B$8,AVERAGE(U478:U479)/(1+J381+$D$8/10000))+$B$7</f>
        <v>67.646219642406038</v>
      </c>
      <c r="U381" s="88">
        <f t="shared" si="19"/>
        <v>81.137862931737445</v>
      </c>
    </row>
    <row r="382" spans="1:21" x14ac:dyDescent="0.35">
      <c r="A382" s="30"/>
      <c r="B382" s="4"/>
      <c r="C382" s="4"/>
      <c r="D382" s="4"/>
      <c r="E382" s="4"/>
      <c r="F382" s="4"/>
      <c r="G382" s="4"/>
      <c r="H382" s="17"/>
      <c r="J382" s="8">
        <f>I332*EXP(10*J$22)</f>
        <v>0.41854906398506786</v>
      </c>
      <c r="K382" s="8">
        <f>J332*EXP(10*K$22)</f>
        <v>0.50366956911922678</v>
      </c>
      <c r="L382" s="87"/>
      <c r="M382" s="87"/>
      <c r="N382" s="87"/>
      <c r="O382" s="87"/>
      <c r="P382" s="87"/>
      <c r="Q382" s="87"/>
      <c r="R382" s="87"/>
      <c r="S382" s="87"/>
      <c r="T382" s="88">
        <f>MIN($B$8,AVERAGE(U480:U481)/(1+J382+$D$8/10000))+$B$7</f>
        <v>67.601821970045904</v>
      </c>
      <c r="U382" s="88">
        <f t="shared" si="19"/>
        <v>81.2350121638286</v>
      </c>
    </row>
    <row r="383" spans="1:21" x14ac:dyDescent="0.35">
      <c r="A383" s="30"/>
      <c r="B383" s="4"/>
      <c r="C383" s="4"/>
      <c r="D383" s="4"/>
      <c r="E383" s="4"/>
      <c r="F383" s="4"/>
      <c r="G383" s="4"/>
      <c r="H383" s="17"/>
      <c r="J383" s="40">
        <f>(I332+$B$4)*EXP(10*$J$22)</f>
        <v>0.42106878246396634</v>
      </c>
      <c r="K383" s="40">
        <f>(J332+$B$4)*EXP(10*$K$22)</f>
        <v>0.50614433842171402</v>
      </c>
      <c r="L383" s="87"/>
      <c r="M383" s="87"/>
      <c r="N383" s="87"/>
      <c r="O383" s="87"/>
      <c r="P383" s="87"/>
      <c r="Q383" s="87"/>
      <c r="R383" s="87"/>
      <c r="S383" s="87"/>
      <c r="T383" s="88">
        <f>MIN($B$8,AVERAGE(U482:U483)/(1+J383+$D$8/10000))+$B$7</f>
        <v>67.577128784926003</v>
      </c>
      <c r="U383" s="88">
        <f t="shared" si="19"/>
        <v>81.093324390958884</v>
      </c>
    </row>
    <row r="384" spans="1:21" x14ac:dyDescent="0.35">
      <c r="A384" s="30"/>
      <c r="B384" s="4"/>
      <c r="C384" s="4"/>
      <c r="D384" s="4"/>
      <c r="E384" s="4"/>
      <c r="F384" s="4"/>
      <c r="G384" s="4"/>
      <c r="H384" s="17"/>
      <c r="J384" s="8">
        <f>I333*EXP(10*J$22)</f>
        <v>0.42169825998001792</v>
      </c>
      <c r="K384" s="8">
        <f>J333*EXP(10*K$22)</f>
        <v>0.50678743009047067</v>
      </c>
      <c r="L384" s="87"/>
      <c r="M384" s="87"/>
      <c r="N384" s="87"/>
      <c r="O384" s="87"/>
      <c r="P384" s="87"/>
      <c r="Q384" s="87"/>
      <c r="R384" s="87"/>
      <c r="S384" s="87"/>
      <c r="T384" s="88">
        <f>MIN($B$8,AVERAGE(U484:U485)/(1+J384+$D$8/10000))+$B$7</f>
        <v>67.40757220786243</v>
      </c>
      <c r="U384" s="88">
        <f t="shared" si="19"/>
        <v>81.056590569822333</v>
      </c>
    </row>
    <row r="385" spans="1:21" x14ac:dyDescent="0.35">
      <c r="A385" s="30"/>
      <c r="B385" s="4"/>
      <c r="C385" s="4"/>
      <c r="D385" s="4"/>
      <c r="E385" s="4"/>
      <c r="F385" s="4"/>
      <c r="G385" s="4"/>
      <c r="H385" s="17"/>
      <c r="J385" s="40">
        <f>(I333+$B$4)*EXP(10*$J$22)</f>
        <v>0.4242179784589164</v>
      </c>
      <c r="K385" s="40">
        <f>(J333+$B$4)*EXP(10*$K$22)</f>
        <v>0.5092621993929578</v>
      </c>
      <c r="L385" s="87"/>
      <c r="M385" s="87"/>
      <c r="N385" s="87"/>
      <c r="O385" s="87"/>
      <c r="P385" s="87"/>
      <c r="Q385" s="87"/>
      <c r="R385" s="87"/>
      <c r="S385" s="87"/>
      <c r="T385" s="88">
        <f>MIN($B$8,AVERAGE(U486:U487)/(1+J385+$D$8/10000))+$B$7</f>
        <v>67.247194614653068</v>
      </c>
      <c r="U385" s="88">
        <f t="shared" si="19"/>
        <v>80.915556072617008</v>
      </c>
    </row>
    <row r="386" spans="1:21" x14ac:dyDescent="0.35">
      <c r="A386" s="30"/>
      <c r="B386" s="4"/>
      <c r="C386" s="4"/>
      <c r="D386" s="4"/>
      <c r="E386" s="4"/>
      <c r="F386" s="4"/>
      <c r="G386" s="4"/>
      <c r="H386" s="17"/>
      <c r="J386" s="8">
        <f>I334*EXP(10*J$22)</f>
        <v>0.4195331661179984</v>
      </c>
      <c r="K386" s="8">
        <f>J334*EXP(10*K$22)</f>
        <v>0.50448166864140231</v>
      </c>
      <c r="L386" s="87"/>
      <c r="M386" s="87"/>
      <c r="N386" s="87"/>
      <c r="O386" s="87"/>
      <c r="P386" s="87"/>
      <c r="Q386" s="87"/>
      <c r="R386" s="87"/>
      <c r="S386" s="87"/>
      <c r="T386" s="88">
        <f>MIN($B$8,AVERAGE(U488:U489)/(1+J386+$D$8/10000))+$B$7</f>
        <v>67.344547233634231</v>
      </c>
      <c r="U386" s="88">
        <f t="shared" si="19"/>
        <v>81.18845971732685</v>
      </c>
    </row>
    <row r="387" spans="1:21" x14ac:dyDescent="0.35">
      <c r="A387" s="30"/>
      <c r="B387" s="4"/>
      <c r="C387" s="4"/>
      <c r="D387" s="4"/>
      <c r="E387" s="4"/>
      <c r="F387" s="4"/>
      <c r="G387" s="4"/>
      <c r="H387" s="17"/>
      <c r="J387" s="40">
        <f>(I334+$B$4)*EXP(10*$J$22)</f>
        <v>0.42205288459689688</v>
      </c>
      <c r="K387" s="40">
        <f>(J334+$B$4)*EXP(10*$K$22)</f>
        <v>0.50695643794388956</v>
      </c>
      <c r="L387" s="87"/>
      <c r="M387" s="87"/>
      <c r="N387" s="87"/>
      <c r="O387" s="87"/>
      <c r="P387" s="87"/>
      <c r="Q387" s="87"/>
      <c r="R387" s="87"/>
      <c r="S387" s="87"/>
      <c r="T387" s="88">
        <f>MIN($B$8,AVERAGE(U490:U491)/(1+J387+$D$8/10000))+$B$7</f>
        <v>67.473744386659902</v>
      </c>
      <c r="U387" s="88">
        <f t="shared" si="19"/>
        <v>81.046942537602845</v>
      </c>
    </row>
    <row r="388" spans="1:21" x14ac:dyDescent="0.35">
      <c r="A388" s="30"/>
      <c r="B388" s="4"/>
      <c r="C388" s="4"/>
      <c r="D388" s="4"/>
      <c r="E388" s="4"/>
      <c r="F388" s="4"/>
      <c r="G388" s="4"/>
      <c r="H388" s="17"/>
      <c r="J388" s="8">
        <f>I335*EXP(10*J$22)</f>
        <v>0.42268236211294846</v>
      </c>
      <c r="K388" s="8">
        <f>J335*EXP(10*K$22)</f>
        <v>0.50759952961264621</v>
      </c>
      <c r="L388" s="87"/>
      <c r="M388" s="87"/>
      <c r="N388" s="87"/>
      <c r="O388" s="87"/>
      <c r="P388" s="87"/>
      <c r="Q388" s="87"/>
      <c r="R388" s="87"/>
      <c r="S388" s="87"/>
      <c r="T388" s="88">
        <f>MIN($B$8,AVERAGE(U492:U493)/(1+J388+$D$8/10000))+$B$7</f>
        <v>67.304616875069286</v>
      </c>
      <c r="U388" s="88">
        <f t="shared" si="19"/>
        <v>81.010252893177253</v>
      </c>
    </row>
    <row r="389" spans="1:21" x14ac:dyDescent="0.35">
      <c r="A389" s="30"/>
      <c r="B389" s="4"/>
      <c r="C389" s="4"/>
      <c r="D389" s="4"/>
      <c r="E389" s="4"/>
      <c r="F389" s="4"/>
      <c r="G389" s="4"/>
      <c r="H389" s="17"/>
      <c r="J389" s="40">
        <f>(I335+$B$4)*EXP(10*$J$22)</f>
        <v>0.42520208059184689</v>
      </c>
      <c r="K389" s="40">
        <f>(J335+$B$4)*EXP(10*$K$22)</f>
        <v>0.51007429891513334</v>
      </c>
      <c r="L389" s="87"/>
      <c r="M389" s="87"/>
      <c r="N389" s="87"/>
      <c r="O389" s="87"/>
      <c r="P389" s="87"/>
      <c r="Q389" s="87"/>
      <c r="R389" s="87"/>
      <c r="S389" s="87"/>
      <c r="T389" s="88">
        <f>MIN($B$8,AVERAGE(U494:U495)/(1+J389+$D$8/10000))+$B$7</f>
        <v>67.144629342322034</v>
      </c>
      <c r="U389" s="88">
        <f t="shared" si="19"/>
        <v>80.86938781100821</v>
      </c>
    </row>
    <row r="390" spans="1:21" x14ac:dyDescent="0.35">
      <c r="A390" s="30"/>
      <c r="B390" s="4"/>
      <c r="C390" s="4"/>
      <c r="D390" s="4"/>
      <c r="E390" s="4"/>
      <c r="F390" s="4"/>
      <c r="G390" s="4"/>
      <c r="H390" s="17"/>
      <c r="J390" s="8">
        <f>I336*EXP(10*J$22)</f>
        <v>0.42333866532582526</v>
      </c>
      <c r="K390" s="8">
        <f>J336*EXP(10*K$22)</f>
        <v>0.50837843542931138</v>
      </c>
      <c r="L390" s="87"/>
      <c r="M390" s="87"/>
      <c r="N390" s="87"/>
      <c r="O390" s="87"/>
      <c r="P390" s="87"/>
      <c r="Q390" s="87"/>
      <c r="R390" s="87"/>
      <c r="S390" s="87"/>
      <c r="T390" s="88">
        <f>MIN($B$8,AVERAGE(U496:U497)/(1+J390+$D$8/10000))+$B$7</f>
        <v>67.100853064758155</v>
      </c>
      <c r="U390" s="88">
        <f t="shared" si="19"/>
        <v>80.965861549329148</v>
      </c>
    </row>
    <row r="391" spans="1:21" x14ac:dyDescent="0.35">
      <c r="A391" s="30"/>
      <c r="B391" s="4"/>
      <c r="C391" s="4"/>
      <c r="D391" s="4"/>
      <c r="E391" s="4"/>
      <c r="F391" s="4"/>
      <c r="G391" s="4"/>
      <c r="H391" s="17"/>
      <c r="J391" s="40">
        <f>(I336+$B$4)*EXP(10*$J$22)</f>
        <v>0.42585838380472374</v>
      </c>
      <c r="K391" s="40">
        <f>(J336+$B$4)*EXP(10*$K$22)</f>
        <v>0.51085320473179852</v>
      </c>
      <c r="L391" s="87"/>
      <c r="M391" s="87"/>
      <c r="N391" s="87"/>
      <c r="O391" s="87"/>
      <c r="P391" s="87"/>
      <c r="Q391" s="87"/>
      <c r="R391" s="87"/>
      <c r="S391" s="87"/>
      <c r="T391" s="88">
        <f>MIN($B$8,AVERAGE(U498:U499)/(1+J391+$D$8/10000))+$B$7</f>
        <v>67.076369325926862</v>
      </c>
      <c r="U391" s="88">
        <f t="shared" si="19"/>
        <v>80.825158670900237</v>
      </c>
    </row>
    <row r="392" spans="1:21" x14ac:dyDescent="0.35">
      <c r="A392" s="30"/>
      <c r="B392" s="4"/>
      <c r="C392" s="4"/>
      <c r="D392" s="4"/>
      <c r="E392" s="4"/>
      <c r="F392" s="4"/>
      <c r="G392" s="4"/>
      <c r="H392" s="17"/>
      <c r="J392" s="8">
        <f>I337*EXP(10*J$22)</f>
        <v>0.42648786132077526</v>
      </c>
      <c r="K392" s="8">
        <f>J337*EXP(10*K$22)</f>
        <v>0.51149629640055516</v>
      </c>
      <c r="L392" s="87"/>
      <c r="M392" s="87"/>
      <c r="N392" s="87"/>
      <c r="O392" s="87"/>
      <c r="P392" s="87"/>
      <c r="Q392" s="87"/>
      <c r="R392" s="87"/>
      <c r="S392" s="87"/>
      <c r="T392" s="88">
        <f>MIN($B$8,AVERAGE(U500:U501)/(1+J392+$D$8/10000))+$B$7</f>
        <v>66.908887401113134</v>
      </c>
      <c r="U392" s="88">
        <f t="shared" si="19"/>
        <v>80.788679898781169</v>
      </c>
    </row>
    <row r="393" spans="1:21" x14ac:dyDescent="0.35">
      <c r="A393" s="30"/>
      <c r="B393" s="4"/>
      <c r="C393" s="4"/>
      <c r="D393" s="4"/>
      <c r="E393" s="4"/>
      <c r="F393" s="4"/>
      <c r="G393" s="4"/>
      <c r="H393" s="17"/>
      <c r="J393" s="40">
        <f>(I337+$B$4)*EXP(10*$J$22)</f>
        <v>0.42900757979967369</v>
      </c>
      <c r="K393" s="40">
        <f>(J337+$B$4)*EXP(10*$K$22)</f>
        <v>0.51397106570304241</v>
      </c>
      <c r="L393" s="87"/>
      <c r="M393" s="87"/>
      <c r="N393" s="87"/>
      <c r="O393" s="87"/>
      <c r="P393" s="87"/>
      <c r="Q393" s="87"/>
      <c r="R393" s="87"/>
      <c r="S393" s="87"/>
      <c r="T393" s="88">
        <f>MIN($B$8,AVERAGE(U502:U503)/(1+J393+$D$8/10000))+$B$7</f>
        <v>66.750396272295603</v>
      </c>
      <c r="U393" s="88">
        <f t="shared" si="19"/>
        <v>80.648623504118945</v>
      </c>
    </row>
    <row r="394" spans="1:21" x14ac:dyDescent="0.35">
      <c r="A394" s="30"/>
      <c r="B394" s="4"/>
      <c r="C394" s="4"/>
      <c r="D394" s="4"/>
      <c r="E394" s="4"/>
      <c r="F394" s="4"/>
      <c r="G394" s="4"/>
      <c r="H394" s="17"/>
      <c r="J394" s="8">
        <f>I338*EXP(10*J$22)</f>
        <v>0.42061117351368427</v>
      </c>
      <c r="K394" s="8">
        <f>J338*EXP(10*K$22)</f>
        <v>0.50569938151594684</v>
      </c>
      <c r="L394" s="87"/>
      <c r="M394" s="87"/>
      <c r="N394" s="87"/>
      <c r="O394" s="87"/>
      <c r="P394" s="87"/>
      <c r="Q394" s="87"/>
      <c r="R394" s="87"/>
      <c r="S394" s="87"/>
      <c r="T394" s="88">
        <f>MIN($B$8,AVERAGE(U504:U505)/(1+J394+$D$8/10000))+$B$7</f>
        <v>67.031340844294391</v>
      </c>
      <c r="U394" s="88">
        <f t="shared" si="19"/>
        <v>81.118761129732945</v>
      </c>
    </row>
    <row r="395" spans="1:21" x14ac:dyDescent="0.35">
      <c r="A395" s="30"/>
      <c r="B395" s="4"/>
      <c r="C395" s="4"/>
      <c r="D395" s="4"/>
      <c r="E395" s="4"/>
      <c r="F395" s="4"/>
      <c r="G395" s="4"/>
      <c r="H395" s="17"/>
      <c r="J395" s="40">
        <f>(I338+$B$4)*EXP(10*$J$22)</f>
        <v>0.42313089199258275</v>
      </c>
      <c r="K395" s="40">
        <f>(J338+$B$4)*EXP(10*$K$22)</f>
        <v>0.50817415081843398</v>
      </c>
      <c r="L395" s="87"/>
      <c r="M395" s="87"/>
      <c r="N395" s="87"/>
      <c r="O395" s="87"/>
      <c r="P395" s="87"/>
      <c r="Q395" s="87"/>
      <c r="R395" s="87"/>
      <c r="S395" s="87"/>
      <c r="T395" s="88">
        <f>MIN($B$8,AVERAGE(U506:U507)/(1+J395+$D$8/10000))+$B$7</f>
        <v>67.360789636019177</v>
      </c>
      <c r="U395" s="88">
        <f t="shared" si="19"/>
        <v>80.977499171288358</v>
      </c>
    </row>
    <row r="396" spans="1:21" x14ac:dyDescent="0.35">
      <c r="A396" s="30"/>
      <c r="B396" s="4"/>
      <c r="C396" s="4"/>
      <c r="D396" s="4"/>
      <c r="E396" s="4"/>
      <c r="F396" s="4"/>
      <c r="G396" s="4"/>
      <c r="H396" s="17"/>
      <c r="J396" s="8">
        <f>I339*EXP(10*J$22)</f>
        <v>0.42376036950863433</v>
      </c>
      <c r="K396" s="8">
        <f>J339*EXP(10*K$22)</f>
        <v>0.50881724248719062</v>
      </c>
      <c r="L396" s="87"/>
      <c r="M396" s="87"/>
      <c r="N396" s="87"/>
      <c r="O396" s="87"/>
      <c r="P396" s="87"/>
      <c r="Q396" s="87"/>
      <c r="R396" s="87"/>
      <c r="S396" s="87"/>
      <c r="T396" s="88">
        <f>MIN($B$8,AVERAGE(U508:U509)/(1+J396+$D$8/10000))+$B$7</f>
        <v>67.192130467249413</v>
      </c>
      <c r="U396" s="88">
        <f t="shared" si="19"/>
        <v>80.940875619002938</v>
      </c>
    </row>
    <row r="397" spans="1:21" x14ac:dyDescent="0.35">
      <c r="A397" s="30"/>
      <c r="B397" s="4"/>
      <c r="C397" s="4"/>
      <c r="D397" s="4"/>
      <c r="E397" s="4"/>
      <c r="F397" s="4"/>
      <c r="G397" s="4"/>
      <c r="H397" s="17"/>
      <c r="J397" s="40">
        <f>(I339+$B$4)*EXP(10*$J$22)</f>
        <v>0.42628008798753281</v>
      </c>
      <c r="K397" s="40">
        <f>(J339+$B$4)*EXP(10*$K$22)</f>
        <v>0.51129201178967776</v>
      </c>
      <c r="L397" s="87"/>
      <c r="M397" s="87"/>
      <c r="N397" s="87"/>
      <c r="O397" s="87"/>
      <c r="P397" s="87"/>
      <c r="Q397" s="87"/>
      <c r="R397" s="87"/>
      <c r="S397" s="87"/>
      <c r="T397" s="88">
        <f>MIN($B$8,AVERAGE(U510:U511)/(1+J397+$D$8/10000))+$B$7</f>
        <v>67.032568752394951</v>
      </c>
      <c r="U397" s="88">
        <f t="shared" si="19"/>
        <v>80.800263996884894</v>
      </c>
    </row>
    <row r="398" spans="1:21" x14ac:dyDescent="0.35">
      <c r="A398" s="30"/>
      <c r="B398" s="4"/>
      <c r="C398" s="4"/>
      <c r="D398" s="4"/>
      <c r="E398" s="4"/>
      <c r="F398" s="4"/>
      <c r="G398" s="4"/>
      <c r="H398" s="17"/>
      <c r="J398" s="8">
        <f>I340*EXP(10*J$22)</f>
        <v>0.42441667272151107</v>
      </c>
      <c r="K398" s="8">
        <f>J340*EXP(10*K$22)</f>
        <v>0.5095961483038558</v>
      </c>
      <c r="L398" s="87"/>
      <c r="M398" s="87"/>
      <c r="N398" s="87"/>
      <c r="O398" s="87"/>
      <c r="P398" s="87"/>
      <c r="Q398" s="87"/>
      <c r="R398" s="87"/>
      <c r="S398" s="87"/>
      <c r="T398" s="88">
        <f>MIN($B$8,AVERAGE(U512:U513)/(1+J398+$D$8/10000))+$B$7</f>
        <v>66.988930783846342</v>
      </c>
      <c r="U398" s="88">
        <f t="shared" si="19"/>
        <v>80.896564198983953</v>
      </c>
    </row>
    <row r="399" spans="1:21" x14ac:dyDescent="0.35">
      <c r="A399" s="30"/>
      <c r="B399" s="4"/>
      <c r="C399" s="4"/>
      <c r="D399" s="4"/>
      <c r="E399" s="4"/>
      <c r="F399" s="4"/>
      <c r="G399" s="4"/>
      <c r="H399" s="17"/>
      <c r="J399" s="40">
        <f>(I340+$B$4)*EXP(10*$J$22)</f>
        <v>0.42693639120040955</v>
      </c>
      <c r="K399" s="40">
        <f>(J340+$B$4)*EXP(10*$K$22)</f>
        <v>0.51207091760634293</v>
      </c>
      <c r="L399" s="87"/>
      <c r="M399" s="87"/>
      <c r="N399" s="87"/>
      <c r="O399" s="87"/>
      <c r="P399" s="87"/>
      <c r="Q399" s="87"/>
      <c r="R399" s="87"/>
      <c r="S399" s="87"/>
      <c r="T399" s="88">
        <f>MIN($B$8,AVERAGE(U514:U515)/(1+J399+$D$8/10000))+$B$7</f>
        <v>66.964493885480664</v>
      </c>
      <c r="U399" s="88">
        <f t="shared" si="19"/>
        <v>80.75611434314628</v>
      </c>
    </row>
    <row r="400" spans="1:21" x14ac:dyDescent="0.35">
      <c r="A400" s="30"/>
      <c r="B400" s="4"/>
      <c r="C400" s="4"/>
      <c r="D400" s="4"/>
      <c r="E400" s="4"/>
      <c r="F400" s="4"/>
      <c r="G400" s="4"/>
      <c r="H400" s="17"/>
      <c r="J400" s="8">
        <f>I341*EXP(10*J$22)</f>
        <v>0.42756586871646113</v>
      </c>
      <c r="K400" s="8">
        <f>J341*EXP(10*K$22)</f>
        <v>0.51271400927509958</v>
      </c>
      <c r="L400" s="87"/>
      <c r="M400" s="87"/>
      <c r="N400" s="87"/>
      <c r="O400" s="87"/>
      <c r="P400" s="87"/>
      <c r="Q400" s="87"/>
      <c r="R400" s="87"/>
      <c r="S400" s="87"/>
      <c r="T400" s="88">
        <f>MIN($B$8,AVERAGE(U516:U517)/(1+J400+$D$8/10000))+$B$7</f>
        <v>66.797474221362663</v>
      </c>
      <c r="U400" s="88">
        <f t="shared" si="19"/>
        <v>80.719701094448681</v>
      </c>
    </row>
    <row r="401" spans="1:21" x14ac:dyDescent="0.35">
      <c r="A401" s="30"/>
      <c r="B401" s="4"/>
      <c r="C401" s="4"/>
      <c r="D401" s="4"/>
      <c r="E401" s="4"/>
      <c r="F401" s="4"/>
      <c r="G401" s="4"/>
      <c r="H401" s="17"/>
      <c r="J401" s="40">
        <f>(I341+$B$4)*EXP(10*$J$22)</f>
        <v>0.43008558719535955</v>
      </c>
      <c r="K401" s="40">
        <f>(J341+$B$4)*EXP(10*$K$22)</f>
        <v>0.51518877857758683</v>
      </c>
      <c r="L401" s="87"/>
      <c r="M401" s="87"/>
      <c r="N401" s="87"/>
      <c r="O401" s="87"/>
      <c r="P401" s="87"/>
      <c r="Q401" s="87"/>
      <c r="R401" s="87"/>
      <c r="S401" s="87"/>
      <c r="T401" s="88">
        <f>MIN($B$8,AVERAGE(U518:U519)/(1+J401+$D$8/10000))+$B$7</f>
        <v>66.639403564561221</v>
      </c>
      <c r="U401" s="88">
        <f t="shared" si="19"/>
        <v>80.579895981327297</v>
      </c>
    </row>
    <row r="402" spans="1:21" x14ac:dyDescent="0.35">
      <c r="A402" s="30"/>
      <c r="B402" s="4"/>
      <c r="C402" s="4"/>
      <c r="D402" s="4"/>
      <c r="E402" s="4"/>
      <c r="F402" s="4"/>
      <c r="G402" s="4"/>
      <c r="H402" s="17"/>
      <c r="J402" s="8">
        <f>I342*EXP(10*J$22)</f>
        <v>0.42540077485444167</v>
      </c>
      <c r="K402" s="8">
        <f>J342*EXP(10*K$22)</f>
        <v>0.51040824782603145</v>
      </c>
      <c r="L402" s="87"/>
      <c r="M402" s="87"/>
      <c r="N402" s="87"/>
      <c r="O402" s="87"/>
      <c r="P402" s="87"/>
      <c r="Q402" s="87"/>
      <c r="R402" s="87"/>
      <c r="S402" s="87"/>
      <c r="T402" s="88">
        <f>MIN($B$8,AVERAGE(U520:U521)/(1+J402+$D$8/10000))+$B$7</f>
        <v>66.73550106889499</v>
      </c>
      <c r="U402" s="88">
        <f t="shared" si="19"/>
        <v>80.850418727316722</v>
      </c>
    </row>
    <row r="403" spans="1:21" x14ac:dyDescent="0.35">
      <c r="A403" s="30"/>
      <c r="B403" s="4"/>
      <c r="C403" s="4"/>
      <c r="D403" s="4"/>
      <c r="E403" s="4"/>
      <c r="F403" s="4"/>
      <c r="G403" s="4"/>
      <c r="H403" s="17"/>
      <c r="J403" s="40">
        <f>(I342+$B$4)*EXP(10*$J$22)</f>
        <v>0.42792049333334015</v>
      </c>
      <c r="K403" s="40">
        <f>(J342+$B$4)*EXP(10*$K$22)</f>
        <v>0.51288301712851869</v>
      </c>
      <c r="L403" s="87"/>
      <c r="M403" s="87"/>
      <c r="N403" s="87"/>
      <c r="O403" s="87"/>
      <c r="P403" s="87"/>
      <c r="Q403" s="87"/>
      <c r="R403" s="87"/>
      <c r="S403" s="87"/>
      <c r="T403" s="88">
        <f>MIN($B$8,AVERAGE(U522:U523)/(1+J403+$D$8/10000))+$B$7</f>
        <v>66.862628702630957</v>
      </c>
      <c r="U403" s="88">
        <f t="shared" si="19"/>
        <v>80.71013723448813</v>
      </c>
    </row>
    <row r="404" spans="1:21" x14ac:dyDescent="0.35">
      <c r="A404" s="30"/>
      <c r="B404" s="4"/>
      <c r="C404" s="4"/>
      <c r="D404" s="4"/>
      <c r="E404" s="4"/>
      <c r="F404" s="4"/>
      <c r="G404" s="4"/>
      <c r="H404" s="17"/>
      <c r="J404" s="8">
        <f>I343*EXP(10*J$22)</f>
        <v>0.42854997084939173</v>
      </c>
      <c r="K404" s="8">
        <f>J343*EXP(10*K$22)</f>
        <v>0.51352610879727523</v>
      </c>
      <c r="L404" s="87"/>
      <c r="M404" s="87"/>
      <c r="N404" s="87"/>
      <c r="O404" s="87"/>
      <c r="P404" s="87"/>
      <c r="Q404" s="87"/>
      <c r="R404" s="87"/>
      <c r="S404" s="87"/>
      <c r="T404" s="88">
        <f>MIN($B$8,AVERAGE(U524:U525)/(1+J404+$D$8/10000))+$B$7</f>
        <v>66.696029542852841</v>
      </c>
      <c r="U404" s="88">
        <f t="shared" si="19"/>
        <v>80.673767585648292</v>
      </c>
    </row>
    <row r="405" spans="1:21" x14ac:dyDescent="0.35">
      <c r="A405" s="30"/>
      <c r="B405" s="4"/>
      <c r="C405" s="4"/>
      <c r="D405" s="4"/>
      <c r="E405" s="4"/>
      <c r="F405" s="4"/>
      <c r="G405" s="4"/>
      <c r="H405" s="17"/>
      <c r="J405" s="40">
        <f>(I343+$B$4)*EXP(10*$J$22)</f>
        <v>0.43106968932829021</v>
      </c>
      <c r="K405" s="40">
        <f>(J343+$B$4)*EXP(10*$K$22)</f>
        <v>0.51600087809976247</v>
      </c>
      <c r="L405" s="87"/>
      <c r="M405" s="87"/>
      <c r="N405" s="87"/>
      <c r="O405" s="87"/>
      <c r="P405" s="87"/>
      <c r="Q405" s="87"/>
      <c r="R405" s="87"/>
      <c r="S405" s="87"/>
      <c r="T405" s="88">
        <f>MIN($B$8,AVERAGE(U526:U527)/(1+J405+$D$8/10000))+$B$7</f>
        <v>66.53834142172397</v>
      </c>
      <c r="U405" s="88">
        <f t="shared" si="19"/>
        <v>80.534129677893333</v>
      </c>
    </row>
    <row r="406" spans="1:21" x14ac:dyDescent="0.35">
      <c r="A406" s="30"/>
      <c r="B406" s="4"/>
      <c r="C406" s="4"/>
      <c r="D406" s="4"/>
      <c r="E406" s="4"/>
      <c r="F406" s="4"/>
      <c r="G406" s="4"/>
      <c r="H406" s="17"/>
      <c r="J406" s="8">
        <f>I344*EXP(10*J$22)</f>
        <v>0.42920627406226847</v>
      </c>
      <c r="K406" s="8">
        <f>J344*EXP(10*K$22)</f>
        <v>0.5143050146139404</v>
      </c>
      <c r="L406" s="87"/>
      <c r="M406" s="87"/>
      <c r="N406" s="87"/>
      <c r="O406" s="87"/>
      <c r="P406" s="87"/>
      <c r="Q406" s="87"/>
      <c r="R406" s="87"/>
      <c r="S406" s="87"/>
      <c r="T406" s="88">
        <f>MIN($B$8,AVERAGE(U528:U529)/(1+J406+$D$8/10000))+$B$7</f>
        <v>66.495311189092263</v>
      </c>
      <c r="U406" s="88">
        <f t="shared" si="19"/>
        <v>80.629763206761993</v>
      </c>
    </row>
    <row r="407" spans="1:21" x14ac:dyDescent="0.35">
      <c r="A407" s="30"/>
      <c r="B407" s="4"/>
      <c r="C407" s="4"/>
      <c r="D407" s="4"/>
      <c r="E407" s="4"/>
      <c r="F407" s="4"/>
      <c r="G407" s="4"/>
      <c r="H407" s="17"/>
      <c r="J407" s="40">
        <f>(I344+$B$4)*EXP(10*$J$22)</f>
        <v>0.43172599254116695</v>
      </c>
      <c r="K407" s="40">
        <f>(J344+$B$4)*EXP(10*$K$22)</f>
        <v>0.51677978391642765</v>
      </c>
      <c r="L407" s="87"/>
      <c r="M407" s="87"/>
      <c r="N407" s="87"/>
      <c r="O407" s="87"/>
      <c r="P407" s="87"/>
      <c r="Q407" s="87"/>
      <c r="R407" s="87"/>
      <c r="S407" s="87"/>
      <c r="T407" s="88">
        <f>MIN($B$8,AVERAGE(U530:U531)/(1+J407+$D$8/10000))+$B$7</f>
        <v>66.471081079849654</v>
      </c>
      <c r="U407" s="88">
        <f t="shared" si="19"/>
        <v>80.490285388367681</v>
      </c>
    </row>
    <row r="408" spans="1:21" x14ac:dyDescent="0.35">
      <c r="A408" s="30"/>
      <c r="B408" s="4"/>
      <c r="C408" s="4"/>
      <c r="D408" s="4"/>
      <c r="E408" s="4"/>
      <c r="F408" s="4"/>
      <c r="G408" s="4"/>
      <c r="H408" s="17"/>
      <c r="J408" s="8">
        <f>I345*EXP(10*J$22)</f>
        <v>0.43235547005721853</v>
      </c>
      <c r="K408" s="8">
        <f>J345*EXP(10*K$22)</f>
        <v>0.51742287558518429</v>
      </c>
      <c r="L408" s="87"/>
      <c r="M408" s="87"/>
      <c r="N408" s="87"/>
      <c r="O408" s="87"/>
      <c r="P408" s="87"/>
      <c r="Q408" s="87"/>
      <c r="R408" s="87"/>
      <c r="S408" s="87"/>
      <c r="T408" s="88">
        <f>MIN($B$8,AVERAGE(U532:U533)/(1+J408+$D$8/10000))+$B$7</f>
        <v>66.306094739739478</v>
      </c>
      <c r="U408" s="88">
        <f t="shared" si="19"/>
        <v>80.454123863039612</v>
      </c>
    </row>
    <row r="409" spans="1:21" x14ac:dyDescent="0.35">
      <c r="A409" s="30"/>
      <c r="B409" s="4"/>
      <c r="C409" s="4"/>
      <c r="D409" s="4"/>
      <c r="E409" s="4"/>
      <c r="F409" s="4"/>
      <c r="G409" s="4"/>
      <c r="H409" s="17"/>
      <c r="J409" s="40">
        <f>(I345+$B$4)*EXP(10*$J$22)</f>
        <v>0.43487518853611695</v>
      </c>
      <c r="K409" s="40">
        <f>(J345+$B$4)*EXP(10*$K$22)</f>
        <v>0.51989764488767143</v>
      </c>
      <c r="L409" s="87"/>
      <c r="M409" s="87"/>
      <c r="N409" s="87"/>
      <c r="O409" s="87"/>
      <c r="P409" s="87"/>
      <c r="Q409" s="87"/>
      <c r="R409" s="87"/>
      <c r="S409" s="87"/>
      <c r="T409" s="88">
        <f>MIN($B$8,AVERAGE(U534:U535)/(1+J409+$D$8/10000))+$B$7</f>
        <v>66.149874212747363</v>
      </c>
      <c r="U409" s="88">
        <f t="shared" si="19"/>
        <v>80.315284113288712</v>
      </c>
    </row>
    <row r="410" spans="1:21" x14ac:dyDescent="0.35">
      <c r="A410" s="30"/>
      <c r="B410" s="4"/>
      <c r="C410" s="4"/>
      <c r="D410" s="4"/>
      <c r="E410" s="4"/>
      <c r="F410" s="4"/>
      <c r="G410" s="4"/>
      <c r="H410" s="17"/>
      <c r="J410" s="38"/>
      <c r="K410" s="8">
        <f>J346*EXP(10*K$22)</f>
        <v>0.5040134650687027</v>
      </c>
      <c r="L410" s="87"/>
      <c r="M410" s="87"/>
      <c r="N410" s="87"/>
      <c r="O410" s="87"/>
      <c r="P410" s="87"/>
      <c r="Q410" s="87"/>
      <c r="R410" s="87"/>
      <c r="S410" s="87"/>
      <c r="T410" s="87"/>
      <c r="U410" s="88">
        <f t="shared" ref="U410:U473" si="20">MIN($B$8,((100+$B$7)/(1+K410+$D$8/10000)))+$B$7</f>
        <v>81.215291966402674</v>
      </c>
    </row>
    <row r="411" spans="1:21" x14ac:dyDescent="0.35">
      <c r="A411" s="30"/>
      <c r="B411" s="4"/>
      <c r="C411" s="4"/>
      <c r="D411" s="4"/>
      <c r="E411" s="4"/>
      <c r="F411" s="4"/>
      <c r="G411" s="4"/>
      <c r="H411" s="17"/>
      <c r="K411" s="40">
        <f>(J346+$B$4)*EXP(10*$K$22)</f>
        <v>0.50648823437118984</v>
      </c>
      <c r="L411" s="87"/>
      <c r="M411" s="87"/>
      <c r="N411" s="87"/>
      <c r="O411" s="87"/>
      <c r="P411" s="87"/>
      <c r="Q411" s="87"/>
      <c r="R411" s="87"/>
      <c r="S411" s="87"/>
      <c r="T411" s="87"/>
      <c r="U411" s="88">
        <f t="shared" si="20"/>
        <v>81.073676471441047</v>
      </c>
    </row>
    <row r="412" spans="1:21" x14ac:dyDescent="0.35">
      <c r="A412" s="30"/>
      <c r="B412" s="4"/>
      <c r="C412" s="4"/>
      <c r="D412" s="4"/>
      <c r="E412" s="4"/>
      <c r="F412" s="4"/>
      <c r="G412" s="4"/>
      <c r="H412" s="17"/>
      <c r="K412" s="8">
        <f>J347*EXP(10*K$22)</f>
        <v>0.50713132603994648</v>
      </c>
      <c r="L412" s="87"/>
      <c r="M412" s="87"/>
      <c r="N412" s="87"/>
      <c r="O412" s="87"/>
      <c r="P412" s="87"/>
      <c r="Q412" s="87"/>
      <c r="R412" s="87"/>
      <c r="S412" s="87"/>
      <c r="T412" s="87"/>
      <c r="U412" s="88">
        <f t="shared" si="20"/>
        <v>81.03696136734213</v>
      </c>
    </row>
    <row r="413" spans="1:21" x14ac:dyDescent="0.35">
      <c r="A413" s="30"/>
      <c r="B413" s="4"/>
      <c r="C413" s="4"/>
      <c r="D413" s="4"/>
      <c r="E413" s="4"/>
      <c r="F413" s="4"/>
      <c r="G413" s="4"/>
      <c r="H413" s="17"/>
      <c r="K413" s="40">
        <f>(J347+$B$4)*EXP(10*$J$22)</f>
        <v>0.51886205882023329</v>
      </c>
      <c r="L413" s="87"/>
      <c r="M413" s="87"/>
      <c r="N413" s="87"/>
      <c r="O413" s="87"/>
      <c r="P413" s="87"/>
      <c r="Q413" s="87"/>
      <c r="R413" s="87"/>
      <c r="S413" s="87"/>
      <c r="T413" s="87"/>
      <c r="U413" s="88">
        <f t="shared" si="20"/>
        <v>80.373321261234537</v>
      </c>
    </row>
    <row r="414" spans="1:21" x14ac:dyDescent="0.35">
      <c r="A414" s="30"/>
      <c r="B414" s="4"/>
      <c r="C414" s="4"/>
      <c r="D414" s="4"/>
      <c r="E414" s="4"/>
      <c r="F414" s="4"/>
      <c r="G414" s="4"/>
      <c r="H414" s="17"/>
      <c r="K414" s="8">
        <f>J348*EXP(10*K$22)</f>
        <v>0.50791023185661166</v>
      </c>
      <c r="L414" s="87"/>
      <c r="M414" s="87"/>
      <c r="N414" s="87"/>
      <c r="O414" s="87"/>
      <c r="P414" s="87"/>
      <c r="Q414" s="87"/>
      <c r="R414" s="87"/>
      <c r="S414" s="87"/>
      <c r="T414" s="87"/>
      <c r="U414" s="88">
        <f t="shared" si="20"/>
        <v>80.992539235679189</v>
      </c>
    </row>
    <row r="415" spans="1:21" x14ac:dyDescent="0.35">
      <c r="A415" s="30"/>
      <c r="B415" s="4"/>
      <c r="C415" s="4"/>
      <c r="D415" s="4"/>
      <c r="E415" s="4"/>
      <c r="F415" s="4"/>
      <c r="G415" s="4"/>
      <c r="H415" s="17"/>
      <c r="K415" s="40">
        <f>(J348+$B$4)*EXP(10*$K$22)</f>
        <v>0.51038500115909891</v>
      </c>
      <c r="L415" s="87"/>
      <c r="M415" s="87"/>
      <c r="N415" s="87"/>
      <c r="O415" s="87"/>
      <c r="P415" s="87"/>
      <c r="Q415" s="87"/>
      <c r="R415" s="87"/>
      <c r="S415" s="87"/>
      <c r="T415" s="87"/>
      <c r="U415" s="88">
        <f t="shared" si="20"/>
        <v>80.851738889508056</v>
      </c>
    </row>
    <row r="416" spans="1:21" x14ac:dyDescent="0.35">
      <c r="A416" s="30"/>
      <c r="B416" s="4"/>
      <c r="C416" s="4"/>
      <c r="D416" s="4"/>
      <c r="E416" s="4"/>
      <c r="F416" s="4"/>
      <c r="G416" s="4"/>
      <c r="H416" s="17"/>
      <c r="K416" s="8">
        <f>J349*EXP(10*K$22)</f>
        <v>0.51102809282785555</v>
      </c>
      <c r="L416" s="87"/>
      <c r="M416" s="87"/>
      <c r="N416" s="87"/>
      <c r="O416" s="87"/>
      <c r="P416" s="87"/>
      <c r="Q416" s="87"/>
      <c r="R416" s="87"/>
      <c r="S416" s="87"/>
      <c r="T416" s="87"/>
      <c r="U416" s="88">
        <f t="shared" si="20"/>
        <v>80.815234876930504</v>
      </c>
    </row>
    <row r="417" spans="1:21" x14ac:dyDescent="0.35">
      <c r="A417" s="30"/>
      <c r="B417" s="4"/>
      <c r="C417" s="4"/>
      <c r="D417" s="4"/>
      <c r="E417" s="4"/>
      <c r="F417" s="4"/>
      <c r="G417" s="4"/>
      <c r="H417" s="17"/>
      <c r="K417" s="40">
        <f>(J349+$B$4)*EXP(10*$K$22)</f>
        <v>0.51350286213034269</v>
      </c>
      <c r="L417" s="87"/>
      <c r="M417" s="87"/>
      <c r="N417" s="87"/>
      <c r="O417" s="87"/>
      <c r="P417" s="87"/>
      <c r="Q417" s="87"/>
      <c r="R417" s="87"/>
      <c r="S417" s="87"/>
      <c r="T417" s="87"/>
      <c r="U417" s="88">
        <f t="shared" si="20"/>
        <v>80.675081685618366</v>
      </c>
    </row>
    <row r="418" spans="1:21" x14ac:dyDescent="0.35">
      <c r="A418" s="30"/>
      <c r="B418" s="4"/>
      <c r="C418" s="4"/>
      <c r="D418" s="4"/>
      <c r="E418" s="4"/>
      <c r="F418" s="4"/>
      <c r="G418" s="4"/>
      <c r="H418" s="17"/>
      <c r="K418" s="8">
        <f>J350*EXP(10*K$22)</f>
        <v>0.5087223313787872</v>
      </c>
      <c r="L418" s="87"/>
      <c r="M418" s="87"/>
      <c r="N418" s="87"/>
      <c r="O418" s="87"/>
      <c r="P418" s="87"/>
      <c r="Q418" s="87"/>
      <c r="R418" s="87"/>
      <c r="S418" s="87"/>
      <c r="T418" s="87"/>
      <c r="U418" s="88">
        <f t="shared" si="20"/>
        <v>80.946278537928265</v>
      </c>
    </row>
    <row r="419" spans="1:21" x14ac:dyDescent="0.35">
      <c r="A419" s="30"/>
      <c r="B419" s="4"/>
      <c r="C419" s="4"/>
      <c r="D419" s="4"/>
      <c r="E419" s="4"/>
      <c r="F419" s="4"/>
      <c r="G419" s="4"/>
      <c r="H419" s="17"/>
      <c r="K419" s="40">
        <f>(J350+$B$4)*EXP(10*$K$22)</f>
        <v>0.51119710068127444</v>
      </c>
      <c r="L419" s="87"/>
      <c r="M419" s="87"/>
      <c r="N419" s="87"/>
      <c r="O419" s="87"/>
      <c r="P419" s="87"/>
      <c r="Q419" s="87"/>
      <c r="R419" s="87"/>
      <c r="S419" s="87"/>
      <c r="T419" s="87"/>
      <c r="U419" s="88">
        <f t="shared" si="20"/>
        <v>80.805647185190651</v>
      </c>
    </row>
    <row r="420" spans="1:21" x14ac:dyDescent="0.35">
      <c r="A420" s="30"/>
      <c r="B420" s="4"/>
      <c r="C420" s="4"/>
      <c r="D420" s="4"/>
      <c r="E420" s="4"/>
      <c r="F420" s="4"/>
      <c r="G420" s="4"/>
      <c r="H420" s="17"/>
      <c r="K420" s="8">
        <f>J351*EXP(10*K$22)</f>
        <v>0.51184019235003109</v>
      </c>
      <c r="L420" s="87"/>
      <c r="M420" s="87"/>
      <c r="N420" s="87"/>
      <c r="O420" s="87"/>
      <c r="P420" s="87"/>
      <c r="Q420" s="87"/>
      <c r="R420" s="87"/>
      <c r="S420" s="87"/>
      <c r="T420" s="87"/>
      <c r="U420" s="88">
        <f t="shared" si="20"/>
        <v>80.769186935539338</v>
      </c>
    </row>
    <row r="421" spans="1:21" x14ac:dyDescent="0.35">
      <c r="A421" s="30"/>
      <c r="B421" s="4"/>
      <c r="C421" s="4"/>
      <c r="D421" s="4"/>
      <c r="E421" s="4"/>
      <c r="F421" s="4"/>
      <c r="G421" s="4"/>
      <c r="H421" s="17"/>
      <c r="K421" s="40">
        <f>(J351+$B$4)*EXP(10*$K$22)</f>
        <v>0.51431496165251822</v>
      </c>
      <c r="L421" s="87"/>
      <c r="M421" s="87"/>
      <c r="N421" s="87"/>
      <c r="O421" s="87"/>
      <c r="P421" s="87"/>
      <c r="Q421" s="87"/>
      <c r="R421" s="87"/>
      <c r="S421" s="87"/>
      <c r="T421" s="87"/>
      <c r="U421" s="88">
        <f t="shared" si="20"/>
        <v>80.629201574241478</v>
      </c>
    </row>
    <row r="422" spans="1:21" x14ac:dyDescent="0.35">
      <c r="A422" s="30"/>
      <c r="B422" s="4"/>
      <c r="C422" s="4"/>
      <c r="D422" s="4"/>
      <c r="E422" s="4"/>
      <c r="F422" s="4"/>
      <c r="G422" s="4"/>
      <c r="H422" s="17"/>
      <c r="K422" s="8">
        <f>J352*EXP(10*K$22)</f>
        <v>0.51261909816669615</v>
      </c>
      <c r="L422" s="87"/>
      <c r="M422" s="87"/>
      <c r="N422" s="87"/>
      <c r="O422" s="87"/>
      <c r="P422" s="87"/>
      <c r="Q422" s="87"/>
      <c r="R422" s="87"/>
      <c r="S422" s="87"/>
      <c r="T422" s="87"/>
      <c r="U422" s="88">
        <f t="shared" si="20"/>
        <v>80.725072994434541</v>
      </c>
    </row>
    <row r="423" spans="1:21" x14ac:dyDescent="0.35">
      <c r="A423" s="30"/>
      <c r="B423" s="4"/>
      <c r="C423" s="4"/>
      <c r="D423" s="4"/>
      <c r="E423" s="4"/>
      <c r="F423" s="4"/>
      <c r="G423" s="4"/>
      <c r="H423" s="17"/>
      <c r="K423" s="40">
        <f>(J352+$B$4)*EXP(10*$K$22)</f>
        <v>0.5150938674691834</v>
      </c>
      <c r="L423" s="87"/>
      <c r="M423" s="87"/>
      <c r="N423" s="87"/>
      <c r="O423" s="87"/>
      <c r="P423" s="87"/>
      <c r="Q423" s="87"/>
      <c r="R423" s="87"/>
      <c r="S423" s="87"/>
      <c r="T423" s="87"/>
      <c r="U423" s="88">
        <f t="shared" si="20"/>
        <v>80.585248320209885</v>
      </c>
    </row>
    <row r="424" spans="1:21" x14ac:dyDescent="0.35">
      <c r="A424" s="30"/>
      <c r="B424" s="4"/>
      <c r="C424" s="4"/>
      <c r="D424" s="4"/>
      <c r="E424" s="4"/>
      <c r="F424" s="4"/>
      <c r="G424" s="4"/>
      <c r="H424" s="17"/>
      <c r="K424" s="8">
        <f>J353*EXP(10*K$22)</f>
        <v>0.51573695913793993</v>
      </c>
      <c r="L424" s="87"/>
      <c r="M424" s="87"/>
      <c r="N424" s="87"/>
      <c r="O424" s="87"/>
      <c r="P424" s="87"/>
      <c r="Q424" s="87"/>
      <c r="R424" s="87"/>
      <c r="S424" s="87"/>
      <c r="T424" s="87"/>
      <c r="U424" s="88">
        <f t="shared" si="20"/>
        <v>80.548996971125362</v>
      </c>
    </row>
    <row r="425" spans="1:21" x14ac:dyDescent="0.35">
      <c r="A425" s="30"/>
      <c r="B425" s="4"/>
      <c r="C425" s="4"/>
      <c r="D425" s="4"/>
      <c r="E425" s="4"/>
      <c r="F425" s="4"/>
      <c r="G425" s="4"/>
      <c r="H425" s="17"/>
      <c r="K425" s="40">
        <f>(J353+$B$4)*EXP(10*$K$22)</f>
        <v>0.51821172844042718</v>
      </c>
      <c r="L425" s="87"/>
      <c r="M425" s="87"/>
      <c r="N425" s="87"/>
      <c r="O425" s="87"/>
      <c r="P425" s="87"/>
      <c r="Q425" s="87"/>
      <c r="R425" s="87"/>
      <c r="S425" s="87"/>
      <c r="T425" s="87"/>
      <c r="U425" s="88">
        <f t="shared" si="20"/>
        <v>80.409812744431349</v>
      </c>
    </row>
    <row r="426" spans="1:21" x14ac:dyDescent="0.35">
      <c r="A426" s="30"/>
      <c r="B426" s="4"/>
      <c r="C426" s="4"/>
      <c r="D426" s="4"/>
      <c r="E426" s="4"/>
      <c r="F426" s="4"/>
      <c r="G426" s="4"/>
      <c r="H426" s="17"/>
      <c r="K426" s="8">
        <f>J354*EXP(10*K$22)</f>
        <v>0.50994004425333161</v>
      </c>
      <c r="L426" s="87"/>
      <c r="M426" s="87"/>
      <c r="N426" s="87"/>
      <c r="O426" s="87"/>
      <c r="P426" s="87"/>
      <c r="Q426" s="87"/>
      <c r="R426" s="87"/>
      <c r="S426" s="87"/>
      <c r="T426" s="87"/>
      <c r="U426" s="88">
        <f t="shared" si="20"/>
        <v>80.877016430937019</v>
      </c>
    </row>
    <row r="427" spans="1:21" x14ac:dyDescent="0.35">
      <c r="A427" s="30"/>
      <c r="B427" s="4"/>
      <c r="C427" s="4"/>
      <c r="D427" s="4"/>
      <c r="E427" s="4"/>
      <c r="F427" s="4"/>
      <c r="G427" s="4"/>
      <c r="H427" s="17"/>
      <c r="K427" s="40">
        <f>(J354+$B$4)*EXP(10*$K$22)</f>
        <v>0.51241481355581886</v>
      </c>
      <c r="L427" s="87"/>
      <c r="M427" s="87"/>
      <c r="N427" s="87"/>
      <c r="O427" s="87"/>
      <c r="P427" s="87"/>
      <c r="Q427" s="87"/>
      <c r="R427" s="87"/>
      <c r="S427" s="87"/>
      <c r="T427" s="87"/>
      <c r="U427" s="88">
        <f t="shared" si="20"/>
        <v>80.73663790796742</v>
      </c>
    </row>
    <row r="428" spans="1:21" x14ac:dyDescent="0.35">
      <c r="A428" s="30"/>
      <c r="B428" s="4"/>
      <c r="C428" s="4"/>
      <c r="D428" s="4"/>
      <c r="E428" s="4"/>
      <c r="F428" s="4"/>
      <c r="G428" s="4"/>
      <c r="H428" s="17"/>
      <c r="K428" s="8">
        <f>J355*EXP(10*K$22)</f>
        <v>0.51305790522457551</v>
      </c>
      <c r="L428" s="87"/>
      <c r="M428" s="87"/>
      <c r="N428" s="87"/>
      <c r="O428" s="87"/>
      <c r="P428" s="87"/>
      <c r="Q428" s="87"/>
      <c r="R428" s="87"/>
      <c r="S428" s="87"/>
      <c r="T428" s="87"/>
      <c r="U428" s="88">
        <f t="shared" si="20"/>
        <v>80.700243131861058</v>
      </c>
    </row>
    <row r="429" spans="1:21" x14ac:dyDescent="0.35">
      <c r="A429" s="30"/>
      <c r="B429" s="4"/>
      <c r="C429" s="4"/>
      <c r="D429" s="4"/>
      <c r="E429" s="4"/>
      <c r="F429" s="4"/>
      <c r="G429" s="4"/>
      <c r="H429" s="17"/>
      <c r="K429" s="40">
        <f>(J355+$B$4)*EXP(10*$K$22)</f>
        <v>0.51553267452706264</v>
      </c>
      <c r="L429" s="87"/>
      <c r="M429" s="87"/>
      <c r="N429" s="87"/>
      <c r="O429" s="87"/>
      <c r="P429" s="87"/>
      <c r="Q429" s="87"/>
      <c r="R429" s="87"/>
      <c r="S429" s="87"/>
      <c r="T429" s="87"/>
      <c r="U429" s="88">
        <f t="shared" si="20"/>
        <v>80.560508861047651</v>
      </c>
    </row>
    <row r="430" spans="1:21" x14ac:dyDescent="0.35">
      <c r="A430" s="30"/>
      <c r="B430" s="4"/>
      <c r="C430" s="4"/>
      <c r="D430" s="4"/>
      <c r="E430" s="4"/>
      <c r="F430" s="4"/>
      <c r="G430" s="4"/>
      <c r="H430" s="17"/>
      <c r="K430" s="8">
        <f>J356*EXP(10*K$22)</f>
        <v>0.51383681104124068</v>
      </c>
      <c r="L430" s="87"/>
      <c r="M430" s="87"/>
      <c r="N430" s="87"/>
      <c r="O430" s="87"/>
      <c r="P430" s="87"/>
      <c r="Q430" s="87"/>
      <c r="R430" s="87"/>
      <c r="S430" s="87"/>
      <c r="T430" s="87"/>
      <c r="U430" s="88">
        <f t="shared" si="20"/>
        <v>80.656208366922272</v>
      </c>
    </row>
    <row r="431" spans="1:21" x14ac:dyDescent="0.35">
      <c r="A431" s="30"/>
      <c r="B431" s="4"/>
      <c r="C431" s="4"/>
      <c r="D431" s="4"/>
      <c r="E431" s="4"/>
      <c r="F431" s="4"/>
      <c r="G431" s="4"/>
      <c r="H431" s="17"/>
      <c r="K431" s="40">
        <f>(J356+$B$4)*EXP(10*$K$22)</f>
        <v>0.51631158034372782</v>
      </c>
      <c r="L431" s="87"/>
      <c r="M431" s="87"/>
      <c r="N431" s="87"/>
      <c r="O431" s="87"/>
      <c r="P431" s="87"/>
      <c r="Q431" s="87"/>
      <c r="R431" s="87"/>
      <c r="S431" s="87"/>
      <c r="T431" s="87"/>
      <c r="U431" s="88">
        <f t="shared" si="20"/>
        <v>80.516634351165294</v>
      </c>
    </row>
    <row r="432" spans="1:21" x14ac:dyDescent="0.35">
      <c r="A432" s="30"/>
      <c r="B432" s="4"/>
      <c r="C432" s="4"/>
      <c r="D432" s="4"/>
      <c r="E432" s="4"/>
      <c r="F432" s="4"/>
      <c r="G432" s="4"/>
      <c r="H432" s="17"/>
      <c r="K432" s="8">
        <f>J357*EXP(10*K$22)</f>
        <v>0.51695467201248446</v>
      </c>
      <c r="L432" s="87"/>
      <c r="M432" s="87"/>
      <c r="N432" s="87"/>
      <c r="O432" s="87"/>
      <c r="P432" s="87"/>
      <c r="Q432" s="87"/>
      <c r="R432" s="87"/>
      <c r="S432" s="87"/>
      <c r="T432" s="87"/>
      <c r="U432" s="88">
        <f t="shared" si="20"/>
        <v>80.480447913983127</v>
      </c>
    </row>
    <row r="433" spans="1:21" x14ac:dyDescent="0.35">
      <c r="A433" s="30"/>
      <c r="B433" s="4"/>
      <c r="C433" s="4"/>
      <c r="D433" s="4"/>
      <c r="E433" s="4"/>
      <c r="F433" s="4"/>
      <c r="G433" s="4"/>
      <c r="H433" s="17"/>
      <c r="K433" s="40">
        <f>(J357+$B$4)*EXP(10*$K$22)</f>
        <v>0.51942944131497171</v>
      </c>
      <c r="L433" s="87"/>
      <c r="M433" s="87"/>
      <c r="N433" s="87"/>
      <c r="O433" s="87"/>
      <c r="P433" s="87"/>
      <c r="Q433" s="87"/>
      <c r="R433" s="87"/>
      <c r="S433" s="87"/>
      <c r="T433" s="87"/>
      <c r="U433" s="88">
        <f t="shared" si="20"/>
        <v>80.341512626337902</v>
      </c>
    </row>
    <row r="434" spans="1:21" x14ac:dyDescent="0.35">
      <c r="A434" s="30"/>
      <c r="B434" s="4"/>
      <c r="C434" s="4"/>
      <c r="D434" s="4"/>
      <c r="E434" s="4"/>
      <c r="F434" s="4"/>
      <c r="G434" s="4"/>
      <c r="H434" s="17"/>
      <c r="K434" s="8">
        <f>J358*EXP(10*K$22)</f>
        <v>0.51464891056341622</v>
      </c>
      <c r="L434" s="87"/>
      <c r="M434" s="87"/>
      <c r="N434" s="87"/>
      <c r="O434" s="87"/>
      <c r="P434" s="87"/>
      <c r="Q434" s="87"/>
      <c r="R434" s="87"/>
      <c r="S434" s="87"/>
      <c r="T434" s="87"/>
      <c r="U434" s="88">
        <f t="shared" si="20"/>
        <v>80.610350832487839</v>
      </c>
    </row>
    <row r="435" spans="1:21" x14ac:dyDescent="0.35">
      <c r="A435" s="30"/>
      <c r="B435" s="4"/>
      <c r="C435" s="4"/>
      <c r="D435" s="4"/>
      <c r="E435" s="4"/>
      <c r="F435" s="4"/>
      <c r="G435" s="4"/>
      <c r="H435" s="17"/>
      <c r="K435" s="40">
        <f>(J358+$B$4)*EXP(10*$K$22)</f>
        <v>0.51712367986590346</v>
      </c>
      <c r="L435" s="87"/>
      <c r="M435" s="87"/>
      <c r="N435" s="87"/>
      <c r="O435" s="87"/>
      <c r="P435" s="87"/>
      <c r="Q435" s="87"/>
      <c r="R435" s="87"/>
      <c r="S435" s="87"/>
      <c r="T435" s="87"/>
      <c r="U435" s="88">
        <f t="shared" si="20"/>
        <v>80.470943607807428</v>
      </c>
    </row>
    <row r="436" spans="1:21" x14ac:dyDescent="0.35">
      <c r="A436" s="30"/>
      <c r="B436" s="4"/>
      <c r="C436" s="4"/>
      <c r="D436" s="4"/>
      <c r="E436" s="4"/>
      <c r="F436" s="4"/>
      <c r="G436" s="4"/>
      <c r="H436" s="17"/>
      <c r="K436" s="8">
        <f>J359*EXP(10*K$22)</f>
        <v>0.51776677153466011</v>
      </c>
      <c r="L436" s="87"/>
      <c r="M436" s="87"/>
      <c r="N436" s="87"/>
      <c r="O436" s="87"/>
      <c r="P436" s="87"/>
      <c r="Q436" s="87"/>
      <c r="R436" s="87"/>
      <c r="S436" s="87"/>
      <c r="T436" s="87"/>
      <c r="U436" s="88">
        <f t="shared" si="20"/>
        <v>80.434800363875624</v>
      </c>
    </row>
    <row r="437" spans="1:21" x14ac:dyDescent="0.35">
      <c r="A437" s="30"/>
      <c r="B437" s="4"/>
      <c r="C437" s="4"/>
      <c r="D437" s="4"/>
      <c r="E437" s="4"/>
      <c r="F437" s="4"/>
      <c r="G437" s="4"/>
      <c r="H437" s="17"/>
      <c r="K437" s="40">
        <f>(J359+$B$4)*EXP(10*$K$22)</f>
        <v>0.52024154083714735</v>
      </c>
      <c r="L437" s="87"/>
      <c r="M437" s="87"/>
      <c r="N437" s="87"/>
      <c r="O437" s="87"/>
      <c r="P437" s="87"/>
      <c r="Q437" s="87"/>
      <c r="R437" s="87"/>
      <c r="S437" s="87"/>
      <c r="T437" s="87"/>
      <c r="U437" s="88">
        <f t="shared" si="20"/>
        <v>80.296030724036697</v>
      </c>
    </row>
    <row r="438" spans="1:21" x14ac:dyDescent="0.35">
      <c r="A438" s="30"/>
      <c r="B438" s="4"/>
      <c r="C438" s="4"/>
      <c r="D438" s="4"/>
      <c r="E438" s="4"/>
      <c r="F438" s="4"/>
      <c r="G438" s="4"/>
      <c r="H438" s="17"/>
      <c r="K438" s="8">
        <f>J360*EXP(10*K$22)</f>
        <v>0.51854567735132528</v>
      </c>
      <c r="L438" s="87"/>
      <c r="M438" s="87"/>
      <c r="N438" s="87"/>
      <c r="O438" s="87"/>
      <c r="P438" s="87"/>
      <c r="Q438" s="87"/>
      <c r="R438" s="87"/>
      <c r="S438" s="87"/>
      <c r="T438" s="87"/>
      <c r="U438" s="88">
        <f t="shared" si="20"/>
        <v>80.3910697740275</v>
      </c>
    </row>
    <row r="439" spans="1:21" x14ac:dyDescent="0.35">
      <c r="A439" s="30"/>
      <c r="B439" s="4"/>
      <c r="C439" s="4"/>
      <c r="D439" s="4"/>
      <c r="E439" s="4"/>
      <c r="F439" s="4"/>
      <c r="G439" s="4"/>
      <c r="H439" s="17"/>
      <c r="K439" s="40">
        <f>(J360+$B$4)*EXP(10*$K$22)</f>
        <v>0.52102044665381253</v>
      </c>
      <c r="L439" s="87"/>
      <c r="M439" s="87"/>
      <c r="N439" s="87"/>
      <c r="O439" s="87"/>
      <c r="P439" s="87"/>
      <c r="Q439" s="87"/>
      <c r="R439" s="87"/>
      <c r="S439" s="87"/>
      <c r="T439" s="87"/>
      <c r="U439" s="88">
        <f t="shared" si="20"/>
        <v>80.252458733144593</v>
      </c>
    </row>
    <row r="440" spans="1:21" x14ac:dyDescent="0.35">
      <c r="A440" s="30"/>
      <c r="B440" s="4"/>
      <c r="C440" s="4"/>
      <c r="D440" s="4"/>
      <c r="E440" s="4"/>
      <c r="F440" s="4"/>
      <c r="G440" s="4"/>
      <c r="H440" s="17"/>
      <c r="K440" s="8">
        <f>J361*EXP(10*K$22)</f>
        <v>0.52166353832256918</v>
      </c>
      <c r="L440" s="87"/>
      <c r="M440" s="87"/>
      <c r="N440" s="87"/>
      <c r="O440" s="87"/>
      <c r="P440" s="87"/>
      <c r="Q440" s="87"/>
      <c r="R440" s="87"/>
      <c r="S440" s="87"/>
      <c r="T440" s="87"/>
      <c r="U440" s="88">
        <f t="shared" si="20"/>
        <v>80.216521675127126</v>
      </c>
    </row>
    <row r="441" spans="1:21" x14ac:dyDescent="0.35">
      <c r="A441" s="30"/>
      <c r="B441" s="4"/>
      <c r="C441" s="4"/>
      <c r="D441" s="4"/>
      <c r="E441" s="4"/>
      <c r="F441" s="4"/>
      <c r="G441" s="4"/>
      <c r="H441" s="17"/>
      <c r="K441" s="40">
        <f>(J361+$B$4)*EXP(10*$K$22)</f>
        <v>0.52413830762505631</v>
      </c>
      <c r="L441" s="87"/>
      <c r="M441" s="87"/>
      <c r="N441" s="87"/>
      <c r="O441" s="87"/>
      <c r="P441" s="87"/>
      <c r="Q441" s="87"/>
      <c r="R441" s="87"/>
      <c r="S441" s="87"/>
      <c r="T441" s="87"/>
      <c r="U441" s="88">
        <f t="shared" si="20"/>
        <v>80.078542771025482</v>
      </c>
    </row>
    <row r="442" spans="1:21" x14ac:dyDescent="0.35">
      <c r="A442" s="30"/>
      <c r="B442" s="4"/>
      <c r="C442" s="4"/>
      <c r="D442" s="4"/>
      <c r="E442" s="4"/>
      <c r="F442" s="4"/>
      <c r="G442" s="4"/>
      <c r="H442" s="17"/>
      <c r="K442" s="8">
        <f>J362*EXP(10*K$22)</f>
        <v>0.51127395405868037</v>
      </c>
      <c r="L442" s="87"/>
      <c r="M442" s="87"/>
      <c r="N442" s="87"/>
      <c r="O442" s="87"/>
      <c r="P442" s="87"/>
      <c r="Q442" s="87"/>
      <c r="R442" s="87"/>
      <c r="S442" s="87"/>
      <c r="T442" s="87"/>
      <c r="U442" s="88">
        <f t="shared" si="20"/>
        <v>80.801288140960281</v>
      </c>
    </row>
    <row r="443" spans="1:21" x14ac:dyDescent="0.35">
      <c r="A443" s="30"/>
      <c r="B443" s="4"/>
      <c r="C443" s="4"/>
      <c r="D443" s="4"/>
      <c r="E443" s="4"/>
      <c r="F443" s="4"/>
      <c r="G443" s="4"/>
      <c r="H443" s="17"/>
      <c r="K443" s="40">
        <f>(J362+$B$4)*EXP(10*$K$22)</f>
        <v>0.5137487233611675</v>
      </c>
      <c r="L443" s="87"/>
      <c r="M443" s="87"/>
      <c r="N443" s="87"/>
      <c r="O443" s="87"/>
      <c r="P443" s="87"/>
      <c r="Q443" s="87"/>
      <c r="R443" s="87"/>
      <c r="S443" s="87"/>
      <c r="T443" s="87"/>
      <c r="U443" s="88">
        <f t="shared" si="20"/>
        <v>80.661185791634153</v>
      </c>
    </row>
    <row r="444" spans="1:21" x14ac:dyDescent="0.35">
      <c r="A444" s="30"/>
      <c r="B444" s="4"/>
      <c r="C444" s="4"/>
      <c r="D444" s="4"/>
      <c r="E444" s="4"/>
      <c r="F444" s="4"/>
      <c r="G444" s="4"/>
      <c r="H444" s="17"/>
      <c r="K444" s="8">
        <f>J363*EXP(10*K$22)</f>
        <v>0.51439181502992415</v>
      </c>
      <c r="L444" s="87"/>
      <c r="M444" s="87"/>
      <c r="N444" s="87"/>
      <c r="O444" s="87"/>
      <c r="P444" s="87"/>
      <c r="Q444" s="87"/>
      <c r="R444" s="87"/>
      <c r="S444" s="87"/>
      <c r="T444" s="87"/>
      <c r="U444" s="88">
        <f t="shared" si="20"/>
        <v>80.624862534504487</v>
      </c>
    </row>
    <row r="445" spans="1:21" x14ac:dyDescent="0.35">
      <c r="A445" s="30"/>
      <c r="B445" s="4"/>
      <c r="C445" s="4"/>
      <c r="D445" s="4"/>
      <c r="E445" s="4"/>
      <c r="F445" s="4"/>
      <c r="G445" s="4"/>
      <c r="H445" s="17"/>
      <c r="K445" s="40">
        <f>(J363+$B$4)*EXP(10*$K$22)</f>
        <v>0.51686658433241139</v>
      </c>
      <c r="L445" s="87"/>
      <c r="M445" s="87"/>
      <c r="N445" s="87"/>
      <c r="O445" s="87"/>
      <c r="P445" s="87"/>
      <c r="Q445" s="87"/>
      <c r="R445" s="87"/>
      <c r="S445" s="87"/>
      <c r="T445" s="87"/>
      <c r="U445" s="88">
        <f t="shared" si="20"/>
        <v>80.485402539243125</v>
      </c>
    </row>
    <row r="446" spans="1:21" x14ac:dyDescent="0.35">
      <c r="A446" s="30"/>
      <c r="B446" s="4"/>
      <c r="C446" s="4"/>
      <c r="D446" s="4"/>
      <c r="E446" s="4"/>
      <c r="F446" s="4"/>
      <c r="G446" s="4"/>
      <c r="H446" s="17"/>
      <c r="K446" s="8">
        <f>J364*EXP(10*K$22)</f>
        <v>0.51517072084658933</v>
      </c>
      <c r="L446" s="87"/>
      <c r="M446" s="87"/>
      <c r="N446" s="87"/>
      <c r="O446" s="87"/>
      <c r="P446" s="87"/>
      <c r="Q446" s="87"/>
      <c r="R446" s="87"/>
      <c r="S446" s="87"/>
      <c r="T446" s="87"/>
      <c r="U446" s="88">
        <f t="shared" si="20"/>
        <v>80.580914256508748</v>
      </c>
    </row>
    <row r="447" spans="1:21" x14ac:dyDescent="0.35">
      <c r="A447" s="30"/>
      <c r="B447" s="4"/>
      <c r="C447" s="4"/>
      <c r="D447" s="4"/>
      <c r="E447" s="4"/>
      <c r="F447" s="4"/>
      <c r="G447" s="4"/>
      <c r="H447" s="17"/>
      <c r="K447" s="40">
        <f>(J364+$B$4)*EXP(10*$K$22)</f>
        <v>0.51764549014907657</v>
      </c>
      <c r="L447" s="87"/>
      <c r="M447" s="87"/>
      <c r="N447" s="87"/>
      <c r="O447" s="87"/>
      <c r="P447" s="87"/>
      <c r="Q447" s="87"/>
      <c r="R447" s="87"/>
      <c r="S447" s="87"/>
      <c r="T447" s="87"/>
      <c r="U447" s="88">
        <f t="shared" si="20"/>
        <v>80.441614044838502</v>
      </c>
    </row>
    <row r="448" spans="1:21" x14ac:dyDescent="0.35">
      <c r="A448" s="30"/>
      <c r="B448" s="4"/>
      <c r="C448" s="4"/>
      <c r="D448" s="4"/>
      <c r="E448" s="4"/>
      <c r="F448" s="4"/>
      <c r="G448" s="4"/>
      <c r="H448" s="17"/>
      <c r="K448" s="8">
        <f>J365*EXP(10*K$22)</f>
        <v>0.51828858181783322</v>
      </c>
      <c r="L448" s="87"/>
      <c r="M448" s="87"/>
      <c r="N448" s="87"/>
      <c r="O448" s="87"/>
      <c r="P448" s="87"/>
      <c r="Q448" s="87"/>
      <c r="R448" s="87"/>
      <c r="S448" s="87"/>
      <c r="T448" s="87"/>
      <c r="U448" s="88">
        <f t="shared" si="20"/>
        <v>80.405498513705552</v>
      </c>
    </row>
    <row r="449" spans="1:21" x14ac:dyDescent="0.35">
      <c r="A449" s="30"/>
      <c r="B449" s="4"/>
      <c r="C449" s="4"/>
      <c r="D449" s="4"/>
      <c r="E449" s="4"/>
      <c r="F449" s="4"/>
      <c r="G449" s="4"/>
      <c r="H449" s="17"/>
      <c r="K449" s="40">
        <f>(J365+$B$4)*EXP(10*$K$22)</f>
        <v>0.52076335112032046</v>
      </c>
      <c r="L449" s="87"/>
      <c r="M449" s="87"/>
      <c r="N449" s="87"/>
      <c r="O449" s="87"/>
      <c r="P449" s="87"/>
      <c r="Q449" s="87"/>
      <c r="R449" s="87"/>
      <c r="S449" s="87"/>
      <c r="T449" s="87"/>
      <c r="U449" s="88">
        <f t="shared" si="20"/>
        <v>80.266835153713942</v>
      </c>
    </row>
    <row r="450" spans="1:21" x14ac:dyDescent="0.35">
      <c r="A450" s="30"/>
      <c r="B450" s="4"/>
      <c r="C450" s="4"/>
      <c r="D450" s="4"/>
      <c r="E450" s="4"/>
      <c r="F450" s="4"/>
      <c r="G450" s="4"/>
      <c r="H450" s="17"/>
      <c r="K450" s="8">
        <f>J366*EXP(10*K$22)</f>
        <v>0.51598282036876486</v>
      </c>
      <c r="L450" s="87"/>
      <c r="M450" s="87"/>
      <c r="N450" s="87"/>
      <c r="O450" s="87"/>
      <c r="P450" s="87"/>
      <c r="Q450" s="87"/>
      <c r="R450" s="87"/>
      <c r="S450" s="87"/>
      <c r="T450" s="87"/>
      <c r="U450" s="88">
        <f t="shared" si="20"/>
        <v>80.535146736330518</v>
      </c>
    </row>
    <row r="451" spans="1:21" x14ac:dyDescent="0.35">
      <c r="A451" s="30"/>
      <c r="B451" s="4"/>
      <c r="C451" s="4"/>
      <c r="D451" s="4"/>
      <c r="E451" s="4"/>
      <c r="F451" s="4"/>
      <c r="G451" s="4"/>
      <c r="H451" s="17"/>
      <c r="K451" s="40">
        <f>(J366+$B$4)*EXP(10*$K$22)</f>
        <v>0.51845758967125211</v>
      </c>
      <c r="L451" s="87"/>
      <c r="M451" s="87"/>
      <c r="N451" s="87"/>
      <c r="O451" s="87"/>
      <c r="P451" s="87"/>
      <c r="Q451" s="87"/>
      <c r="R451" s="87"/>
      <c r="S451" s="87"/>
      <c r="T451" s="87"/>
      <c r="U451" s="88">
        <f t="shared" si="20"/>
        <v>80.396012825329606</v>
      </c>
    </row>
    <row r="452" spans="1:21" x14ac:dyDescent="0.35">
      <c r="A452" s="30"/>
      <c r="B452" s="4"/>
      <c r="C452" s="4"/>
      <c r="D452" s="4"/>
      <c r="E452" s="4"/>
      <c r="F452" s="4"/>
      <c r="G452" s="4"/>
      <c r="H452" s="17"/>
      <c r="K452" s="8">
        <f>J367*EXP(10*K$22)</f>
        <v>0.51910068134000875</v>
      </c>
      <c r="L452" s="87"/>
      <c r="M452" s="87"/>
      <c r="N452" s="87"/>
      <c r="O452" s="87"/>
      <c r="P452" s="87"/>
      <c r="Q452" s="87"/>
      <c r="R452" s="87"/>
      <c r="S452" s="87"/>
      <c r="T452" s="87"/>
      <c r="U452" s="88">
        <f t="shared" si="20"/>
        <v>80.359940360593527</v>
      </c>
    </row>
    <row r="453" spans="1:21" x14ac:dyDescent="0.35">
      <c r="A453" s="30"/>
      <c r="B453" s="4"/>
      <c r="C453" s="4"/>
      <c r="D453" s="4"/>
      <c r="E453" s="4"/>
      <c r="F453" s="4"/>
      <c r="G453" s="4"/>
      <c r="H453" s="17"/>
      <c r="K453" s="40">
        <f>(J367+$B$4)*EXP(10*$K$22)</f>
        <v>0.521575450642496</v>
      </c>
      <c r="L453" s="87"/>
      <c r="M453" s="87"/>
      <c r="N453" s="87"/>
      <c r="O453" s="87"/>
      <c r="P453" s="87"/>
      <c r="Q453" s="87"/>
      <c r="R453" s="87"/>
      <c r="S453" s="87"/>
      <c r="T453" s="87"/>
      <c r="U453" s="88">
        <f t="shared" si="20"/>
        <v>80.221442162475626</v>
      </c>
    </row>
    <row r="454" spans="1:21" x14ac:dyDescent="0.35">
      <c r="A454" s="30"/>
      <c r="B454" s="4"/>
      <c r="C454" s="4"/>
      <c r="D454" s="4"/>
      <c r="E454" s="4"/>
      <c r="F454" s="4"/>
      <c r="G454" s="4"/>
      <c r="H454" s="17"/>
      <c r="K454" s="8">
        <f>J368*EXP(10*K$22)</f>
        <v>0.51987958715667393</v>
      </c>
      <c r="L454" s="87"/>
      <c r="M454" s="87"/>
      <c r="N454" s="87"/>
      <c r="O454" s="87"/>
      <c r="P454" s="87"/>
      <c r="Q454" s="87"/>
      <c r="R454" s="87"/>
      <c r="S454" s="87"/>
      <c r="T454" s="87"/>
      <c r="U454" s="88">
        <f t="shared" si="20"/>
        <v>80.316295363546658</v>
      </c>
    </row>
    <row r="455" spans="1:21" x14ac:dyDescent="0.35">
      <c r="A455" s="30"/>
      <c r="B455" s="4"/>
      <c r="C455" s="4"/>
      <c r="D455" s="4"/>
      <c r="E455" s="4"/>
      <c r="F455" s="4"/>
      <c r="G455" s="4"/>
      <c r="H455" s="17"/>
      <c r="K455" s="40">
        <f>(J368+$B$4)*EXP(10*$K$22)</f>
        <v>0.52235435645916117</v>
      </c>
      <c r="L455" s="87"/>
      <c r="M455" s="87"/>
      <c r="N455" s="87"/>
      <c r="O455" s="87"/>
      <c r="P455" s="87"/>
      <c r="Q455" s="87"/>
      <c r="R455" s="87"/>
      <c r="S455" s="87"/>
      <c r="T455" s="87"/>
      <c r="U455" s="88">
        <f t="shared" si="20"/>
        <v>80.177955299401376</v>
      </c>
    </row>
    <row r="456" spans="1:21" x14ac:dyDescent="0.35">
      <c r="A456" s="30"/>
      <c r="B456" s="4"/>
      <c r="C456" s="4"/>
      <c r="D456" s="4"/>
      <c r="E456" s="4"/>
      <c r="F456" s="4"/>
      <c r="G456" s="4"/>
      <c r="H456" s="17"/>
      <c r="K456" s="8">
        <f>J369*EXP(10*K$22)</f>
        <v>0.52299744812791771</v>
      </c>
      <c r="L456" s="87"/>
      <c r="M456" s="87"/>
      <c r="N456" s="87"/>
      <c r="O456" s="87"/>
      <c r="P456" s="87"/>
      <c r="Q456" s="87"/>
      <c r="R456" s="87"/>
      <c r="S456" s="87"/>
      <c r="T456" s="87"/>
      <c r="U456" s="88">
        <f t="shared" si="20"/>
        <v>80.142088416078934</v>
      </c>
    </row>
    <row r="457" spans="1:21" x14ac:dyDescent="0.35">
      <c r="A457" s="30"/>
      <c r="B457" s="4"/>
      <c r="C457" s="4"/>
      <c r="D457" s="4"/>
      <c r="E457" s="4"/>
      <c r="F457" s="4"/>
      <c r="G457" s="4"/>
      <c r="H457" s="17"/>
      <c r="K457" s="40">
        <f>(J369+$B$4)*EXP(10*$K$22)</f>
        <v>0.52547221743040495</v>
      </c>
      <c r="L457" s="87"/>
      <c r="M457" s="87"/>
      <c r="N457" s="87"/>
      <c r="O457" s="87"/>
      <c r="P457" s="87"/>
      <c r="Q457" s="87"/>
      <c r="R457" s="87"/>
      <c r="S457" s="87"/>
      <c r="T457" s="87"/>
      <c r="U457" s="88">
        <f t="shared" si="20"/>
        <v>80.004378638043107</v>
      </c>
    </row>
    <row r="458" spans="1:21" x14ac:dyDescent="0.35">
      <c r="A458" s="30"/>
      <c r="B458" s="4"/>
      <c r="C458" s="4"/>
      <c r="D458" s="4"/>
      <c r="E458" s="4"/>
      <c r="F458" s="4"/>
      <c r="G458" s="4"/>
      <c r="H458" s="17"/>
      <c r="K458" s="8">
        <f>J370*EXP(10*K$22)</f>
        <v>0.51720053324330939</v>
      </c>
      <c r="L458" s="87"/>
      <c r="M458" s="87"/>
      <c r="N458" s="87"/>
      <c r="O458" s="87"/>
      <c r="P458" s="87"/>
      <c r="Q458" s="87"/>
      <c r="R458" s="87"/>
      <c r="S458" s="87"/>
      <c r="T458" s="87"/>
      <c r="U458" s="88">
        <f t="shared" si="20"/>
        <v>80.466622471406012</v>
      </c>
    </row>
    <row r="459" spans="1:21" x14ac:dyDescent="0.35">
      <c r="A459" s="30"/>
      <c r="B459" s="4"/>
      <c r="C459" s="4"/>
      <c r="D459" s="4"/>
      <c r="E459" s="4"/>
      <c r="F459" s="4"/>
      <c r="G459" s="4"/>
      <c r="H459" s="17"/>
      <c r="K459" s="40">
        <f>(J370+$B$4)*EXP(10*$K$22)</f>
        <v>0.51967530254579664</v>
      </c>
      <c r="L459" s="87"/>
      <c r="M459" s="87"/>
      <c r="N459" s="87"/>
      <c r="O459" s="87"/>
      <c r="P459" s="87"/>
      <c r="Q459" s="87"/>
      <c r="R459" s="87"/>
      <c r="S459" s="87"/>
      <c r="T459" s="87"/>
      <c r="U459" s="88">
        <f t="shared" si="20"/>
        <v>80.327737364537597</v>
      </c>
    </row>
    <row r="460" spans="1:21" x14ac:dyDescent="0.35">
      <c r="A460" s="30"/>
      <c r="B460" s="4"/>
      <c r="C460" s="4"/>
      <c r="D460" s="4"/>
      <c r="E460" s="4"/>
      <c r="F460" s="4"/>
      <c r="G460" s="4"/>
      <c r="H460" s="17"/>
      <c r="K460" s="8">
        <f>J371*EXP(10*K$22)</f>
        <v>0.52031839421455328</v>
      </c>
      <c r="L460" s="87"/>
      <c r="M460" s="87"/>
      <c r="N460" s="87"/>
      <c r="O460" s="87"/>
      <c r="P460" s="87"/>
      <c r="Q460" s="87"/>
      <c r="R460" s="87"/>
      <c r="S460" s="87"/>
      <c r="T460" s="87"/>
      <c r="U460" s="88">
        <f t="shared" si="20"/>
        <v>80.291729332043715</v>
      </c>
    </row>
    <row r="461" spans="1:21" x14ac:dyDescent="0.35">
      <c r="A461" s="30"/>
      <c r="B461" s="4"/>
      <c r="C461" s="4"/>
      <c r="D461" s="4"/>
      <c r="E461" s="4"/>
      <c r="F461" s="4"/>
      <c r="G461" s="4"/>
      <c r="H461" s="17"/>
      <c r="K461" s="40">
        <f>(J371+$B$4)*EXP(10*$K$22)</f>
        <v>0.52279316351704042</v>
      </c>
      <c r="L461" s="87"/>
      <c r="M461" s="87"/>
      <c r="N461" s="87"/>
      <c r="O461" s="87"/>
      <c r="P461" s="87"/>
      <c r="Q461" s="87"/>
      <c r="R461" s="87"/>
      <c r="S461" s="87"/>
      <c r="T461" s="87"/>
      <c r="U461" s="88">
        <f t="shared" si="20"/>
        <v>80.153478235559305</v>
      </c>
    </row>
    <row r="462" spans="1:21" x14ac:dyDescent="0.35">
      <c r="A462" s="30"/>
      <c r="B462" s="4"/>
      <c r="C462" s="4"/>
      <c r="D462" s="4"/>
      <c r="E462" s="4"/>
      <c r="F462" s="4"/>
      <c r="G462" s="4"/>
      <c r="H462" s="17"/>
      <c r="K462" s="8">
        <f>J372*EXP(10*K$22)</f>
        <v>0.52109730003121835</v>
      </c>
      <c r="L462" s="87"/>
      <c r="M462" s="87"/>
      <c r="N462" s="87"/>
      <c r="O462" s="87"/>
      <c r="P462" s="87"/>
      <c r="Q462" s="87"/>
      <c r="R462" s="87"/>
      <c r="S462" s="87"/>
      <c r="T462" s="87"/>
      <c r="U462" s="88">
        <f t="shared" si="20"/>
        <v>80.248162252584549</v>
      </c>
    </row>
    <row r="463" spans="1:21" x14ac:dyDescent="0.35">
      <c r="A463" s="30"/>
      <c r="B463" s="4"/>
      <c r="C463" s="4"/>
      <c r="D463" s="4"/>
      <c r="E463" s="4"/>
      <c r="F463" s="4"/>
      <c r="G463" s="4"/>
      <c r="H463" s="17"/>
      <c r="K463" s="40">
        <f>(J372+$B$4)*EXP(10*$K$22)</f>
        <v>0.52357206933370559</v>
      </c>
      <c r="L463" s="87"/>
      <c r="M463" s="87"/>
      <c r="N463" s="87"/>
      <c r="O463" s="87"/>
      <c r="P463" s="87"/>
      <c r="Q463" s="87"/>
      <c r="R463" s="87"/>
      <c r="S463" s="87"/>
      <c r="T463" s="87"/>
      <c r="U463" s="88">
        <f t="shared" si="20"/>
        <v>80.110068867179791</v>
      </c>
    </row>
    <row r="464" spans="1:21" x14ac:dyDescent="0.35">
      <c r="A464" s="30"/>
      <c r="B464" s="4"/>
      <c r="C464" s="4"/>
      <c r="D464" s="4"/>
      <c r="E464" s="4"/>
      <c r="F464" s="4"/>
      <c r="G464" s="4"/>
      <c r="H464" s="17"/>
      <c r="K464" s="8">
        <f>J373*EXP(10*K$22)</f>
        <v>0.52421516100246224</v>
      </c>
      <c r="L464" s="87"/>
      <c r="M464" s="87"/>
      <c r="N464" s="87"/>
      <c r="O464" s="87"/>
      <c r="P464" s="87"/>
      <c r="Q464" s="87"/>
      <c r="R464" s="87"/>
      <c r="S464" s="87"/>
      <c r="T464" s="87"/>
      <c r="U464" s="88">
        <f t="shared" si="20"/>
        <v>80.074265866318385</v>
      </c>
    </row>
    <row r="465" spans="1:21" x14ac:dyDescent="0.35">
      <c r="A465" s="30"/>
      <c r="B465" s="4"/>
      <c r="C465" s="4"/>
      <c r="D465" s="4"/>
      <c r="E465" s="4"/>
      <c r="F465" s="4"/>
      <c r="G465" s="4"/>
      <c r="H465" s="17"/>
      <c r="K465" s="40">
        <f>(J373+$B$4)*EXP(10*$K$22)</f>
        <v>0.52668993030494948</v>
      </c>
      <c r="L465" s="87"/>
      <c r="M465" s="87"/>
      <c r="N465" s="87"/>
      <c r="O465" s="87"/>
      <c r="P465" s="87"/>
      <c r="Q465" s="87"/>
      <c r="R465" s="87"/>
      <c r="S465" s="87"/>
      <c r="T465" s="87"/>
      <c r="U465" s="88">
        <f t="shared" si="20"/>
        <v>79.93680108386576</v>
      </c>
    </row>
    <row r="466" spans="1:21" x14ac:dyDescent="0.35">
      <c r="A466" s="30"/>
      <c r="B466" s="4"/>
      <c r="C466" s="4"/>
      <c r="D466" s="4"/>
      <c r="E466" s="4"/>
      <c r="F466" s="4"/>
      <c r="G466" s="4"/>
      <c r="H466" s="17"/>
      <c r="K466" s="8">
        <f>J374*EXP(10*K$22)</f>
        <v>0.52190939955339399</v>
      </c>
      <c r="L466" s="87"/>
      <c r="M466" s="87"/>
      <c r="N466" s="87"/>
      <c r="O466" s="87"/>
      <c r="P466" s="87"/>
      <c r="Q466" s="87"/>
      <c r="R466" s="87"/>
      <c r="S466" s="87"/>
      <c r="T466" s="87"/>
      <c r="U466" s="88">
        <f t="shared" si="20"/>
        <v>80.202791479731175</v>
      </c>
    </row>
    <row r="467" spans="1:21" x14ac:dyDescent="0.35">
      <c r="A467" s="30"/>
      <c r="B467" s="4"/>
      <c r="C467" s="4"/>
      <c r="D467" s="4"/>
      <c r="E467" s="4"/>
      <c r="F467" s="4"/>
      <c r="G467" s="4"/>
      <c r="H467" s="17"/>
      <c r="K467" s="40">
        <f>(J374+$B$4)*EXP(10*$K$22)</f>
        <v>0.52438416885588113</v>
      </c>
      <c r="L467" s="87"/>
      <c r="M467" s="87"/>
      <c r="N467" s="87"/>
      <c r="O467" s="87"/>
      <c r="P467" s="87"/>
      <c r="Q467" s="87"/>
      <c r="R467" s="87"/>
      <c r="S467" s="87"/>
      <c r="T467" s="87"/>
      <c r="U467" s="88">
        <f t="shared" si="20"/>
        <v>80.064862239204018</v>
      </c>
    </row>
    <row r="468" spans="1:21" x14ac:dyDescent="0.35">
      <c r="A468" s="30"/>
      <c r="B468" s="4"/>
      <c r="C468" s="4"/>
      <c r="D468" s="4"/>
      <c r="E468" s="4"/>
      <c r="F468" s="4"/>
      <c r="G468" s="4"/>
      <c r="H468" s="17"/>
      <c r="K468" s="8">
        <f>J375*EXP(10*K$22)</f>
        <v>0.52502726052463777</v>
      </c>
      <c r="L468" s="87"/>
      <c r="M468" s="87"/>
      <c r="N468" s="87"/>
      <c r="O468" s="87"/>
      <c r="P468" s="87"/>
      <c r="Q468" s="87"/>
      <c r="R468" s="87"/>
      <c r="S468" s="87"/>
      <c r="T468" s="87"/>
      <c r="U468" s="88">
        <f t="shared" si="20"/>
        <v>80.029101747094856</v>
      </c>
    </row>
    <row r="469" spans="1:21" x14ac:dyDescent="0.35">
      <c r="A469" s="30"/>
      <c r="B469" s="4"/>
      <c r="C469" s="4"/>
      <c r="D469" s="4"/>
      <c r="E469" s="4"/>
      <c r="F469" s="4"/>
      <c r="G469" s="4"/>
      <c r="H469" s="17"/>
      <c r="K469" s="40">
        <f>(J375+$B$4)*EXP(10*$K$22)</f>
        <v>0.52750202982712502</v>
      </c>
      <c r="L469" s="87"/>
      <c r="M469" s="87"/>
      <c r="N469" s="87"/>
      <c r="O469" s="87"/>
      <c r="P469" s="87"/>
      <c r="Q469" s="87"/>
      <c r="R469" s="87"/>
      <c r="S469" s="87"/>
      <c r="T469" s="87"/>
      <c r="U469" s="88">
        <f t="shared" si="20"/>
        <v>79.891799990342619</v>
      </c>
    </row>
    <row r="470" spans="1:21" x14ac:dyDescent="0.35">
      <c r="A470" s="30"/>
      <c r="B470" s="4"/>
      <c r="C470" s="4"/>
      <c r="D470" s="4"/>
      <c r="E470" s="4"/>
      <c r="F470" s="4"/>
      <c r="G470" s="4"/>
      <c r="H470" s="17"/>
      <c r="K470" s="8">
        <f>J376*EXP(10*K$22)</f>
        <v>0.52580616634130295</v>
      </c>
      <c r="L470" s="87"/>
      <c r="M470" s="87"/>
      <c r="N470" s="87"/>
      <c r="O470" s="87"/>
      <c r="P470" s="87"/>
      <c r="Q470" s="87"/>
      <c r="R470" s="87"/>
      <c r="S470" s="87"/>
      <c r="T470" s="87"/>
      <c r="U470" s="88">
        <f t="shared" si="20"/>
        <v>79.985834017997945</v>
      </c>
    </row>
    <row r="471" spans="1:21" x14ac:dyDescent="0.35">
      <c r="A471" s="30"/>
      <c r="B471" s="4"/>
      <c r="C471" s="4"/>
      <c r="D471" s="4"/>
      <c r="E471" s="4"/>
      <c r="F471" s="4"/>
      <c r="G471" s="4"/>
      <c r="H471" s="17"/>
      <c r="K471" s="40">
        <f>(J376+$B$4)*EXP(10*$K$22)</f>
        <v>0.52828093564379019</v>
      </c>
      <c r="L471" s="87"/>
      <c r="M471" s="87"/>
      <c r="N471" s="87"/>
      <c r="O471" s="87"/>
      <c r="P471" s="87"/>
      <c r="Q471" s="87"/>
      <c r="R471" s="87"/>
      <c r="S471" s="87"/>
      <c r="T471" s="87"/>
      <c r="U471" s="88">
        <f t="shared" si="20"/>
        <v>79.848688351125517</v>
      </c>
    </row>
    <row r="472" spans="1:21" x14ac:dyDescent="0.35">
      <c r="A472" s="30"/>
      <c r="B472" s="4"/>
      <c r="C472" s="4"/>
      <c r="D472" s="4"/>
      <c r="E472" s="4"/>
      <c r="F472" s="4"/>
      <c r="G472" s="4"/>
      <c r="H472" s="17"/>
      <c r="K472" s="8">
        <f>J377*EXP(10*K$22)</f>
        <v>0.52892402731254684</v>
      </c>
      <c r="L472" s="87"/>
      <c r="M472" s="87"/>
      <c r="N472" s="87"/>
      <c r="O472" s="87"/>
      <c r="P472" s="87"/>
      <c r="Q472" s="87"/>
      <c r="R472" s="87"/>
      <c r="S472" s="87"/>
      <c r="T472" s="87"/>
      <c r="U472" s="88">
        <f t="shared" si="20"/>
        <v>79.813130783011374</v>
      </c>
    </row>
    <row r="473" spans="1:21" x14ac:dyDescent="0.35">
      <c r="A473" s="30"/>
      <c r="B473" s="4"/>
      <c r="C473" s="4"/>
      <c r="D473" s="4"/>
      <c r="E473" s="4"/>
      <c r="F473" s="4"/>
      <c r="G473" s="4"/>
      <c r="H473" s="17"/>
      <c r="K473" s="40">
        <f>(J377+$B$4)*EXP(10*$K$22)</f>
        <v>0.53139879661503397</v>
      </c>
      <c r="L473" s="87"/>
      <c r="M473" s="87"/>
      <c r="N473" s="87"/>
      <c r="O473" s="87"/>
      <c r="P473" s="87"/>
      <c r="Q473" s="87"/>
      <c r="R473" s="87"/>
      <c r="S473" s="87"/>
      <c r="T473" s="87"/>
      <c r="U473" s="88">
        <f t="shared" si="20"/>
        <v>79.676607266469802</v>
      </c>
    </row>
    <row r="474" spans="1:21" x14ac:dyDescent="0.35">
      <c r="A474" s="30"/>
      <c r="B474" s="4"/>
      <c r="C474" s="4"/>
      <c r="D474" s="4"/>
      <c r="E474" s="4"/>
      <c r="F474" s="4"/>
      <c r="G474" s="4"/>
      <c r="H474" s="17"/>
      <c r="K474" s="8">
        <f>J378*EXP(10*K$22)</f>
        <v>0.51319732125741402</v>
      </c>
      <c r="L474" s="87"/>
      <c r="M474" s="87"/>
      <c r="N474" s="87"/>
      <c r="O474" s="87"/>
      <c r="P474" s="87"/>
      <c r="Q474" s="87"/>
      <c r="R474" s="87"/>
      <c r="S474" s="87"/>
      <c r="T474" s="87"/>
      <c r="U474" s="88">
        <f t="shared" ref="U474:U537" si="21">MIN($B$8,((100+$B$7)/(1+K474+$D$8/10000)))+$B$7</f>
        <v>80.69235765047857</v>
      </c>
    </row>
    <row r="475" spans="1:21" x14ac:dyDescent="0.35">
      <c r="A475" s="30"/>
      <c r="B475" s="4"/>
      <c r="C475" s="4"/>
      <c r="D475" s="4"/>
      <c r="E475" s="4"/>
      <c r="F475" s="4"/>
      <c r="G475" s="4"/>
      <c r="H475" s="17"/>
      <c r="K475" s="40">
        <f>(J378+$B$4)*EXP(10*$K$22)</f>
        <v>0.51567209055990126</v>
      </c>
      <c r="L475" s="87"/>
      <c r="M475" s="87"/>
      <c r="N475" s="87"/>
      <c r="O475" s="87"/>
      <c r="P475" s="87"/>
      <c r="Q475" s="87"/>
      <c r="R475" s="87"/>
      <c r="S475" s="87"/>
      <c r="T475" s="87"/>
      <c r="U475" s="88">
        <f t="shared" si="21"/>
        <v>80.552652083924812</v>
      </c>
    </row>
    <row r="476" spans="1:21" x14ac:dyDescent="0.35">
      <c r="A476" s="30"/>
      <c r="B476" s="4"/>
      <c r="C476" s="4"/>
      <c r="D476" s="4"/>
      <c r="E476" s="4"/>
      <c r="F476" s="4"/>
      <c r="G476" s="4"/>
      <c r="H476" s="17"/>
      <c r="K476" s="8">
        <f>J379*EXP(10*K$22)</f>
        <v>0.51631518222865791</v>
      </c>
      <c r="L476" s="87"/>
      <c r="M476" s="87"/>
      <c r="N476" s="87"/>
      <c r="O476" s="87"/>
      <c r="P476" s="87"/>
      <c r="Q476" s="87"/>
      <c r="R476" s="87"/>
      <c r="S476" s="87"/>
      <c r="T476" s="87"/>
      <c r="U476" s="88">
        <f t="shared" si="21"/>
        <v>80.516431579596116</v>
      </c>
    </row>
    <row r="477" spans="1:21" x14ac:dyDescent="0.35">
      <c r="A477" s="30"/>
      <c r="B477" s="4"/>
      <c r="C477" s="4"/>
      <c r="D477" s="4"/>
      <c r="E477" s="4"/>
      <c r="F477" s="4"/>
      <c r="G477" s="4"/>
      <c r="H477" s="17"/>
      <c r="K477" s="40">
        <f>(J379+$B$4)*EXP(10*$K$22)</f>
        <v>0.51878995153114515</v>
      </c>
      <c r="L477" s="87"/>
      <c r="M477" s="87"/>
      <c r="N477" s="87"/>
      <c r="O477" s="87"/>
      <c r="P477" s="87"/>
      <c r="Q477" s="87"/>
      <c r="R477" s="87"/>
      <c r="S477" s="87"/>
      <c r="T477" s="87"/>
      <c r="U477" s="88">
        <f t="shared" si="21"/>
        <v>80.37736564334962</v>
      </c>
    </row>
    <row r="478" spans="1:21" x14ac:dyDescent="0.35">
      <c r="A478" s="30"/>
      <c r="B478" s="4"/>
      <c r="C478" s="4"/>
      <c r="D478" s="4"/>
      <c r="E478" s="4"/>
      <c r="F478" s="4"/>
      <c r="G478" s="4"/>
      <c r="H478" s="17"/>
      <c r="K478" s="8">
        <f>J380*EXP(10*K$22)</f>
        <v>0.51709408804532309</v>
      </c>
      <c r="L478" s="87"/>
      <c r="M478" s="87"/>
      <c r="N478" s="87"/>
      <c r="O478" s="87"/>
      <c r="P478" s="87"/>
      <c r="Q478" s="87"/>
      <c r="R478" s="87"/>
      <c r="S478" s="87"/>
      <c r="T478" s="87"/>
      <c r="U478" s="88">
        <f t="shared" si="21"/>
        <v>80.472607559424034</v>
      </c>
    </row>
    <row r="479" spans="1:21" x14ac:dyDescent="0.35">
      <c r="A479" s="30"/>
      <c r="B479" s="4"/>
      <c r="C479" s="4"/>
      <c r="D479" s="4"/>
      <c r="E479" s="4"/>
      <c r="F479" s="4"/>
      <c r="G479" s="4"/>
      <c r="H479" s="17"/>
      <c r="K479" s="40">
        <f>(J380+$B$4)*EXP(10*$K$22)</f>
        <v>0.51956885734781033</v>
      </c>
      <c r="L479" s="87"/>
      <c r="M479" s="87"/>
      <c r="N479" s="87"/>
      <c r="O479" s="87"/>
      <c r="P479" s="87"/>
      <c r="Q479" s="87"/>
      <c r="R479" s="87"/>
      <c r="S479" s="87"/>
      <c r="T479" s="87"/>
      <c r="U479" s="88">
        <f t="shared" si="21"/>
        <v>80.333700730212186</v>
      </c>
    </row>
    <row r="480" spans="1:21" x14ac:dyDescent="0.35">
      <c r="A480" s="30"/>
      <c r="B480" s="4"/>
      <c r="C480" s="4"/>
      <c r="D480" s="4"/>
      <c r="E480" s="4"/>
      <c r="F480" s="4"/>
      <c r="G480" s="4"/>
      <c r="H480" s="17"/>
      <c r="K480" s="8">
        <f>J381*EXP(10*K$22)</f>
        <v>0.52021194901656698</v>
      </c>
      <c r="L480" s="87"/>
      <c r="M480" s="87"/>
      <c r="N480" s="87"/>
      <c r="O480" s="87"/>
      <c r="P480" s="87"/>
      <c r="Q480" s="87"/>
      <c r="R480" s="87"/>
      <c r="S480" s="87"/>
      <c r="T480" s="87"/>
      <c r="U480" s="88">
        <f t="shared" si="21"/>
        <v>80.297687072324351</v>
      </c>
    </row>
    <row r="481" spans="1:21" x14ac:dyDescent="0.35">
      <c r="A481" s="30"/>
      <c r="B481" s="4"/>
      <c r="C481" s="4"/>
      <c r="D481" s="4"/>
      <c r="E481" s="4"/>
      <c r="F481" s="4"/>
      <c r="G481" s="4"/>
      <c r="H481" s="17"/>
      <c r="K481" s="40">
        <f>(J381+$B$4)*EXP(10*$K$22)</f>
        <v>0.52268671831905411</v>
      </c>
      <c r="L481" s="87"/>
      <c r="M481" s="87"/>
      <c r="N481" s="87"/>
      <c r="O481" s="87"/>
      <c r="P481" s="87"/>
      <c r="Q481" s="87"/>
      <c r="R481" s="87"/>
      <c r="S481" s="87"/>
      <c r="T481" s="87"/>
      <c r="U481" s="88">
        <f t="shared" si="21"/>
        <v>80.159414402076138</v>
      </c>
    </row>
    <row r="482" spans="1:21" x14ac:dyDescent="0.35">
      <c r="A482" s="30"/>
      <c r="B482" s="4"/>
      <c r="C482" s="4"/>
      <c r="D482" s="4"/>
      <c r="E482" s="4"/>
      <c r="F482" s="4"/>
      <c r="G482" s="4"/>
      <c r="H482" s="17"/>
      <c r="K482" s="8">
        <f>J382*EXP(10*K$22)</f>
        <v>0.51790618756749873</v>
      </c>
      <c r="L482" s="87"/>
      <c r="M482" s="87"/>
      <c r="N482" s="87"/>
      <c r="O482" s="87"/>
      <c r="P482" s="87"/>
      <c r="Q482" s="87"/>
      <c r="R482" s="87"/>
      <c r="S482" s="87"/>
      <c r="T482" s="87"/>
      <c r="U482" s="88">
        <f t="shared" si="21"/>
        <v>80.426969365115568</v>
      </c>
    </row>
    <row r="483" spans="1:21" x14ac:dyDescent="0.35">
      <c r="A483" s="30"/>
      <c r="B483" s="4"/>
      <c r="C483" s="4"/>
      <c r="D483" s="4"/>
      <c r="E483" s="4"/>
      <c r="F483" s="4"/>
      <c r="G483" s="4"/>
      <c r="H483" s="17"/>
      <c r="K483" s="40">
        <f>(J382+$B$4)*EXP(10*$K$22)</f>
        <v>0.52038095686998587</v>
      </c>
      <c r="L483" s="87"/>
      <c r="M483" s="87"/>
      <c r="N483" s="87"/>
      <c r="O483" s="87"/>
      <c r="P483" s="87"/>
      <c r="Q483" s="87"/>
      <c r="R483" s="87"/>
      <c r="S483" s="87"/>
      <c r="T483" s="87"/>
      <c r="U483" s="88">
        <f t="shared" si="21"/>
        <v>80.288228132832742</v>
      </c>
    </row>
    <row r="484" spans="1:21" x14ac:dyDescent="0.35">
      <c r="A484" s="30"/>
      <c r="B484" s="4"/>
      <c r="C484" s="4"/>
      <c r="D484" s="4"/>
      <c r="E484" s="4"/>
      <c r="F484" s="4"/>
      <c r="G484" s="4"/>
      <c r="H484" s="17"/>
      <c r="K484" s="8">
        <f>J383*EXP(10*K$22)</f>
        <v>0.52102404853874251</v>
      </c>
      <c r="L484" s="87"/>
      <c r="M484" s="87"/>
      <c r="N484" s="87"/>
      <c r="O484" s="87"/>
      <c r="P484" s="87"/>
      <c r="Q484" s="87"/>
      <c r="R484" s="87"/>
      <c r="S484" s="87"/>
      <c r="T484" s="87"/>
      <c r="U484" s="88">
        <f t="shared" si="21"/>
        <v>80.252257359304551</v>
      </c>
    </row>
    <row r="485" spans="1:21" x14ac:dyDescent="0.35">
      <c r="A485" s="30"/>
      <c r="B485" s="4"/>
      <c r="C485" s="4"/>
      <c r="D485" s="4"/>
      <c r="E485" s="4"/>
      <c r="F485" s="4"/>
      <c r="G485" s="4"/>
      <c r="H485" s="17"/>
      <c r="K485" s="40">
        <f>(J383+$B$4)*EXP(10*$K$22)</f>
        <v>0.52349881784122976</v>
      </c>
      <c r="L485" s="87"/>
      <c r="M485" s="87"/>
      <c r="N485" s="87"/>
      <c r="O485" s="87"/>
      <c r="P485" s="87"/>
      <c r="Q485" s="87"/>
      <c r="R485" s="87"/>
      <c r="S485" s="87"/>
      <c r="T485" s="87"/>
      <c r="U485" s="88">
        <f t="shared" si="21"/>
        <v>80.114149153603307</v>
      </c>
    </row>
    <row r="486" spans="1:21" x14ac:dyDescent="0.35">
      <c r="A486" s="30"/>
      <c r="B486" s="4"/>
      <c r="C486" s="4"/>
      <c r="D486" s="4"/>
      <c r="E486" s="4"/>
      <c r="F486" s="4"/>
      <c r="G486" s="4"/>
      <c r="H486" s="17"/>
      <c r="K486" s="8">
        <f>J384*EXP(10*K$22)</f>
        <v>0.52180295435540769</v>
      </c>
      <c r="L486" s="87"/>
      <c r="M486" s="87"/>
      <c r="N486" s="87"/>
      <c r="O486" s="87"/>
      <c r="P486" s="87"/>
      <c r="Q486" s="87"/>
      <c r="R486" s="87"/>
      <c r="S486" s="87"/>
      <c r="T486" s="87"/>
      <c r="U486" s="88">
        <f t="shared" si="21"/>
        <v>80.208735336975707</v>
      </c>
    </row>
    <row r="487" spans="1:21" x14ac:dyDescent="0.35">
      <c r="A487" s="30"/>
      <c r="B487" s="4"/>
      <c r="C487" s="4"/>
      <c r="D487" s="4"/>
      <c r="E487" s="4"/>
      <c r="F487" s="4"/>
      <c r="G487" s="4"/>
      <c r="H487" s="17"/>
      <c r="K487" s="40">
        <f>(J384+$B$4)*EXP(10*$K$22)</f>
        <v>0.52427772365789493</v>
      </c>
      <c r="L487" s="87"/>
      <c r="M487" s="87"/>
      <c r="N487" s="87"/>
      <c r="O487" s="87"/>
      <c r="P487" s="87"/>
      <c r="Q487" s="87"/>
      <c r="R487" s="87"/>
      <c r="S487" s="87"/>
      <c r="T487" s="87"/>
      <c r="U487" s="88">
        <f t="shared" si="21"/>
        <v>80.070784597981159</v>
      </c>
    </row>
    <row r="488" spans="1:21" x14ac:dyDescent="0.35">
      <c r="A488" s="30"/>
      <c r="B488" s="4"/>
      <c r="C488" s="4"/>
      <c r="D488" s="4"/>
      <c r="E488" s="4"/>
      <c r="F488" s="4"/>
      <c r="G488" s="4"/>
      <c r="H488" s="17"/>
      <c r="K488" s="8">
        <f>J385*EXP(10*K$22)</f>
        <v>0.52492081532665158</v>
      </c>
      <c r="L488" s="87"/>
      <c r="M488" s="87"/>
      <c r="N488" s="87"/>
      <c r="O488" s="87"/>
      <c r="P488" s="87"/>
      <c r="Q488" s="87"/>
      <c r="R488" s="87"/>
      <c r="S488" s="87"/>
      <c r="T488" s="87"/>
      <c r="U488" s="88">
        <f t="shared" si="21"/>
        <v>80.035018538388883</v>
      </c>
    </row>
    <row r="489" spans="1:21" x14ac:dyDescent="0.35">
      <c r="A489" s="30"/>
      <c r="B489" s="4"/>
      <c r="C489" s="4"/>
      <c r="D489" s="4"/>
      <c r="E489" s="4"/>
      <c r="F489" s="4"/>
      <c r="G489" s="4"/>
      <c r="H489" s="17"/>
      <c r="K489" s="40">
        <f>(J385+$B$4)*EXP(10*$K$22)</f>
        <v>0.52739558462913871</v>
      </c>
      <c r="L489" s="87"/>
      <c r="M489" s="87"/>
      <c r="N489" s="87"/>
      <c r="O489" s="87"/>
      <c r="P489" s="87"/>
      <c r="Q489" s="87"/>
      <c r="R489" s="87"/>
      <c r="S489" s="87"/>
      <c r="T489" s="87"/>
      <c r="U489" s="88">
        <f t="shared" si="21"/>
        <v>79.897695429713011</v>
      </c>
    </row>
    <row r="490" spans="1:21" x14ac:dyDescent="0.35">
      <c r="A490" s="30"/>
      <c r="B490" s="4"/>
      <c r="C490" s="4"/>
      <c r="D490" s="4"/>
      <c r="E490" s="4"/>
      <c r="F490" s="4"/>
      <c r="G490" s="4"/>
      <c r="H490" s="17"/>
      <c r="K490" s="8">
        <f>J386*EXP(10*K$22)</f>
        <v>0.51912390044204304</v>
      </c>
      <c r="L490" s="87"/>
      <c r="M490" s="87"/>
      <c r="N490" s="87"/>
      <c r="O490" s="87"/>
      <c r="P490" s="87"/>
      <c r="Q490" s="87"/>
      <c r="R490" s="87"/>
      <c r="S490" s="87"/>
      <c r="T490" s="87"/>
      <c r="U490" s="88">
        <f t="shared" si="21"/>
        <v>80.358638585860177</v>
      </c>
    </row>
    <row r="491" spans="1:21" x14ac:dyDescent="0.35">
      <c r="A491" s="30"/>
      <c r="B491" s="4"/>
      <c r="C491" s="4"/>
      <c r="D491" s="4"/>
      <c r="E491" s="4"/>
      <c r="F491" s="4"/>
      <c r="G491" s="4"/>
      <c r="H491" s="17"/>
      <c r="K491" s="40">
        <f>(J386+$B$4)*EXP(10*$K$22)</f>
        <v>0.52159866974453017</v>
      </c>
      <c r="L491" s="87"/>
      <c r="M491" s="87"/>
      <c r="N491" s="87"/>
      <c r="O491" s="87"/>
      <c r="P491" s="87"/>
      <c r="Q491" s="87"/>
      <c r="R491" s="87"/>
      <c r="S491" s="87"/>
      <c r="T491" s="87"/>
      <c r="U491" s="88">
        <f t="shared" si="21"/>
        <v>80.220145105619721</v>
      </c>
    </row>
    <row r="492" spans="1:21" x14ac:dyDescent="0.35">
      <c r="A492" s="30"/>
      <c r="B492" s="4"/>
      <c r="C492" s="4"/>
      <c r="D492" s="4"/>
      <c r="E492" s="4"/>
      <c r="F492" s="4"/>
      <c r="G492" s="4"/>
      <c r="H492" s="17"/>
      <c r="K492" s="8">
        <f>J387*EXP(10*K$22)</f>
        <v>0.52224176141328693</v>
      </c>
      <c r="L492" s="87"/>
      <c r="M492" s="87"/>
      <c r="N492" s="87"/>
      <c r="O492" s="87"/>
      <c r="P492" s="87"/>
      <c r="Q492" s="87"/>
      <c r="R492" s="87"/>
      <c r="S492" s="87"/>
      <c r="T492" s="87"/>
      <c r="U492" s="88">
        <f t="shared" si="21"/>
        <v>80.18423849218749</v>
      </c>
    </row>
    <row r="493" spans="1:21" x14ac:dyDescent="0.35">
      <c r="A493" s="30"/>
      <c r="B493" s="4"/>
      <c r="C493" s="4"/>
      <c r="D493" s="4"/>
      <c r="E493" s="4"/>
      <c r="F493" s="4"/>
      <c r="G493" s="4"/>
      <c r="H493" s="17"/>
      <c r="K493" s="40">
        <f>(J387+$B$4)*EXP(10*$K$22)</f>
        <v>0.52471653071577407</v>
      </c>
      <c r="L493" s="87"/>
      <c r="M493" s="87"/>
      <c r="N493" s="87"/>
      <c r="O493" s="87"/>
      <c r="P493" s="87"/>
      <c r="Q493" s="87"/>
      <c r="R493" s="87"/>
      <c r="S493" s="87"/>
      <c r="T493" s="87"/>
      <c r="U493" s="88">
        <f t="shared" si="21"/>
        <v>80.04637634561081</v>
      </c>
    </row>
    <row r="494" spans="1:21" x14ac:dyDescent="0.35">
      <c r="A494" s="30"/>
      <c r="B494" s="4"/>
      <c r="C494" s="4"/>
      <c r="D494" s="4"/>
      <c r="E494" s="4"/>
      <c r="F494" s="4"/>
      <c r="G494" s="4"/>
      <c r="H494" s="17"/>
      <c r="K494" s="8">
        <f>J388*EXP(10*K$22)</f>
        <v>0.523020667229952</v>
      </c>
      <c r="L494" s="87"/>
      <c r="M494" s="87"/>
      <c r="N494" s="87"/>
      <c r="O494" s="87"/>
      <c r="P494" s="87"/>
      <c r="Q494" s="87"/>
      <c r="R494" s="87"/>
      <c r="S494" s="87"/>
      <c r="T494" s="87"/>
      <c r="U494" s="88">
        <f t="shared" si="21"/>
        <v>80.140794058512498</v>
      </c>
    </row>
    <row r="495" spans="1:21" x14ac:dyDescent="0.35">
      <c r="A495" s="30"/>
      <c r="B495" s="4"/>
      <c r="C495" s="4"/>
      <c r="D495" s="4"/>
      <c r="E495" s="4"/>
      <c r="F495" s="4"/>
      <c r="G495" s="4"/>
      <c r="H495" s="17"/>
      <c r="K495" s="40">
        <f>(J388+$B$4)*EXP(10*$K$22)</f>
        <v>0.52549543653243924</v>
      </c>
      <c r="L495" s="87"/>
      <c r="M495" s="87"/>
      <c r="N495" s="87"/>
      <c r="O495" s="87"/>
      <c r="P495" s="87"/>
      <c r="Q495" s="87"/>
      <c r="R495" s="87"/>
      <c r="S495" s="87"/>
      <c r="T495" s="87"/>
      <c r="U495" s="88">
        <f t="shared" si="21"/>
        <v>80.003088958126071</v>
      </c>
    </row>
    <row r="496" spans="1:21" x14ac:dyDescent="0.35">
      <c r="A496" s="30"/>
      <c r="B496" s="4"/>
      <c r="C496" s="4"/>
      <c r="D496" s="4"/>
      <c r="E496" s="4"/>
      <c r="F496" s="4"/>
      <c r="G496" s="4"/>
      <c r="H496" s="17"/>
      <c r="K496" s="8">
        <f>J389*EXP(10*K$22)</f>
        <v>0.52613852820119589</v>
      </c>
      <c r="L496" s="87"/>
      <c r="M496" s="87"/>
      <c r="N496" s="87"/>
      <c r="O496" s="87"/>
      <c r="P496" s="87"/>
      <c r="Q496" s="87"/>
      <c r="R496" s="87"/>
      <c r="S496" s="87"/>
      <c r="T496" s="87"/>
      <c r="U496" s="88">
        <f t="shared" si="21"/>
        <v>79.967386511938273</v>
      </c>
    </row>
    <row r="497" spans="1:21" x14ac:dyDescent="0.35">
      <c r="A497" s="30"/>
      <c r="B497" s="4"/>
      <c r="C497" s="4"/>
      <c r="D497" s="4"/>
      <c r="E497" s="4"/>
      <c r="F497" s="4"/>
      <c r="G497" s="4"/>
      <c r="H497" s="17"/>
      <c r="K497" s="40">
        <f>(J389+$B$4)*EXP(10*$K$22)</f>
        <v>0.52861329750368302</v>
      </c>
      <c r="L497" s="87"/>
      <c r="M497" s="87"/>
      <c r="N497" s="87"/>
      <c r="O497" s="87"/>
      <c r="P497" s="87"/>
      <c r="Q497" s="87"/>
      <c r="R497" s="87"/>
      <c r="S497" s="87"/>
      <c r="T497" s="87"/>
      <c r="U497" s="88">
        <f t="shared" si="21"/>
        <v>79.830307368158614</v>
      </c>
    </row>
    <row r="498" spans="1:21" x14ac:dyDescent="0.35">
      <c r="A498" s="30"/>
      <c r="B498" s="4"/>
      <c r="C498" s="4"/>
      <c r="D498" s="4"/>
      <c r="E498" s="4"/>
      <c r="F498" s="4"/>
      <c r="G498" s="4"/>
      <c r="H498" s="17"/>
      <c r="K498" s="8">
        <f>J390*EXP(10*K$22)</f>
        <v>0.52383276675212764</v>
      </c>
      <c r="L498" s="87"/>
      <c r="M498" s="87"/>
      <c r="N498" s="87"/>
      <c r="O498" s="87"/>
      <c r="P498" s="87"/>
      <c r="Q498" s="87"/>
      <c r="R498" s="87"/>
      <c r="S498" s="87"/>
      <c r="T498" s="87"/>
      <c r="U498" s="88">
        <f t="shared" si="21"/>
        <v>80.095550934713216</v>
      </c>
    </row>
    <row r="499" spans="1:21" x14ac:dyDescent="0.35">
      <c r="A499" s="30"/>
      <c r="B499" s="4"/>
      <c r="C499" s="4"/>
      <c r="D499" s="4"/>
      <c r="E499" s="4"/>
      <c r="F499" s="4"/>
      <c r="G499" s="4"/>
      <c r="H499" s="17"/>
      <c r="K499" s="40">
        <f>(J390+$B$4)*EXP(10*$K$22)</f>
        <v>0.52630753605461489</v>
      </c>
      <c r="L499" s="87"/>
      <c r="M499" s="87"/>
      <c r="N499" s="87"/>
      <c r="O499" s="87"/>
      <c r="P499" s="87"/>
      <c r="Q499" s="87"/>
      <c r="R499" s="87"/>
      <c r="S499" s="87"/>
      <c r="T499" s="87"/>
      <c r="U499" s="88">
        <f t="shared" si="21"/>
        <v>79.958009287592887</v>
      </c>
    </row>
    <row r="500" spans="1:21" x14ac:dyDescent="0.35">
      <c r="A500" s="30"/>
      <c r="B500" s="4"/>
      <c r="C500" s="4"/>
      <c r="D500" s="4"/>
      <c r="E500" s="4"/>
      <c r="F500" s="4"/>
      <c r="G500" s="4"/>
      <c r="H500" s="17"/>
      <c r="K500" s="8">
        <f>J391*EXP(10*K$22)</f>
        <v>0.52695062772337153</v>
      </c>
      <c r="L500" s="87"/>
      <c r="M500" s="87"/>
      <c r="N500" s="87"/>
      <c r="O500" s="87"/>
      <c r="P500" s="87"/>
      <c r="Q500" s="87"/>
      <c r="R500" s="87"/>
      <c r="S500" s="87"/>
      <c r="T500" s="87"/>
      <c r="U500" s="88">
        <f t="shared" si="21"/>
        <v>79.922349171253884</v>
      </c>
    </row>
    <row r="501" spans="1:21" x14ac:dyDescent="0.35">
      <c r="A501" s="30"/>
      <c r="B501" s="4"/>
      <c r="C501" s="4"/>
      <c r="D501" s="4"/>
      <c r="E501" s="4"/>
      <c r="F501" s="4"/>
      <c r="G501" s="4"/>
      <c r="H501" s="17"/>
      <c r="K501" s="40">
        <f>(J391+$B$4)*EXP(10*$K$22)</f>
        <v>0.52942539702585867</v>
      </c>
      <c r="L501" s="87"/>
      <c r="M501" s="87"/>
      <c r="N501" s="87"/>
      <c r="O501" s="87"/>
      <c r="P501" s="87"/>
      <c r="Q501" s="87"/>
      <c r="R501" s="87"/>
      <c r="S501" s="87"/>
      <c r="T501" s="87"/>
      <c r="U501" s="88">
        <f t="shared" si="21"/>
        <v>79.785432367839007</v>
      </c>
    </row>
    <row r="502" spans="1:21" x14ac:dyDescent="0.35">
      <c r="A502" s="30"/>
      <c r="B502" s="4"/>
      <c r="C502" s="4"/>
      <c r="D502" s="4"/>
      <c r="E502" s="4"/>
      <c r="F502" s="4"/>
      <c r="G502" s="4"/>
      <c r="H502" s="17"/>
      <c r="K502" s="8">
        <f>J392*EXP(10*K$22)</f>
        <v>0.5277295335400366</v>
      </c>
      <c r="L502" s="87"/>
      <c r="M502" s="87"/>
      <c r="N502" s="87"/>
      <c r="O502" s="87"/>
      <c r="P502" s="87"/>
      <c r="Q502" s="87"/>
      <c r="R502" s="87"/>
      <c r="S502" s="87"/>
      <c r="T502" s="87"/>
      <c r="U502" s="88">
        <f t="shared" si="21"/>
        <v>79.879202826944535</v>
      </c>
    </row>
    <row r="503" spans="1:21" x14ac:dyDescent="0.35">
      <c r="A503" s="30"/>
      <c r="B503" s="4"/>
      <c r="C503" s="4"/>
      <c r="D503" s="4"/>
      <c r="E503" s="4"/>
      <c r="F503" s="4"/>
      <c r="G503" s="4"/>
      <c r="H503" s="17"/>
      <c r="K503" s="40">
        <f>(J392+$B$4)*EXP(10*$K$22)</f>
        <v>0.53020430284252384</v>
      </c>
      <c r="L503" s="87"/>
      <c r="M503" s="87"/>
      <c r="N503" s="87"/>
      <c r="O503" s="87"/>
      <c r="P503" s="87"/>
      <c r="Q503" s="87"/>
      <c r="R503" s="87"/>
      <c r="S503" s="87"/>
      <c r="T503" s="87"/>
      <c r="U503" s="88">
        <f t="shared" si="21"/>
        <v>79.742441457611079</v>
      </c>
    </row>
    <row r="504" spans="1:21" x14ac:dyDescent="0.35">
      <c r="A504" s="30"/>
      <c r="B504" s="4"/>
      <c r="C504" s="4"/>
      <c r="D504" s="4"/>
      <c r="E504" s="4"/>
      <c r="F504" s="4"/>
      <c r="G504" s="4"/>
      <c r="H504" s="17"/>
      <c r="K504" s="8">
        <f>J393*EXP(10*K$22)</f>
        <v>0.53084739451128038</v>
      </c>
      <c r="L504" s="87"/>
      <c r="M504" s="87"/>
      <c r="N504" s="87"/>
      <c r="O504" s="87"/>
      <c r="P504" s="87"/>
      <c r="Q504" s="87"/>
      <c r="R504" s="87"/>
      <c r="S504" s="87"/>
      <c r="T504" s="87"/>
      <c r="U504" s="88">
        <f t="shared" si="21"/>
        <v>79.706983412697838</v>
      </c>
    </row>
    <row r="505" spans="1:21" x14ac:dyDescent="0.35">
      <c r="A505" s="30"/>
      <c r="B505" s="4"/>
      <c r="C505" s="4"/>
      <c r="D505" s="4"/>
      <c r="E505" s="4"/>
      <c r="F505" s="4"/>
      <c r="G505" s="4"/>
      <c r="H505" s="17"/>
      <c r="K505" s="40">
        <f>(J393+$B$4)*EXP(10*$K$22)</f>
        <v>0.53332216381376762</v>
      </c>
      <c r="L505" s="87"/>
      <c r="M505" s="87"/>
      <c r="N505" s="87"/>
      <c r="O505" s="87"/>
      <c r="P505" s="87"/>
      <c r="Q505" s="87"/>
      <c r="R505" s="87"/>
      <c r="S505" s="87"/>
      <c r="T505" s="87"/>
      <c r="U505" s="88">
        <f t="shared" si="21"/>
        <v>79.570841583482334</v>
      </c>
    </row>
    <row r="506" spans="1:21" x14ac:dyDescent="0.35">
      <c r="A506" s="30"/>
      <c r="B506" s="4"/>
      <c r="C506" s="4"/>
      <c r="D506" s="4"/>
      <c r="E506" s="4"/>
      <c r="F506" s="4"/>
      <c r="G506" s="4"/>
      <c r="H506" s="17"/>
      <c r="K506" s="8">
        <f>J394*EXP(10*K$22)</f>
        <v>0.52045781024739179</v>
      </c>
      <c r="L506" s="87"/>
      <c r="M506" s="87"/>
      <c r="N506" s="87"/>
      <c r="O506" s="87"/>
      <c r="P506" s="87"/>
      <c r="Q506" s="87"/>
      <c r="R506" s="87"/>
      <c r="S506" s="87"/>
      <c r="T506" s="87"/>
      <c r="U506" s="88">
        <f t="shared" si="21"/>
        <v>80.283927620553698</v>
      </c>
    </row>
    <row r="507" spans="1:21" x14ac:dyDescent="0.35">
      <c r="A507" s="30"/>
      <c r="B507" s="4"/>
      <c r="C507" s="4"/>
      <c r="D507" s="4"/>
      <c r="E507" s="4"/>
      <c r="F507" s="4"/>
      <c r="G507" s="4"/>
      <c r="H507" s="17"/>
      <c r="K507" s="40">
        <f>(J394+$B$4)*EXP(10*$K$22)</f>
        <v>0.52293257954987904</v>
      </c>
      <c r="L507" s="87"/>
      <c r="M507" s="87"/>
      <c r="N507" s="87"/>
      <c r="O507" s="87"/>
      <c r="P507" s="87"/>
      <c r="Q507" s="87"/>
      <c r="R507" s="87"/>
      <c r="S507" s="87"/>
      <c r="T507" s="87"/>
      <c r="U507" s="88">
        <f t="shared" si="21"/>
        <v>80.145704772555618</v>
      </c>
    </row>
    <row r="508" spans="1:21" x14ac:dyDescent="0.35">
      <c r="A508" s="30"/>
      <c r="B508" s="4"/>
      <c r="C508" s="4"/>
      <c r="D508" s="4"/>
      <c r="E508" s="4"/>
      <c r="F508" s="4"/>
      <c r="G508" s="4"/>
      <c r="H508" s="17"/>
      <c r="K508" s="8">
        <f>J395*EXP(10*K$22)</f>
        <v>0.52357567121863569</v>
      </c>
      <c r="L508" s="87"/>
      <c r="M508" s="87"/>
      <c r="N508" s="87"/>
      <c r="O508" s="87"/>
      <c r="P508" s="87"/>
      <c r="Q508" s="87"/>
      <c r="R508" s="87"/>
      <c r="S508" s="87"/>
      <c r="T508" s="87"/>
      <c r="U508" s="88">
        <f t="shared" si="21"/>
        <v>80.109868244706576</v>
      </c>
    </row>
    <row r="509" spans="1:21" x14ac:dyDescent="0.35">
      <c r="A509" s="30"/>
      <c r="B509" s="4"/>
      <c r="C509" s="4"/>
      <c r="D509" s="4"/>
      <c r="E509" s="4"/>
      <c r="F509" s="4"/>
      <c r="G509" s="4"/>
      <c r="H509" s="17"/>
      <c r="K509" s="40">
        <f>(J395+$B$4)*EXP(10*$K$22)</f>
        <v>0.52605044052112282</v>
      </c>
      <c r="L509" s="87"/>
      <c r="M509" s="87"/>
      <c r="N509" s="87"/>
      <c r="O509" s="87"/>
      <c r="P509" s="87"/>
      <c r="Q509" s="87"/>
      <c r="R509" s="87"/>
      <c r="S509" s="87"/>
      <c r="T509" s="87"/>
      <c r="U509" s="88">
        <f t="shared" si="21"/>
        <v>79.972274882833304</v>
      </c>
    </row>
    <row r="510" spans="1:21" x14ac:dyDescent="0.35">
      <c r="A510" s="30"/>
      <c r="B510" s="4"/>
      <c r="C510" s="4"/>
      <c r="D510" s="4"/>
      <c r="E510" s="4"/>
      <c r="F510" s="4"/>
      <c r="G510" s="4"/>
      <c r="H510" s="17"/>
      <c r="K510" s="8">
        <f>J396*EXP(10*K$22)</f>
        <v>0.52435457703530086</v>
      </c>
      <c r="L510" s="87"/>
      <c r="M510" s="87"/>
      <c r="N510" s="87"/>
      <c r="O510" s="87"/>
      <c r="P510" s="87"/>
      <c r="Q510" s="87"/>
      <c r="R510" s="87"/>
      <c r="S510" s="87"/>
      <c r="T510" s="87"/>
      <c r="U510" s="88">
        <f t="shared" si="21"/>
        <v>80.066508565486956</v>
      </c>
    </row>
    <row r="511" spans="1:21" x14ac:dyDescent="0.35">
      <c r="A511" s="30"/>
      <c r="B511" s="4"/>
      <c r="C511" s="4"/>
      <c r="D511" s="4"/>
      <c r="E511" s="4"/>
      <c r="F511" s="4"/>
      <c r="G511" s="4"/>
      <c r="H511" s="17"/>
      <c r="K511" s="40">
        <f>(J396+$B$4)*EXP(10*$K$22)</f>
        <v>0.526829346337788</v>
      </c>
      <c r="L511" s="87"/>
      <c r="M511" s="87"/>
      <c r="N511" s="87"/>
      <c r="O511" s="87"/>
      <c r="P511" s="87"/>
      <c r="Q511" s="87"/>
      <c r="R511" s="87"/>
      <c r="S511" s="87"/>
      <c r="T511" s="87"/>
      <c r="U511" s="88">
        <f t="shared" si="21"/>
        <v>79.929071790877586</v>
      </c>
    </row>
    <row r="512" spans="1:21" x14ac:dyDescent="0.35">
      <c r="A512" s="30"/>
      <c r="B512" s="4"/>
      <c r="C512" s="4"/>
      <c r="D512" s="4"/>
      <c r="E512" s="4"/>
      <c r="F512" s="4"/>
      <c r="G512" s="4"/>
      <c r="H512" s="17"/>
      <c r="K512" s="8">
        <f>J397*EXP(10*K$22)</f>
        <v>0.52747243800654464</v>
      </c>
      <c r="L512" s="87"/>
      <c r="M512" s="87"/>
      <c r="N512" s="87"/>
      <c r="O512" s="87"/>
      <c r="P512" s="87"/>
      <c r="Q512" s="87"/>
      <c r="R512" s="87"/>
      <c r="S512" s="87"/>
      <c r="T512" s="87"/>
      <c r="U512" s="88">
        <f t="shared" si="21"/>
        <v>79.893438833646698</v>
      </c>
    </row>
    <row r="513" spans="1:21" x14ac:dyDescent="0.35">
      <c r="A513" s="30"/>
      <c r="B513" s="4"/>
      <c r="C513" s="4"/>
      <c r="D513" s="4"/>
      <c r="E513" s="4"/>
      <c r="F513" s="4"/>
      <c r="G513" s="4"/>
      <c r="H513" s="17"/>
      <c r="K513" s="40">
        <f>(J397+$B$4)*EXP(10*$K$22)</f>
        <v>0.52994720730903189</v>
      </c>
      <c r="L513" s="87"/>
      <c r="M513" s="87"/>
      <c r="N513" s="87"/>
      <c r="O513" s="87"/>
      <c r="P513" s="87"/>
      <c r="Q513" s="87"/>
      <c r="R513" s="87"/>
      <c r="S513" s="87"/>
      <c r="T513" s="87"/>
      <c r="U513" s="88">
        <f t="shared" si="21"/>
        <v>79.756626189045704</v>
      </c>
    </row>
    <row r="514" spans="1:21" x14ac:dyDescent="0.35">
      <c r="A514" s="30"/>
      <c r="B514" s="4"/>
      <c r="C514" s="4"/>
      <c r="D514" s="4"/>
      <c r="E514" s="4"/>
      <c r="F514" s="4"/>
      <c r="G514" s="4"/>
      <c r="H514" s="17"/>
      <c r="K514" s="8">
        <f>J398*EXP(10*K$22)</f>
        <v>0.5251666765574764</v>
      </c>
      <c r="L514" s="87"/>
      <c r="M514" s="87"/>
      <c r="N514" s="87"/>
      <c r="O514" s="87"/>
      <c r="P514" s="87"/>
      <c r="Q514" s="87"/>
      <c r="R514" s="87"/>
      <c r="S514" s="87"/>
      <c r="T514" s="87"/>
      <c r="U514" s="88">
        <f t="shared" si="21"/>
        <v>80.021353653840123</v>
      </c>
    </row>
    <row r="515" spans="1:21" x14ac:dyDescent="0.35">
      <c r="A515" s="30"/>
      <c r="B515" s="4"/>
      <c r="C515" s="4"/>
      <c r="D515" s="4"/>
      <c r="E515" s="4"/>
      <c r="F515" s="4"/>
      <c r="G515" s="4"/>
      <c r="H515" s="17"/>
      <c r="K515" s="40">
        <f>(J398+$B$4)*EXP(10*$K$22)</f>
        <v>0.52764144585996353</v>
      </c>
      <c r="L515" s="87"/>
      <c r="M515" s="87"/>
      <c r="N515" s="87"/>
      <c r="O515" s="87"/>
      <c r="P515" s="87"/>
      <c r="Q515" s="87"/>
      <c r="R515" s="87"/>
      <c r="S515" s="87"/>
      <c r="T515" s="87"/>
      <c r="U515" s="88">
        <f t="shared" si="21"/>
        <v>79.884079855124781</v>
      </c>
    </row>
    <row r="516" spans="1:21" x14ac:dyDescent="0.35">
      <c r="A516" s="30"/>
      <c r="B516" s="4"/>
      <c r="C516" s="4"/>
      <c r="D516" s="4"/>
      <c r="E516" s="4"/>
      <c r="F516" s="4"/>
      <c r="G516" s="4"/>
      <c r="H516" s="17"/>
      <c r="K516" s="8">
        <f>J399*EXP(10*K$22)</f>
        <v>0.52828453752872018</v>
      </c>
      <c r="L516" s="87"/>
      <c r="M516" s="87"/>
      <c r="N516" s="87"/>
      <c r="O516" s="87"/>
      <c r="P516" s="87"/>
      <c r="Q516" s="87"/>
      <c r="R516" s="87"/>
      <c r="S516" s="87"/>
      <c r="T516" s="87"/>
      <c r="U516" s="88">
        <f t="shared" si="21"/>
        <v>79.84848910425724</v>
      </c>
    </row>
    <row r="517" spans="1:21" x14ac:dyDescent="0.35">
      <c r="A517" s="30"/>
      <c r="B517" s="4"/>
      <c r="C517" s="4"/>
      <c r="D517" s="4"/>
      <c r="E517" s="4"/>
      <c r="F517" s="4"/>
      <c r="G517" s="4"/>
      <c r="H517" s="17"/>
      <c r="K517" s="40">
        <f>(J399+$B$4)*EXP(10*$K$22)</f>
        <v>0.53075930683120742</v>
      </c>
      <c r="L517" s="87"/>
      <c r="M517" s="87"/>
      <c r="N517" s="87"/>
      <c r="O517" s="87"/>
      <c r="P517" s="87"/>
      <c r="Q517" s="87"/>
      <c r="R517" s="87"/>
      <c r="S517" s="87"/>
      <c r="T517" s="87"/>
      <c r="U517" s="88">
        <f t="shared" si="21"/>
        <v>79.711838326975652</v>
      </c>
    </row>
    <row r="518" spans="1:21" x14ac:dyDescent="0.35">
      <c r="A518" s="30"/>
      <c r="B518" s="4"/>
      <c r="C518" s="4"/>
      <c r="D518" s="4"/>
      <c r="E518" s="4"/>
      <c r="F518" s="4"/>
      <c r="G518" s="4"/>
      <c r="H518" s="17"/>
      <c r="K518" s="8">
        <f>J400*EXP(10*K$22)</f>
        <v>0.52906344334538535</v>
      </c>
      <c r="L518" s="87"/>
      <c r="M518" s="87"/>
      <c r="N518" s="87"/>
      <c r="O518" s="87"/>
      <c r="P518" s="87"/>
      <c r="Q518" s="87"/>
      <c r="R518" s="87"/>
      <c r="S518" s="87"/>
      <c r="T518" s="87"/>
      <c r="U518" s="88">
        <f t="shared" si="21"/>
        <v>79.805426644022646</v>
      </c>
    </row>
    <row r="519" spans="1:21" x14ac:dyDescent="0.35">
      <c r="A519" s="30"/>
      <c r="B519" s="4"/>
      <c r="C519" s="4"/>
      <c r="D519" s="4"/>
      <c r="E519" s="4"/>
      <c r="F519" s="4"/>
      <c r="G519" s="4"/>
      <c r="H519" s="17"/>
      <c r="K519" s="40">
        <f>(J400+$B$4)*EXP(10*$K$22)</f>
        <v>0.5315382126478726</v>
      </c>
      <c r="L519" s="87"/>
      <c r="M519" s="87"/>
      <c r="N519" s="87"/>
      <c r="O519" s="87"/>
      <c r="P519" s="87"/>
      <c r="Q519" s="87"/>
      <c r="R519" s="87"/>
      <c r="S519" s="87"/>
      <c r="T519" s="87"/>
      <c r="U519" s="88">
        <f t="shared" si="21"/>
        <v>79.668930848163598</v>
      </c>
    </row>
    <row r="520" spans="1:21" s="74" customFormat="1" x14ac:dyDescent="0.35">
      <c r="A520" s="30"/>
      <c r="B520" s="38"/>
      <c r="C520" s="38"/>
      <c r="D520" s="38"/>
      <c r="E520" s="38"/>
      <c r="F520" s="38"/>
      <c r="G520" s="38"/>
      <c r="H520" s="75"/>
      <c r="K520" s="8">
        <f>J401*EXP(10*K$22)</f>
        <v>0.53218130431662913</v>
      </c>
      <c r="L520" s="82"/>
      <c r="M520" s="82"/>
      <c r="N520" s="82"/>
      <c r="O520" s="82"/>
      <c r="P520" s="82"/>
      <c r="Q520" s="82"/>
      <c r="R520" s="82"/>
      <c r="S520" s="82"/>
      <c r="T520" s="82"/>
      <c r="U520" s="88">
        <f t="shared" si="21"/>
        <v>79.633541580243616</v>
      </c>
    </row>
    <row r="521" spans="1:21" x14ac:dyDescent="0.35">
      <c r="A521" s="30"/>
      <c r="B521" s="4"/>
      <c r="C521" s="4"/>
      <c r="D521" s="4"/>
      <c r="E521" s="4"/>
      <c r="F521" s="4"/>
      <c r="G521" s="4"/>
      <c r="H521" s="17"/>
      <c r="K521" s="40">
        <f>(J401+$B$4)*EXP(10*$K$22)</f>
        <v>0.53465607361911638</v>
      </c>
      <c r="L521" s="87"/>
      <c r="M521" s="87"/>
      <c r="N521" s="87"/>
      <c r="O521" s="87"/>
      <c r="P521" s="87"/>
      <c r="Q521" s="87"/>
      <c r="R521" s="87"/>
      <c r="S521" s="87"/>
      <c r="T521" s="87"/>
      <c r="U521" s="88">
        <f t="shared" si="21"/>
        <v>79.497663522814619</v>
      </c>
    </row>
    <row r="522" spans="1:21" x14ac:dyDescent="0.35">
      <c r="A522" s="30"/>
      <c r="B522" s="4"/>
      <c r="C522" s="4"/>
      <c r="D522" s="4"/>
      <c r="E522" s="4"/>
      <c r="F522" s="4"/>
      <c r="G522" s="4"/>
      <c r="H522" s="17"/>
      <c r="K522" s="8">
        <f>J402*EXP(10*K$22)</f>
        <v>0.52638438943202082</v>
      </c>
      <c r="L522" s="87"/>
      <c r="M522" s="87"/>
      <c r="N522" s="87"/>
      <c r="O522" s="87"/>
      <c r="P522" s="87"/>
      <c r="Q522" s="87"/>
      <c r="R522" s="87"/>
      <c r="S522" s="87"/>
      <c r="T522" s="87"/>
      <c r="U522" s="88">
        <f t="shared" si="21"/>
        <v>79.953745923823661</v>
      </c>
    </row>
    <row r="523" spans="1:21" x14ac:dyDescent="0.35">
      <c r="A523" s="30"/>
      <c r="B523" s="4"/>
      <c r="C523" s="4"/>
      <c r="D523" s="4"/>
      <c r="E523" s="4"/>
      <c r="F523" s="4"/>
      <c r="G523" s="4"/>
      <c r="H523" s="17"/>
      <c r="K523" s="40">
        <f>(J402+$B$4)*EXP(10*$K$22)</f>
        <v>0.52885915873450795</v>
      </c>
      <c r="L523" s="87"/>
      <c r="M523" s="87"/>
      <c r="N523" s="87"/>
      <c r="O523" s="87"/>
      <c r="P523" s="87"/>
      <c r="Q523" s="87"/>
      <c r="R523" s="87"/>
      <c r="S523" s="87"/>
      <c r="T523" s="87"/>
      <c r="U523" s="88">
        <f t="shared" si="21"/>
        <v>79.816715958670329</v>
      </c>
    </row>
    <row r="524" spans="1:21" x14ac:dyDescent="0.35">
      <c r="A524" s="30"/>
      <c r="B524" s="4"/>
      <c r="C524" s="4"/>
      <c r="D524" s="4"/>
      <c r="E524" s="4"/>
      <c r="F524" s="4"/>
      <c r="G524" s="4"/>
      <c r="H524" s="17"/>
      <c r="K524" s="8">
        <f>J403*EXP(10*K$22)</f>
        <v>0.5295022504032646</v>
      </c>
      <c r="L524" s="87"/>
      <c r="M524" s="87"/>
      <c r="N524" s="87"/>
      <c r="O524" s="87"/>
      <c r="P524" s="87"/>
      <c r="Q524" s="87"/>
      <c r="R524" s="87"/>
      <c r="S524" s="87"/>
      <c r="T524" s="87"/>
      <c r="U524" s="88">
        <f t="shared" si="21"/>
        <v>79.78118835428225</v>
      </c>
    </row>
    <row r="525" spans="1:21" x14ac:dyDescent="0.35">
      <c r="A525" s="30"/>
      <c r="B525" s="4"/>
      <c r="C525" s="4"/>
      <c r="D525" s="4"/>
      <c r="E525" s="4"/>
      <c r="F525" s="4"/>
      <c r="G525" s="4"/>
      <c r="H525" s="17"/>
      <c r="K525" s="40">
        <f>(J403+$B$4)*EXP(10*$K$22)</f>
        <v>0.53197701970575184</v>
      </c>
      <c r="L525" s="87"/>
      <c r="M525" s="87"/>
      <c r="N525" s="87"/>
      <c r="O525" s="87"/>
      <c r="P525" s="87"/>
      <c r="Q525" s="87"/>
      <c r="R525" s="87"/>
      <c r="S525" s="87"/>
      <c r="T525" s="87"/>
      <c r="U525" s="88">
        <f t="shared" si="21"/>
        <v>79.644779753210898</v>
      </c>
    </row>
    <row r="526" spans="1:21" x14ac:dyDescent="0.35">
      <c r="A526" s="30"/>
      <c r="B526" s="4"/>
      <c r="C526" s="4"/>
      <c r="D526" s="4"/>
      <c r="E526" s="4"/>
      <c r="F526" s="4"/>
      <c r="G526" s="4"/>
      <c r="H526" s="17"/>
      <c r="K526" s="8">
        <f>J404*EXP(10*K$22)</f>
        <v>0.53028115621992977</v>
      </c>
      <c r="L526" s="87"/>
      <c r="M526" s="87"/>
      <c r="N526" s="87"/>
      <c r="O526" s="87"/>
      <c r="P526" s="87"/>
      <c r="Q526" s="87"/>
      <c r="R526" s="87"/>
      <c r="S526" s="87"/>
      <c r="T526" s="87"/>
      <c r="U526" s="88">
        <f t="shared" si="21"/>
        <v>79.738202257569156</v>
      </c>
    </row>
    <row r="527" spans="1:21" x14ac:dyDescent="0.35">
      <c r="A527" s="30"/>
      <c r="B527" s="4"/>
      <c r="C527" s="4"/>
      <c r="D527" s="4"/>
      <c r="E527" s="4"/>
      <c r="F527" s="4"/>
      <c r="G527" s="4"/>
      <c r="H527" s="17"/>
      <c r="K527" s="40">
        <f>(J404+$B$4)*EXP(10*$K$22)</f>
        <v>0.53275592552241702</v>
      </c>
      <c r="L527" s="87"/>
      <c r="M527" s="87"/>
      <c r="N527" s="87"/>
      <c r="O527" s="87"/>
      <c r="P527" s="87"/>
      <c r="Q527" s="87"/>
      <c r="R527" s="87"/>
      <c r="S527" s="87"/>
      <c r="T527" s="87"/>
      <c r="U527" s="88">
        <f t="shared" si="21"/>
        <v>79.601948226226</v>
      </c>
    </row>
    <row r="528" spans="1:21" x14ac:dyDescent="0.35">
      <c r="A528" s="30"/>
      <c r="B528" s="4"/>
      <c r="C528" s="4"/>
      <c r="D528" s="4"/>
      <c r="E528" s="4"/>
      <c r="F528" s="4"/>
      <c r="G528" s="4"/>
      <c r="H528" s="17"/>
      <c r="K528" s="8">
        <f>J405*EXP(10*K$22)</f>
        <v>0.53339901719117366</v>
      </c>
      <c r="L528" s="87"/>
      <c r="M528" s="87"/>
      <c r="N528" s="87"/>
      <c r="O528" s="87"/>
      <c r="P528" s="87"/>
      <c r="Q528" s="87"/>
      <c r="R528" s="87"/>
      <c r="S528" s="87"/>
      <c r="T528" s="87"/>
      <c r="U528" s="88">
        <f t="shared" si="21"/>
        <v>79.566621569563139</v>
      </c>
    </row>
    <row r="529" spans="1:21" x14ac:dyDescent="0.35">
      <c r="A529" s="30"/>
      <c r="B529" s="4"/>
      <c r="C529" s="4"/>
      <c r="D529" s="4"/>
      <c r="E529" s="4"/>
      <c r="F529" s="4"/>
      <c r="G529" s="4"/>
      <c r="H529" s="17"/>
      <c r="K529" s="40">
        <f>(J405+$B$4)*EXP(10*$K$22)</f>
        <v>0.53587378649366091</v>
      </c>
      <c r="L529" s="87"/>
      <c r="M529" s="87"/>
      <c r="N529" s="87"/>
      <c r="O529" s="87"/>
      <c r="P529" s="87"/>
      <c r="Q529" s="87"/>
      <c r="R529" s="87"/>
      <c r="S529" s="87"/>
      <c r="T529" s="87"/>
      <c r="U529" s="88">
        <f t="shared" si="21"/>
        <v>79.430983638001806</v>
      </c>
    </row>
    <row r="530" spans="1:21" x14ac:dyDescent="0.35">
      <c r="A530" s="30"/>
      <c r="B530" s="4"/>
      <c r="C530" s="4"/>
      <c r="D530" s="4"/>
      <c r="E530" s="4"/>
      <c r="F530" s="4"/>
      <c r="G530" s="4"/>
      <c r="H530" s="17"/>
      <c r="K530" s="8">
        <f>J406*EXP(10*K$22)</f>
        <v>0.53109325574210531</v>
      </c>
      <c r="L530" s="87"/>
      <c r="M530" s="87"/>
      <c r="N530" s="87"/>
      <c r="O530" s="87"/>
      <c r="P530" s="87"/>
      <c r="Q530" s="87"/>
      <c r="R530" s="87"/>
      <c r="S530" s="87"/>
      <c r="T530" s="87"/>
      <c r="U530" s="88">
        <f t="shared" si="21"/>
        <v>79.69343617113509</v>
      </c>
    </row>
    <row r="531" spans="1:21" x14ac:dyDescent="0.35">
      <c r="A531" s="30"/>
      <c r="B531" s="4"/>
      <c r="C531" s="4"/>
      <c r="D531" s="4"/>
      <c r="E531" s="4"/>
      <c r="F531" s="4"/>
      <c r="G531" s="4"/>
      <c r="H531" s="17"/>
      <c r="K531" s="40">
        <f>(J406+$B$4)*EXP(10*$K$22)</f>
        <v>0.53356802504459255</v>
      </c>
      <c r="L531" s="87"/>
      <c r="M531" s="87"/>
      <c r="N531" s="87"/>
      <c r="O531" s="87"/>
      <c r="P531" s="87"/>
      <c r="Q531" s="87"/>
      <c r="R531" s="87"/>
      <c r="S531" s="87"/>
      <c r="T531" s="87"/>
      <c r="U531" s="88">
        <f t="shared" si="21"/>
        <v>79.557343017046279</v>
      </c>
    </row>
    <row r="532" spans="1:21" x14ac:dyDescent="0.35">
      <c r="A532" s="30"/>
      <c r="B532" s="4"/>
      <c r="C532" s="4"/>
      <c r="D532" s="4"/>
      <c r="E532" s="4"/>
      <c r="F532" s="4"/>
      <c r="G532" s="4"/>
      <c r="H532" s="17"/>
      <c r="K532" s="8">
        <f>J407*EXP(10*K$22)</f>
        <v>0.5342111167133492</v>
      </c>
      <c r="L532" s="87"/>
      <c r="M532" s="87"/>
      <c r="N532" s="87"/>
      <c r="O532" s="87"/>
      <c r="P532" s="87"/>
      <c r="Q532" s="87"/>
      <c r="R532" s="87"/>
      <c r="S532" s="87"/>
      <c r="T532" s="87"/>
      <c r="U532" s="88">
        <f t="shared" si="21"/>
        <v>79.522058023869093</v>
      </c>
    </row>
    <row r="533" spans="1:21" x14ac:dyDescent="0.35">
      <c r="A533" s="30"/>
      <c r="B533" s="4"/>
      <c r="C533" s="4"/>
      <c r="D533" s="4"/>
      <c r="E533" s="4"/>
      <c r="F533" s="4"/>
      <c r="G533" s="4"/>
      <c r="H533" s="17"/>
      <c r="K533" s="40">
        <f>(J407+$B$4)*EXP(10*$K$22)</f>
        <v>0.53668588601583644</v>
      </c>
      <c r="L533" s="87"/>
      <c r="M533" s="87"/>
      <c r="N533" s="87"/>
      <c r="O533" s="87"/>
      <c r="P533" s="87"/>
      <c r="Q533" s="87"/>
      <c r="R533" s="87"/>
      <c r="S533" s="87"/>
      <c r="T533" s="87"/>
      <c r="U533" s="88">
        <f t="shared" si="21"/>
        <v>79.38657987995866</v>
      </c>
    </row>
    <row r="534" spans="1:21" x14ac:dyDescent="0.35">
      <c r="A534" s="30"/>
      <c r="B534" s="4"/>
      <c r="C534" s="4"/>
      <c r="D534" s="4"/>
      <c r="E534" s="4"/>
      <c r="F534" s="4"/>
      <c r="G534" s="4"/>
      <c r="H534" s="17"/>
      <c r="K534" s="8">
        <f>J408*EXP(10*K$22)</f>
        <v>0.53499002253001438</v>
      </c>
      <c r="L534" s="87"/>
      <c r="M534" s="87"/>
      <c r="N534" s="87"/>
      <c r="O534" s="87"/>
      <c r="P534" s="87"/>
      <c r="Q534" s="87"/>
      <c r="R534" s="87"/>
      <c r="S534" s="87"/>
      <c r="T534" s="87"/>
      <c r="U534" s="88">
        <f t="shared" si="21"/>
        <v>79.479365319734086</v>
      </c>
    </row>
    <row r="535" spans="1:21" x14ac:dyDescent="0.35">
      <c r="A535" s="30"/>
      <c r="B535" s="4"/>
      <c r="C535" s="4"/>
      <c r="D535" s="4"/>
      <c r="E535" s="4"/>
      <c r="F535" s="4"/>
      <c r="G535" s="4"/>
      <c r="H535" s="17"/>
      <c r="K535" s="40">
        <f>(J408+$B$4)*EXP(10*$K$22)</f>
        <v>0.53746479183250162</v>
      </c>
      <c r="L535" s="87"/>
      <c r="M535" s="87"/>
      <c r="N535" s="87"/>
      <c r="O535" s="87"/>
      <c r="P535" s="87"/>
      <c r="Q535" s="87"/>
      <c r="R535" s="87"/>
      <c r="S535" s="87"/>
      <c r="T535" s="87"/>
      <c r="U535" s="88">
        <f t="shared" si="21"/>
        <v>79.344040167191551</v>
      </c>
    </row>
    <row r="536" spans="1:21" x14ac:dyDescent="0.35">
      <c r="A536" s="30"/>
      <c r="B536" s="4"/>
      <c r="C536" s="4"/>
      <c r="D536" s="4"/>
      <c r="E536" s="4"/>
      <c r="F536" s="4"/>
      <c r="G536" s="4"/>
      <c r="H536" s="17"/>
      <c r="K536" s="8">
        <f>J409*EXP(10*K$22)</f>
        <v>0.53810788350125816</v>
      </c>
      <c r="L536" s="87"/>
      <c r="M536" s="87"/>
      <c r="N536" s="87"/>
      <c r="O536" s="87"/>
      <c r="P536" s="87"/>
      <c r="Q536" s="87"/>
      <c r="R536" s="87"/>
      <c r="S536" s="87"/>
      <c r="T536" s="87"/>
      <c r="U536" s="88">
        <f t="shared" si="21"/>
        <v>79.30895406979576</v>
      </c>
    </row>
    <row r="537" spans="1:21" x14ac:dyDescent="0.35">
      <c r="A537" s="30"/>
      <c r="B537" s="4"/>
      <c r="C537" s="4"/>
      <c r="D537" s="4"/>
      <c r="E537" s="4"/>
      <c r="F537" s="4"/>
      <c r="G537" s="4"/>
      <c r="H537" s="17"/>
      <c r="K537" s="40">
        <f>(J409+$B$4)*EXP(10*$K$22)</f>
        <v>0.5405826528037454</v>
      </c>
      <c r="L537" s="87"/>
      <c r="M537" s="87"/>
      <c r="N537" s="87"/>
      <c r="O537" s="87"/>
      <c r="P537" s="87"/>
      <c r="Q537" s="87"/>
      <c r="R537" s="87"/>
      <c r="S537" s="87"/>
      <c r="T537" s="87"/>
      <c r="U537" s="88">
        <f t="shared" si="21"/>
        <v>79.174238734683527</v>
      </c>
    </row>
    <row r="538" spans="1:21" x14ac:dyDescent="0.35">
      <c r="A538" s="26" t="s">
        <v>33</v>
      </c>
      <c r="B538" s="27">
        <v>1</v>
      </c>
      <c r="C538" s="27">
        <v>2</v>
      </c>
      <c r="D538" s="27">
        <v>3</v>
      </c>
      <c r="E538" s="27">
        <v>4</v>
      </c>
      <c r="F538" s="27">
        <v>5</v>
      </c>
      <c r="G538" s="27">
        <v>6</v>
      </c>
      <c r="H538" s="28">
        <v>7</v>
      </c>
      <c r="I538" s="28">
        <v>8</v>
      </c>
      <c r="J538" s="28">
        <v>9</v>
      </c>
      <c r="K538" s="28">
        <v>10</v>
      </c>
      <c r="L538" s="79"/>
    </row>
    <row r="539" spans="1:21" x14ac:dyDescent="0.35">
      <c r="A539" s="29" t="s">
        <v>48</v>
      </c>
      <c r="B539" s="5">
        <f t="shared" ref="B539:K539" si="22">B21+0.001</f>
        <v>5.2299999999999999E-2</v>
      </c>
      <c r="C539" s="5">
        <f t="shared" si="22"/>
        <v>5.3600000000000002E-2</v>
      </c>
      <c r="D539" s="5">
        <f t="shared" si="22"/>
        <v>5.3200000000000004E-2</v>
      </c>
      <c r="E539" s="5">
        <f t="shared" si="22"/>
        <v>5.3499999999999999E-2</v>
      </c>
      <c r="F539" s="5">
        <f t="shared" si="22"/>
        <v>5.3999999999999999E-2</v>
      </c>
      <c r="G539" s="5">
        <f t="shared" si="22"/>
        <v>5.2499999999999998E-2</v>
      </c>
      <c r="H539" s="5">
        <f t="shared" si="22"/>
        <v>5.2499999999999998E-2</v>
      </c>
      <c r="I539" s="5">
        <f t="shared" si="22"/>
        <v>5.2499999999999998E-2</v>
      </c>
      <c r="J539" s="5">
        <f t="shared" si="22"/>
        <v>5.2499999999999998E-2</v>
      </c>
      <c r="K539" s="5">
        <f t="shared" si="22"/>
        <v>5.2499999999999998E-2</v>
      </c>
      <c r="L539" s="80"/>
    </row>
    <row r="540" spans="1:21" x14ac:dyDescent="0.35">
      <c r="A540" s="29" t="s">
        <v>36</v>
      </c>
      <c r="B540" s="5">
        <v>2.5569999999999999E-2</v>
      </c>
      <c r="C540" s="5">
        <v>2.3439999999999999E-2</v>
      </c>
      <c r="D540" s="5">
        <v>2.2499999999999999E-2</v>
      </c>
      <c r="E540" s="5">
        <v>2.35E-2</v>
      </c>
      <c r="F540" s="5">
        <v>2.0299999999999999E-2</v>
      </c>
      <c r="G540" s="5">
        <v>2.3E-2</v>
      </c>
      <c r="H540" s="5">
        <v>1.8929999999999999E-2</v>
      </c>
      <c r="I540" s="5">
        <v>2.23E-2</v>
      </c>
      <c r="J540" s="5">
        <v>2.3099999999999999E-2</v>
      </c>
      <c r="K540" s="5">
        <v>2.1299999999999999E-2</v>
      </c>
      <c r="L540" s="80"/>
    </row>
    <row r="541" spans="1:21" x14ac:dyDescent="0.35">
      <c r="A541" s="29" t="s">
        <v>38</v>
      </c>
      <c r="B541" s="6">
        <f t="shared" ref="B541:K541" si="23">B539+($B$9*(10*B540))/10000</f>
        <v>5.9122075999999996E-2</v>
      </c>
      <c r="C541" s="6">
        <f t="shared" si="23"/>
        <v>5.9853792000000003E-2</v>
      </c>
      <c r="D541" s="6">
        <f t="shared" si="23"/>
        <v>5.9203000000000006E-2</v>
      </c>
      <c r="E541" s="6">
        <f t="shared" si="23"/>
        <v>5.9769799999999998E-2</v>
      </c>
      <c r="F541" s="6">
        <f t="shared" si="23"/>
        <v>5.9416039999999996E-2</v>
      </c>
      <c r="G541" s="6">
        <f t="shared" si="23"/>
        <v>5.8636399999999998E-2</v>
      </c>
      <c r="H541" s="6">
        <f t="shared" si="23"/>
        <v>5.7550523999999999E-2</v>
      </c>
      <c r="I541" s="6">
        <f t="shared" si="23"/>
        <v>5.8449639999999997E-2</v>
      </c>
      <c r="J541" s="6">
        <f t="shared" si="23"/>
        <v>5.8663079999999999E-2</v>
      </c>
      <c r="K541" s="6">
        <f t="shared" si="23"/>
        <v>5.818284E-2</v>
      </c>
      <c r="L541" s="85"/>
    </row>
    <row r="542" spans="1:21" x14ac:dyDescent="0.35">
      <c r="A542" s="29" t="s">
        <v>8</v>
      </c>
      <c r="B542" s="7">
        <f t="shared" ref="B542:K542" si="24">1/(1+B541)^B538</f>
        <v>0.94417822332314416</v>
      </c>
      <c r="C542" s="7">
        <f t="shared" si="24"/>
        <v>0.89024200893308503</v>
      </c>
      <c r="D542" s="7">
        <f t="shared" si="24"/>
        <v>0.84151603054477764</v>
      </c>
      <c r="E542" s="7">
        <f t="shared" si="24"/>
        <v>0.79278211229888651</v>
      </c>
      <c r="F542" s="7">
        <f t="shared" si="24"/>
        <v>0.74931992288949323</v>
      </c>
      <c r="G542" s="7">
        <f t="shared" si="24"/>
        <v>0.71042635489351935</v>
      </c>
      <c r="H542" s="7">
        <f t="shared" si="24"/>
        <v>0.67591506562177828</v>
      </c>
      <c r="I542" s="7">
        <f t="shared" si="24"/>
        <v>0.63480217147589557</v>
      </c>
      <c r="J542" s="7">
        <f t="shared" si="24"/>
        <v>0.59865979255960444</v>
      </c>
      <c r="K542" s="7">
        <f t="shared" si="24"/>
        <v>0.56805822801633221</v>
      </c>
      <c r="L542" s="86"/>
    </row>
    <row r="543" spans="1:21" x14ac:dyDescent="0.35">
      <c r="A543" s="30"/>
      <c r="B543" s="4"/>
      <c r="C543" s="4"/>
      <c r="D543" s="4"/>
      <c r="E543" s="4"/>
      <c r="F543" s="4"/>
      <c r="G543" s="4"/>
      <c r="H543" s="17"/>
      <c r="K543" s="9">
        <f>(J671+$B$4)*EXP(10*K$22)</f>
        <v>0.49900822833193298</v>
      </c>
      <c r="L543" s="86"/>
      <c r="M543" s="87"/>
      <c r="N543" s="87"/>
      <c r="O543" s="87"/>
      <c r="P543" s="87"/>
      <c r="Q543" s="87"/>
      <c r="R543" s="87"/>
      <c r="S543" s="87"/>
      <c r="T543" s="87"/>
      <c r="U543" s="88">
        <f t="shared" ref="U543:U606" si="25">MIN($B$8,((100+$B$7)/(1+K543+$D$8/10000)))+$B$7</f>
        <v>81.503306786101376</v>
      </c>
    </row>
    <row r="544" spans="1:21" x14ac:dyDescent="0.35">
      <c r="A544" s="30"/>
      <c r="B544" s="4"/>
      <c r="C544" s="4"/>
      <c r="D544" s="4"/>
      <c r="E544" s="4"/>
      <c r="F544" s="4"/>
      <c r="G544" s="38"/>
      <c r="H544" s="17"/>
      <c r="K544" s="8">
        <f>(J671)*EXP(10*$K$22)</f>
        <v>0.49653345902944579</v>
      </c>
      <c r="L544" s="87"/>
      <c r="M544" s="87"/>
      <c r="N544" s="87"/>
      <c r="O544" s="87"/>
      <c r="P544" s="87"/>
      <c r="Q544" s="87"/>
      <c r="R544" s="87"/>
      <c r="S544" s="87"/>
      <c r="T544" s="87"/>
      <c r="U544" s="88">
        <f t="shared" si="25"/>
        <v>81.646506957179383</v>
      </c>
    </row>
    <row r="545" spans="1:21" x14ac:dyDescent="0.35">
      <c r="A545" s="30"/>
      <c r="B545" s="4"/>
      <c r="C545" s="4"/>
      <c r="D545" s="4"/>
      <c r="E545" s="4"/>
      <c r="F545" s="4"/>
      <c r="G545" s="4"/>
      <c r="H545" s="17"/>
      <c r="K545" s="9">
        <f>(J672+$B$4)*EXP(10*$K$22)</f>
        <v>0.4958903673606892</v>
      </c>
      <c r="L545" s="87"/>
      <c r="M545" s="87"/>
      <c r="N545" s="87"/>
      <c r="O545" s="87"/>
      <c r="P545" s="87"/>
      <c r="Q545" s="87"/>
      <c r="R545" s="87"/>
      <c r="S545" s="87"/>
      <c r="T545" s="87"/>
      <c r="U545" s="88">
        <f t="shared" si="25"/>
        <v>81.683805508099795</v>
      </c>
    </row>
    <row r="546" spans="1:21" x14ac:dyDescent="0.35">
      <c r="A546" s="30"/>
      <c r="B546" s="4"/>
      <c r="C546" s="4"/>
      <c r="D546" s="4"/>
      <c r="E546" s="4"/>
      <c r="F546" s="4"/>
      <c r="G546" s="38"/>
      <c r="H546" s="17"/>
      <c r="K546" s="8">
        <f>J672*EXP(10*K$22)</f>
        <v>0.49341559805820201</v>
      </c>
      <c r="L546" s="87"/>
      <c r="M546" s="87"/>
      <c r="N546" s="87"/>
      <c r="O546" s="87"/>
      <c r="P546" s="87"/>
      <c r="Q546" s="87"/>
      <c r="R546" s="87"/>
      <c r="S546" s="87"/>
      <c r="T546" s="87"/>
      <c r="U546" s="88">
        <f t="shared" si="25"/>
        <v>81.827674077402037</v>
      </c>
    </row>
    <row r="547" spans="1:21" x14ac:dyDescent="0.35">
      <c r="A547" s="30"/>
      <c r="B547" s="4"/>
      <c r="C547" s="4"/>
      <c r="D547" s="4"/>
      <c r="E547" s="4"/>
      <c r="F547" s="4"/>
      <c r="G547" s="4"/>
      <c r="H547" s="17"/>
      <c r="K547" s="9">
        <f>(J673+$B$4)*EXP(10*$K$22)</f>
        <v>0.49511146154402402</v>
      </c>
      <c r="L547" s="87"/>
      <c r="M547" s="87"/>
      <c r="N547" s="87"/>
      <c r="O547" s="87"/>
      <c r="P547" s="87"/>
      <c r="Q547" s="87"/>
      <c r="R547" s="87"/>
      <c r="S547" s="87"/>
      <c r="T547" s="87"/>
      <c r="U547" s="88">
        <f t="shared" si="25"/>
        <v>81.729029130182795</v>
      </c>
    </row>
    <row r="548" spans="1:21" x14ac:dyDescent="0.35">
      <c r="A548" s="30"/>
      <c r="B548" s="4"/>
      <c r="C548" s="4"/>
      <c r="D548" s="4"/>
      <c r="E548" s="4"/>
      <c r="F548" s="4"/>
      <c r="G548" s="38"/>
      <c r="H548" s="17"/>
      <c r="K548" s="8">
        <f>J673*EXP(10*K$22)</f>
        <v>0.49263669224153683</v>
      </c>
      <c r="L548" s="87"/>
      <c r="M548" s="87"/>
      <c r="N548" s="87"/>
      <c r="O548" s="87"/>
      <c r="P548" s="87"/>
      <c r="Q548" s="87"/>
      <c r="R548" s="87"/>
      <c r="S548" s="87"/>
      <c r="T548" s="87"/>
      <c r="U548" s="88">
        <f t="shared" si="25"/>
        <v>81.873065409687058</v>
      </c>
    </row>
    <row r="549" spans="1:21" x14ac:dyDescent="0.35">
      <c r="A549" s="30"/>
      <c r="B549" s="4"/>
      <c r="C549" s="4"/>
      <c r="D549" s="4"/>
      <c r="E549" s="4"/>
      <c r="F549" s="4"/>
      <c r="G549" s="38"/>
      <c r="H549" s="17"/>
      <c r="K549" s="9">
        <f>(J674+$B$4)*EXP(10*$K$22)</f>
        <v>0.49199360057278019</v>
      </c>
      <c r="L549" s="87"/>
      <c r="M549" s="87"/>
      <c r="N549" s="87"/>
      <c r="O549" s="87"/>
      <c r="P549" s="87"/>
      <c r="Q549" s="87"/>
      <c r="R549" s="87"/>
      <c r="S549" s="87"/>
      <c r="T549" s="87"/>
      <c r="U549" s="88">
        <f t="shared" si="25"/>
        <v>81.910581991579036</v>
      </c>
    </row>
    <row r="550" spans="1:21" x14ac:dyDescent="0.35">
      <c r="A550" s="30"/>
      <c r="B550" s="4"/>
      <c r="C550" s="4"/>
      <c r="D550" s="4"/>
      <c r="E550" s="4"/>
      <c r="F550" s="4"/>
      <c r="G550" s="4"/>
      <c r="H550" s="17"/>
      <c r="K550" s="8">
        <f>J674*EXP(10*K$22)</f>
        <v>0.489518831270293</v>
      </c>
      <c r="L550" s="87"/>
      <c r="M550" s="87"/>
      <c r="N550" s="87"/>
      <c r="O550" s="87"/>
      <c r="P550" s="87"/>
      <c r="Q550" s="87"/>
      <c r="R550" s="87"/>
      <c r="S550" s="87"/>
      <c r="T550" s="87"/>
      <c r="U550" s="88">
        <f t="shared" si="25"/>
        <v>82.055292538625466</v>
      </c>
    </row>
    <row r="551" spans="1:21" x14ac:dyDescent="0.35">
      <c r="A551" s="30"/>
      <c r="B551" s="4"/>
      <c r="C551" s="4"/>
      <c r="D551" s="4"/>
      <c r="E551" s="4"/>
      <c r="F551" s="4"/>
      <c r="G551" s="4"/>
      <c r="H551" s="17"/>
      <c r="K551" s="9">
        <f>(J675+$B$4)*EXP(10*$K$22)</f>
        <v>0.58375757918089333</v>
      </c>
      <c r="L551" s="87"/>
      <c r="M551" s="87"/>
      <c r="N551" s="87"/>
      <c r="O551" s="87"/>
      <c r="P551" s="87"/>
      <c r="Q551" s="87"/>
      <c r="R551" s="87"/>
      <c r="S551" s="87"/>
      <c r="T551" s="87"/>
      <c r="U551" s="88">
        <f t="shared" si="25"/>
        <v>76.899193537049257</v>
      </c>
    </row>
    <row r="552" spans="1:21" x14ac:dyDescent="0.35">
      <c r="A552" s="30"/>
      <c r="B552" s="4"/>
      <c r="C552" s="4"/>
      <c r="D552" s="4"/>
      <c r="E552" s="4"/>
      <c r="F552" s="4"/>
      <c r="G552" s="38"/>
      <c r="H552" s="17"/>
      <c r="K552" s="8">
        <f>J675*EXP(10*K$22)</f>
        <v>0.58128280987840608</v>
      </c>
      <c r="L552" s="87"/>
      <c r="M552" s="87"/>
      <c r="N552" s="87"/>
      <c r="O552" s="87"/>
      <c r="P552" s="87"/>
      <c r="Q552" s="87"/>
      <c r="R552" s="87"/>
      <c r="S552" s="87"/>
      <c r="T552" s="87"/>
      <c r="U552" s="88">
        <f t="shared" si="25"/>
        <v>77.025871436422264</v>
      </c>
    </row>
    <row r="553" spans="1:21" x14ac:dyDescent="0.35">
      <c r="A553" s="30"/>
      <c r="B553" s="4"/>
      <c r="C553" s="4"/>
      <c r="D553" s="4"/>
      <c r="E553" s="4"/>
      <c r="F553" s="4"/>
      <c r="G553" s="4"/>
      <c r="H553" s="17"/>
      <c r="K553" s="9">
        <f>(J676+$B$4)*EXP(10*$K$22)</f>
        <v>0.58063971820964944</v>
      </c>
      <c r="L553" s="87"/>
      <c r="M553" s="87"/>
      <c r="N553" s="87"/>
      <c r="O553" s="87"/>
      <c r="P553" s="87"/>
      <c r="Q553" s="87"/>
      <c r="R553" s="87"/>
      <c r="S553" s="87"/>
      <c r="T553" s="87"/>
      <c r="U553" s="88">
        <f t="shared" si="25"/>
        <v>77.058861959018429</v>
      </c>
    </row>
    <row r="554" spans="1:21" x14ac:dyDescent="0.35">
      <c r="A554" s="30"/>
      <c r="B554" s="4"/>
      <c r="C554" s="4"/>
      <c r="D554" s="4"/>
      <c r="E554" s="4"/>
      <c r="F554" s="4"/>
      <c r="G554" s="38"/>
      <c r="H554" s="15"/>
      <c r="I554" s="16"/>
      <c r="J554" s="16"/>
      <c r="K554" s="8">
        <f>J676*EXP(10*K$22)</f>
        <v>0.5781649489071623</v>
      </c>
      <c r="L554" s="87"/>
      <c r="M554" s="87"/>
      <c r="N554" s="87"/>
      <c r="O554" s="87"/>
      <c r="P554" s="87"/>
      <c r="Q554" s="87"/>
      <c r="R554" s="87"/>
      <c r="S554" s="87"/>
      <c r="T554" s="87"/>
      <c r="U554" s="88">
        <f t="shared" si="25"/>
        <v>77.186095866242084</v>
      </c>
    </row>
    <row r="555" spans="1:21" x14ac:dyDescent="0.35">
      <c r="A555" s="30"/>
      <c r="B555" s="4"/>
      <c r="C555" s="4"/>
      <c r="D555" s="4"/>
      <c r="E555" s="4"/>
      <c r="F555" s="4"/>
      <c r="G555" s="4"/>
      <c r="I555" s="16"/>
      <c r="J555" s="16"/>
      <c r="K555" s="9">
        <f>(J677+$B$4)*EXP(10*$K$22)</f>
        <v>0.57986081239298426</v>
      </c>
      <c r="L555" s="87"/>
      <c r="M555" s="87"/>
      <c r="N555" s="87"/>
      <c r="O555" s="87"/>
      <c r="P555" s="87"/>
      <c r="Q555" s="87"/>
      <c r="R555" s="87"/>
      <c r="S555" s="87"/>
      <c r="T555" s="87"/>
      <c r="U555" s="88">
        <f t="shared" si="25"/>
        <v>77.098859667680614</v>
      </c>
    </row>
    <row r="556" spans="1:21" x14ac:dyDescent="0.35">
      <c r="A556" s="30"/>
      <c r="B556" s="4"/>
      <c r="C556" s="4"/>
      <c r="D556" s="4"/>
      <c r="E556" s="4"/>
      <c r="F556" s="38"/>
      <c r="G556" s="38"/>
      <c r="J556" s="16"/>
      <c r="K556" s="8">
        <f>J677*EXP(10*K$22)</f>
        <v>0.57738604309049713</v>
      </c>
      <c r="L556" s="87"/>
      <c r="M556" s="87"/>
      <c r="N556" s="87"/>
      <c r="O556" s="87"/>
      <c r="P556" s="87"/>
      <c r="Q556" s="87"/>
      <c r="R556" s="87"/>
      <c r="S556" s="87"/>
      <c r="T556" s="87"/>
      <c r="U556" s="88">
        <f t="shared" si="25"/>
        <v>77.226233048580823</v>
      </c>
    </row>
    <row r="557" spans="1:21" x14ac:dyDescent="0.35">
      <c r="A557" s="30"/>
      <c r="B557" s="4"/>
      <c r="C557" s="4"/>
      <c r="D557" s="4"/>
      <c r="E557" s="4"/>
      <c r="F557" s="4"/>
      <c r="G557" s="4"/>
      <c r="K557" s="9">
        <f>(J678+$B$4)*EXP(10*$K$22)</f>
        <v>0.57674295142174048</v>
      </c>
      <c r="L557" s="87"/>
      <c r="M557" s="87"/>
      <c r="N557" s="87"/>
      <c r="O557" s="87"/>
      <c r="P557" s="87"/>
      <c r="Q557" s="87"/>
      <c r="R557" s="87"/>
      <c r="S557" s="87"/>
      <c r="T557" s="87"/>
      <c r="U557" s="88">
        <f t="shared" si="25"/>
        <v>77.259404893315562</v>
      </c>
    </row>
    <row r="558" spans="1:21" x14ac:dyDescent="0.35">
      <c r="A558" s="30"/>
      <c r="B558" s="4"/>
      <c r="C558" s="4"/>
      <c r="D558" s="4"/>
      <c r="E558" s="4"/>
      <c r="F558" s="38"/>
      <c r="G558" s="38"/>
      <c r="K558" s="8">
        <f>J678*EXP(10*K$22)</f>
        <v>0.57426818211925335</v>
      </c>
      <c r="L558" s="87"/>
      <c r="M558" s="87"/>
      <c r="N558" s="87"/>
      <c r="O558" s="87"/>
      <c r="P558" s="87"/>
      <c r="Q558" s="87"/>
      <c r="R558" s="87"/>
      <c r="S558" s="87"/>
      <c r="T558" s="87"/>
      <c r="U558" s="88">
        <f t="shared" si="25"/>
        <v>77.387338872257061</v>
      </c>
    </row>
    <row r="559" spans="1:21" x14ac:dyDescent="0.35">
      <c r="A559" s="30"/>
      <c r="B559" s="4"/>
      <c r="C559" s="4"/>
      <c r="D559" s="4"/>
      <c r="E559" s="4"/>
      <c r="F559" s="4"/>
      <c r="G559" s="4"/>
      <c r="K559" s="9">
        <f>(J679+$B$4)*EXP(10*$K$22)</f>
        <v>0.58497529205543775</v>
      </c>
      <c r="L559" s="87"/>
      <c r="M559" s="87"/>
      <c r="N559" s="87"/>
      <c r="O559" s="87"/>
      <c r="P559" s="87"/>
      <c r="Q559" s="87"/>
      <c r="R559" s="87"/>
      <c r="S559" s="87"/>
      <c r="T559" s="87"/>
      <c r="U559" s="88">
        <f t="shared" si="25"/>
        <v>76.837022735346935</v>
      </c>
    </row>
    <row r="560" spans="1:21" x14ac:dyDescent="0.35">
      <c r="A560" s="30"/>
      <c r="B560" s="4"/>
      <c r="C560" s="4"/>
      <c r="D560" s="4"/>
      <c r="E560" s="38"/>
      <c r="F560" s="38"/>
      <c r="G560" s="38"/>
      <c r="K560" s="8">
        <f>J679*EXP(10*K$22)</f>
        <v>0.5825005227529505</v>
      </c>
      <c r="L560" s="87"/>
      <c r="M560" s="87"/>
      <c r="N560" s="87"/>
      <c r="O560" s="87"/>
      <c r="P560" s="87"/>
      <c r="Q560" s="87"/>
      <c r="R560" s="87"/>
      <c r="S560" s="87"/>
      <c r="T560" s="87"/>
      <c r="U560" s="88">
        <f t="shared" si="25"/>
        <v>76.963484469382138</v>
      </c>
    </row>
    <row r="561" spans="1:21" x14ac:dyDescent="0.35">
      <c r="A561" s="30"/>
      <c r="B561" s="4"/>
      <c r="C561" s="4"/>
      <c r="D561" s="38"/>
      <c r="E561" s="38"/>
      <c r="F561" s="38"/>
      <c r="G561" s="38"/>
      <c r="H561" s="17"/>
      <c r="J561" s="38"/>
      <c r="K561" s="9">
        <f>(J680+$B$4)*EXP(10*$K$22)</f>
        <v>0.58185743108419385</v>
      </c>
      <c r="L561" s="87"/>
      <c r="M561" s="87"/>
      <c r="N561" s="87"/>
      <c r="O561" s="87"/>
      <c r="P561" s="87"/>
      <c r="Q561" s="87"/>
      <c r="R561" s="87"/>
      <c r="S561" s="87"/>
      <c r="T561" s="87"/>
      <c r="U561" s="88">
        <f t="shared" si="25"/>
        <v>76.996418634866686</v>
      </c>
    </row>
    <row r="562" spans="1:21" x14ac:dyDescent="0.35">
      <c r="A562" s="30"/>
      <c r="B562" s="4"/>
      <c r="C562" s="4"/>
      <c r="D562" s="4"/>
      <c r="E562" s="4"/>
      <c r="F562" s="4"/>
      <c r="G562" s="4"/>
      <c r="H562" s="19"/>
      <c r="I562" s="16"/>
      <c r="J562" s="4"/>
      <c r="K562" s="8">
        <f>J680*EXP(10*K$22)</f>
        <v>0.57938266178170672</v>
      </c>
      <c r="L562" s="87"/>
      <c r="M562" s="87"/>
      <c r="N562" s="87"/>
      <c r="O562" s="87"/>
      <c r="P562" s="87"/>
      <c r="Q562" s="87"/>
      <c r="R562" s="87"/>
      <c r="S562" s="87"/>
      <c r="T562" s="87"/>
      <c r="U562" s="88">
        <f t="shared" si="25"/>
        <v>77.123434952630348</v>
      </c>
    </row>
    <row r="563" spans="1:21" x14ac:dyDescent="0.35">
      <c r="A563" s="30"/>
      <c r="B563" s="4"/>
      <c r="C563" s="4"/>
      <c r="D563" s="4"/>
      <c r="E563" s="4"/>
      <c r="F563" s="4"/>
      <c r="G563" s="4"/>
      <c r="H563" s="17"/>
      <c r="K563" s="9">
        <f>(J681+$B$4)*EXP(10*$K$22)</f>
        <v>0.58107852526752868</v>
      </c>
      <c r="L563" s="87"/>
      <c r="M563" s="87"/>
      <c r="N563" s="87"/>
      <c r="O563" s="87"/>
      <c r="P563" s="87"/>
      <c r="Q563" s="87"/>
      <c r="R563" s="87"/>
      <c r="S563" s="87"/>
      <c r="T563" s="87"/>
      <c r="U563" s="88">
        <f t="shared" si="25"/>
        <v>77.036347982073778</v>
      </c>
    </row>
    <row r="564" spans="1:21" x14ac:dyDescent="0.35">
      <c r="A564" s="30"/>
      <c r="B564" s="4"/>
      <c r="C564" s="4"/>
      <c r="D564" s="4"/>
      <c r="E564" s="4"/>
      <c r="F564" s="4"/>
      <c r="G564" s="38"/>
      <c r="H564" s="17"/>
      <c r="K564" s="8">
        <f>J681*EXP(10*K$22)</f>
        <v>0.57860375596504154</v>
      </c>
      <c r="L564" s="87"/>
      <c r="M564" s="87"/>
      <c r="N564" s="87"/>
      <c r="O564" s="87"/>
      <c r="P564" s="87"/>
      <c r="Q564" s="87"/>
      <c r="R564" s="87"/>
      <c r="S564" s="87"/>
      <c r="T564" s="87"/>
      <c r="U564" s="88">
        <f t="shared" si="25"/>
        <v>77.163503415787076</v>
      </c>
    </row>
    <row r="565" spans="1:21" x14ac:dyDescent="0.35">
      <c r="A565" s="30"/>
      <c r="B565" s="4"/>
      <c r="C565" s="4"/>
      <c r="D565" s="4"/>
      <c r="E565" s="4"/>
      <c r="F565" s="4"/>
      <c r="G565" s="4"/>
      <c r="H565" s="17"/>
      <c r="K565" s="9">
        <f>(J682+$B$4)*EXP(10*$K$22)</f>
        <v>0.5779606642962849</v>
      </c>
      <c r="L565" s="87"/>
      <c r="M565" s="87"/>
      <c r="N565" s="87"/>
      <c r="O565" s="87"/>
      <c r="P565" s="87"/>
      <c r="Q565" s="87"/>
      <c r="R565" s="87"/>
      <c r="S565" s="87"/>
      <c r="T565" s="87"/>
      <c r="U565" s="88">
        <f t="shared" si="25"/>
        <v>77.196618438348224</v>
      </c>
    </row>
    <row r="566" spans="1:21" x14ac:dyDescent="0.35">
      <c r="A566" s="30"/>
      <c r="B566" s="4"/>
      <c r="C566" s="4"/>
      <c r="D566" s="4"/>
      <c r="E566" s="4"/>
      <c r="F566" s="4"/>
      <c r="G566" s="38"/>
      <c r="H566" s="17"/>
      <c r="K566" s="8">
        <f>J682*EXP(10*K$22)</f>
        <v>0.57548589499379776</v>
      </c>
      <c r="L566" s="87"/>
      <c r="M566" s="87"/>
      <c r="N566" s="87"/>
      <c r="O566" s="87"/>
      <c r="P566" s="87"/>
      <c r="Q566" s="87"/>
      <c r="R566" s="87"/>
      <c r="S566" s="87"/>
      <c r="T566" s="87"/>
      <c r="U566" s="88">
        <f t="shared" si="25"/>
        <v>77.324333030289822</v>
      </c>
    </row>
    <row r="567" spans="1:21" x14ac:dyDescent="0.35">
      <c r="A567" s="30"/>
      <c r="B567" s="4"/>
      <c r="C567" s="4"/>
      <c r="D567" s="4"/>
      <c r="E567" s="4"/>
      <c r="F567" s="4"/>
      <c r="G567" s="4"/>
      <c r="H567" s="17"/>
      <c r="K567" s="9">
        <f>(J683+$B$4)*EXP(10*$K$22)</f>
        <v>0.58968415836552235</v>
      </c>
      <c r="L567" s="87"/>
      <c r="M567" s="87"/>
      <c r="N567" s="87"/>
      <c r="O567" s="87"/>
      <c r="P567" s="87"/>
      <c r="Q567" s="87"/>
      <c r="R567" s="87"/>
      <c r="S567" s="87"/>
      <c r="T567" s="87"/>
      <c r="U567" s="88">
        <f t="shared" si="25"/>
        <v>76.597604350720786</v>
      </c>
    </row>
    <row r="568" spans="1:21" x14ac:dyDescent="0.35">
      <c r="A568" s="30"/>
      <c r="B568" s="4"/>
      <c r="C568" s="4"/>
      <c r="D568" s="4"/>
      <c r="E568" s="4"/>
      <c r="F568" s="4"/>
      <c r="G568" s="38"/>
      <c r="H568" s="17"/>
      <c r="K568" s="8">
        <f>J683*EXP(10*K$22)</f>
        <v>0.5872093890630351</v>
      </c>
      <c r="L568" s="87"/>
      <c r="M568" s="87"/>
      <c r="N568" s="87"/>
      <c r="O568" s="87"/>
      <c r="P568" s="87"/>
      <c r="Q568" s="87"/>
      <c r="R568" s="87"/>
      <c r="S568" s="87"/>
      <c r="T568" s="87"/>
      <c r="U568" s="88">
        <f t="shared" si="25"/>
        <v>76.723235363974524</v>
      </c>
    </row>
    <row r="569" spans="1:21" x14ac:dyDescent="0.35">
      <c r="A569" s="30"/>
      <c r="B569" s="4"/>
      <c r="C569" s="4"/>
      <c r="D569" s="4"/>
      <c r="E569" s="4"/>
      <c r="F569" s="4"/>
      <c r="G569" s="4"/>
      <c r="H569" s="17"/>
      <c r="K569" s="9">
        <f>(J684+$B$4)*EXP(10*$K$22)</f>
        <v>0.58656629739427846</v>
      </c>
      <c r="L569" s="87"/>
      <c r="M569" s="87"/>
      <c r="N569" s="87"/>
      <c r="O569" s="87"/>
      <c r="P569" s="87"/>
      <c r="Q569" s="87"/>
      <c r="R569" s="87"/>
      <c r="S569" s="87"/>
      <c r="T569" s="87"/>
      <c r="U569" s="88">
        <f t="shared" si="25"/>
        <v>76.755952951231023</v>
      </c>
    </row>
    <row r="570" spans="1:21" x14ac:dyDescent="0.35">
      <c r="A570" s="30"/>
      <c r="B570" s="4"/>
      <c r="C570" s="4"/>
      <c r="D570" s="4"/>
      <c r="E570" s="4"/>
      <c r="F570" s="4"/>
      <c r="G570" s="38"/>
      <c r="H570" s="15"/>
      <c r="I570" s="16"/>
      <c r="J570" s="16"/>
      <c r="K570" s="8">
        <f>J684*EXP(10*K$22)</f>
        <v>0.58409152809179121</v>
      </c>
      <c r="L570" s="87"/>
      <c r="M570" s="87"/>
      <c r="N570" s="87"/>
      <c r="O570" s="87"/>
      <c r="P570" s="87"/>
      <c r="Q570" s="87"/>
      <c r="R570" s="87"/>
      <c r="S570" s="87"/>
      <c r="T570" s="87"/>
      <c r="U570" s="88">
        <f t="shared" si="25"/>
        <v>76.882133086709302</v>
      </c>
    </row>
    <row r="571" spans="1:21" x14ac:dyDescent="0.35">
      <c r="A571" s="30"/>
      <c r="B571" s="4"/>
      <c r="C571" s="4"/>
      <c r="D571" s="4"/>
      <c r="E571" s="4"/>
      <c r="F571" s="4"/>
      <c r="G571" s="4"/>
      <c r="I571" s="16"/>
      <c r="J571" s="16"/>
      <c r="K571" s="9">
        <f>(J685+$B$4)*EXP(10*$K$22)</f>
        <v>0.58578739157761328</v>
      </c>
      <c r="L571" s="87"/>
      <c r="M571" s="87"/>
      <c r="N571" s="87"/>
      <c r="O571" s="87"/>
      <c r="P571" s="87"/>
      <c r="Q571" s="87"/>
      <c r="R571" s="87"/>
      <c r="S571" s="87"/>
      <c r="T571" s="87"/>
      <c r="U571" s="88">
        <f t="shared" si="25"/>
        <v>76.79561958879215</v>
      </c>
    </row>
    <row r="572" spans="1:21" x14ac:dyDescent="0.35">
      <c r="A572" s="30"/>
      <c r="B572" s="4"/>
      <c r="C572" s="4"/>
      <c r="D572" s="4"/>
      <c r="E572" s="4"/>
      <c r="F572" s="38"/>
      <c r="G572" s="38"/>
      <c r="J572" s="16"/>
      <c r="K572" s="8">
        <f>J685*EXP(10*K$22)</f>
        <v>0.58331262227512604</v>
      </c>
      <c r="L572" s="87"/>
      <c r="M572" s="87"/>
      <c r="N572" s="87"/>
      <c r="O572" s="87"/>
      <c r="P572" s="87"/>
      <c r="Q572" s="87"/>
      <c r="R572" s="87"/>
      <c r="S572" s="87"/>
      <c r="T572" s="87"/>
      <c r="U572" s="88">
        <f t="shared" si="25"/>
        <v>76.921937468354088</v>
      </c>
    </row>
    <row r="573" spans="1:21" x14ac:dyDescent="0.35">
      <c r="A573" s="30"/>
      <c r="B573" s="4"/>
      <c r="C573" s="4"/>
      <c r="D573" s="4"/>
      <c r="E573" s="4"/>
      <c r="F573" s="4"/>
      <c r="G573" s="4"/>
      <c r="K573" s="9">
        <f>(J686+$B$4)*EXP(10*$K$22)</f>
        <v>0.5826695306063695</v>
      </c>
      <c r="L573" s="87"/>
      <c r="M573" s="87"/>
      <c r="N573" s="87"/>
      <c r="O573" s="87"/>
      <c r="P573" s="87"/>
      <c r="Q573" s="87"/>
      <c r="R573" s="87"/>
      <c r="S573" s="87"/>
      <c r="T573" s="87"/>
      <c r="U573" s="88">
        <f t="shared" si="25"/>
        <v>76.954834129196271</v>
      </c>
    </row>
    <row r="574" spans="1:21" x14ac:dyDescent="0.35">
      <c r="A574" s="30"/>
      <c r="B574" s="4"/>
      <c r="C574" s="4"/>
      <c r="D574" s="4"/>
      <c r="E574" s="4"/>
      <c r="F574" s="38"/>
      <c r="G574" s="38"/>
      <c r="K574" s="8">
        <f>J686*EXP(10*K$22)</f>
        <v>0.58019476130388226</v>
      </c>
      <c r="L574" s="87"/>
      <c r="M574" s="87"/>
      <c r="N574" s="87"/>
      <c r="O574" s="87"/>
      <c r="P574" s="87"/>
      <c r="Q574" s="87"/>
      <c r="R574" s="87"/>
      <c r="S574" s="87"/>
      <c r="T574" s="87"/>
      <c r="U574" s="88">
        <f t="shared" si="25"/>
        <v>77.081705645433914</v>
      </c>
    </row>
    <row r="575" spans="1:21" x14ac:dyDescent="0.35">
      <c r="A575" s="30"/>
      <c r="B575" s="4"/>
      <c r="C575" s="4"/>
      <c r="D575" s="4"/>
      <c r="E575" s="4"/>
      <c r="F575" s="4"/>
      <c r="G575" s="4"/>
      <c r="K575" s="9">
        <f>(J687+$B$4)*EXP(10*$K$22)</f>
        <v>0.5863092018607865</v>
      </c>
      <c r="L575" s="87"/>
      <c r="M575" s="87"/>
      <c r="N575" s="87"/>
      <c r="O575" s="87"/>
      <c r="P575" s="87"/>
      <c r="Q575" s="87"/>
      <c r="R575" s="87"/>
      <c r="S575" s="87"/>
      <c r="T575" s="87"/>
      <c r="U575" s="88">
        <f t="shared" si="25"/>
        <v>76.769041044392722</v>
      </c>
    </row>
    <row r="576" spans="1:21" x14ac:dyDescent="0.35">
      <c r="A576" s="30"/>
      <c r="B576" s="4"/>
      <c r="C576" s="4"/>
      <c r="D576" s="4"/>
      <c r="E576" s="38"/>
      <c r="F576" s="38"/>
      <c r="G576" s="38"/>
      <c r="K576" s="8">
        <f>J687*EXP(10*K$22)</f>
        <v>0.58383443255829925</v>
      </c>
      <c r="L576" s="87"/>
      <c r="M576" s="87"/>
      <c r="N576" s="87"/>
      <c r="O576" s="87"/>
      <c r="P576" s="87"/>
      <c r="Q576" s="87"/>
      <c r="R576" s="87"/>
      <c r="S576" s="87"/>
      <c r="T576" s="87"/>
      <c r="U576" s="88">
        <f t="shared" si="25"/>
        <v>76.895266620509531</v>
      </c>
    </row>
    <row r="577" spans="1:21" x14ac:dyDescent="0.35">
      <c r="A577" s="30"/>
      <c r="B577" s="4"/>
      <c r="C577" s="4"/>
      <c r="D577" s="38"/>
      <c r="E577" s="38"/>
      <c r="F577" s="38"/>
      <c r="G577" s="38"/>
      <c r="H577" s="17"/>
      <c r="J577" s="38"/>
      <c r="K577" s="9">
        <f>(J688+$B$4)*EXP(10*$K$22)</f>
        <v>0.58319134088954261</v>
      </c>
      <c r="L577" s="87"/>
      <c r="M577" s="87"/>
      <c r="N577" s="87"/>
      <c r="O577" s="87"/>
      <c r="P577" s="87"/>
      <c r="Q577" s="87"/>
      <c r="R577" s="87"/>
      <c r="S577" s="87"/>
      <c r="T577" s="87"/>
      <c r="U577" s="88">
        <f t="shared" si="25"/>
        <v>76.928139216737563</v>
      </c>
    </row>
    <row r="578" spans="1:21" x14ac:dyDescent="0.35">
      <c r="A578" s="30"/>
      <c r="B578" s="4"/>
      <c r="C578" s="4"/>
      <c r="D578" s="4"/>
      <c r="E578" s="4"/>
      <c r="F578" s="4"/>
      <c r="G578" s="4"/>
      <c r="H578" s="19"/>
      <c r="I578" s="16"/>
      <c r="J578" s="4"/>
      <c r="K578" s="8">
        <f>J688*EXP(10*K$22)</f>
        <v>0.58071657158705536</v>
      </c>
      <c r="L578" s="87"/>
      <c r="M578" s="87"/>
      <c r="N578" s="87"/>
      <c r="O578" s="87"/>
      <c r="P578" s="87"/>
      <c r="Q578" s="87"/>
      <c r="R578" s="87"/>
      <c r="S578" s="87"/>
      <c r="T578" s="87"/>
      <c r="U578" s="88">
        <f t="shared" si="25"/>
        <v>77.054917822143977</v>
      </c>
    </row>
    <row r="579" spans="1:21" x14ac:dyDescent="0.35">
      <c r="A579" s="30"/>
      <c r="B579" s="4"/>
      <c r="C579" s="4"/>
      <c r="D579" s="4"/>
      <c r="E579" s="4"/>
      <c r="F579" s="4"/>
      <c r="G579" s="4"/>
      <c r="H579" s="17"/>
      <c r="K579" s="9">
        <f>(J689+$B$4)*EXP(10*$K$22)</f>
        <v>0.58241243507287754</v>
      </c>
      <c r="L579" s="87"/>
      <c r="M579" s="87"/>
      <c r="N579" s="87"/>
      <c r="O579" s="87"/>
      <c r="P579" s="87"/>
      <c r="Q579" s="87"/>
      <c r="R579" s="87"/>
      <c r="S579" s="87"/>
      <c r="T579" s="87"/>
      <c r="U579" s="88">
        <f t="shared" si="25"/>
        <v>76.967993880232086</v>
      </c>
    </row>
    <row r="580" spans="1:21" x14ac:dyDescent="0.35">
      <c r="A580" s="30"/>
      <c r="B580" s="4"/>
      <c r="C580" s="4"/>
      <c r="D580" s="4"/>
      <c r="E580" s="4"/>
      <c r="F580" s="4"/>
      <c r="G580" s="38"/>
      <c r="H580" s="17"/>
      <c r="K580" s="8">
        <f>J689*EXP(10*K$22)</f>
        <v>0.57993766577039041</v>
      </c>
      <c r="L580" s="87"/>
      <c r="M580" s="87"/>
      <c r="N580" s="87"/>
      <c r="O580" s="87"/>
      <c r="P580" s="87"/>
      <c r="Q580" s="87"/>
      <c r="R580" s="87"/>
      <c r="S580" s="87"/>
      <c r="T580" s="87"/>
      <c r="U580" s="88">
        <f t="shared" si="25"/>
        <v>77.094911211128718</v>
      </c>
    </row>
    <row r="581" spans="1:21" x14ac:dyDescent="0.35">
      <c r="A581" s="30"/>
      <c r="B581" s="4"/>
      <c r="C581" s="4"/>
      <c r="D581" s="4"/>
      <c r="E581" s="4"/>
      <c r="F581" s="4"/>
      <c r="G581" s="4"/>
      <c r="H581" s="17"/>
      <c r="K581" s="9">
        <f>(J690+$B$4)*EXP(10*$K$22)</f>
        <v>0.57929457410163376</v>
      </c>
      <c r="L581" s="87"/>
      <c r="M581" s="87"/>
      <c r="N581" s="87"/>
      <c r="O581" s="87"/>
      <c r="P581" s="87"/>
      <c r="Q581" s="87"/>
      <c r="R581" s="87"/>
      <c r="S581" s="87"/>
      <c r="T581" s="87"/>
      <c r="U581" s="88">
        <f t="shared" si="25"/>
        <v>77.127964156817569</v>
      </c>
    </row>
    <row r="582" spans="1:21" x14ac:dyDescent="0.35">
      <c r="A582" s="30"/>
      <c r="B582" s="4"/>
      <c r="C582" s="4"/>
      <c r="D582" s="4"/>
      <c r="E582" s="4"/>
      <c r="F582" s="4"/>
      <c r="G582" s="38"/>
      <c r="H582" s="17"/>
      <c r="K582" s="8">
        <f>J690*EXP(10*K$22)</f>
        <v>0.57681980479914652</v>
      </c>
      <c r="L582" s="87"/>
      <c r="M582" s="87"/>
      <c r="N582" s="87"/>
      <c r="O582" s="87"/>
      <c r="P582" s="87"/>
      <c r="Q582" s="87"/>
      <c r="R582" s="87"/>
      <c r="S582" s="87"/>
      <c r="T582" s="87"/>
      <c r="U582" s="88">
        <f t="shared" si="25"/>
        <v>77.25543907439247</v>
      </c>
    </row>
    <row r="583" spans="1:21" x14ac:dyDescent="0.35">
      <c r="A583" s="30"/>
      <c r="B583" s="4"/>
      <c r="C583" s="4"/>
      <c r="D583" s="4"/>
      <c r="E583" s="4"/>
      <c r="F583" s="4"/>
      <c r="G583" s="4"/>
      <c r="H583" s="17"/>
      <c r="K583" s="9">
        <f>(J691+$B$4)*EXP(10*$K$22)</f>
        <v>0.5910180681708711</v>
      </c>
      <c r="L583" s="87"/>
      <c r="M583" s="87"/>
      <c r="N583" s="87"/>
      <c r="O583" s="87"/>
      <c r="P583" s="87"/>
      <c r="Q583" s="87"/>
      <c r="R583" s="87"/>
      <c r="S583" s="87"/>
      <c r="T583" s="87"/>
      <c r="U583" s="88">
        <f t="shared" si="25"/>
        <v>76.530068635459699</v>
      </c>
    </row>
    <row r="584" spans="1:21" x14ac:dyDescent="0.35">
      <c r="A584" s="30"/>
      <c r="B584" s="4"/>
      <c r="C584" s="4"/>
      <c r="D584" s="4"/>
      <c r="E584" s="4"/>
      <c r="F584" s="4"/>
      <c r="G584" s="38"/>
      <c r="H584" s="17"/>
      <c r="K584" s="8">
        <f>J691*EXP(10*K$22)</f>
        <v>0.58854329886838386</v>
      </c>
      <c r="L584" s="87"/>
      <c r="M584" s="87"/>
      <c r="N584" s="87"/>
      <c r="O584" s="87"/>
      <c r="P584" s="87"/>
      <c r="Q584" s="87"/>
      <c r="R584" s="87"/>
      <c r="S584" s="87"/>
      <c r="T584" s="87"/>
      <c r="U584" s="88">
        <f t="shared" si="25"/>
        <v>76.655465812856491</v>
      </c>
    </row>
    <row r="585" spans="1:21" x14ac:dyDescent="0.35">
      <c r="A585" s="30"/>
      <c r="B585" s="4"/>
      <c r="C585" s="4"/>
      <c r="D585" s="4"/>
      <c r="E585" s="4"/>
      <c r="F585" s="4"/>
      <c r="G585" s="4"/>
      <c r="H585" s="17"/>
      <c r="K585" s="9">
        <f>(J692+$B$4)*EXP(10*$K$22)</f>
        <v>0.58790020719962721</v>
      </c>
      <c r="L585" s="87"/>
      <c r="M585" s="87"/>
      <c r="N585" s="87"/>
      <c r="O585" s="87"/>
      <c r="P585" s="87"/>
      <c r="Q585" s="87"/>
      <c r="R585" s="87"/>
      <c r="S585" s="87"/>
      <c r="T585" s="87"/>
      <c r="U585" s="88">
        <f t="shared" si="25"/>
        <v>76.688122436903299</v>
      </c>
    </row>
    <row r="586" spans="1:21" x14ac:dyDescent="0.35">
      <c r="A586" s="30"/>
      <c r="B586" s="4"/>
      <c r="C586" s="4"/>
      <c r="D586" s="4"/>
      <c r="E586" s="4"/>
      <c r="F586" s="4"/>
      <c r="G586" s="38"/>
      <c r="H586" s="15"/>
      <c r="I586" s="16"/>
      <c r="J586" s="16"/>
      <c r="K586" s="8">
        <f>J692*EXP(10*K$22)</f>
        <v>0.58542543789714008</v>
      </c>
      <c r="L586" s="87"/>
      <c r="M586" s="87"/>
      <c r="N586" s="87"/>
      <c r="O586" s="87"/>
      <c r="P586" s="87"/>
      <c r="Q586" s="87"/>
      <c r="R586" s="87"/>
      <c r="S586" s="87"/>
      <c r="T586" s="87"/>
      <c r="U586" s="88">
        <f t="shared" si="25"/>
        <v>76.814067202453415</v>
      </c>
    </row>
    <row r="587" spans="1:21" x14ac:dyDescent="0.35">
      <c r="A587" s="30"/>
      <c r="B587" s="4"/>
      <c r="C587" s="4"/>
      <c r="D587" s="4"/>
      <c r="E587" s="4"/>
      <c r="F587" s="4"/>
      <c r="G587" s="4"/>
      <c r="I587" s="16"/>
      <c r="J587" s="16"/>
      <c r="K587" s="9">
        <f>(J693+$B$4)*EXP(10*$K$22)</f>
        <v>0.58712130138296204</v>
      </c>
      <c r="L587" s="87"/>
      <c r="M587" s="87"/>
      <c r="N587" s="87"/>
      <c r="O587" s="87"/>
      <c r="P587" s="87"/>
      <c r="Q587" s="87"/>
      <c r="R587" s="87"/>
      <c r="S587" s="87"/>
      <c r="T587" s="87"/>
      <c r="U587" s="88">
        <f t="shared" si="25"/>
        <v>76.727715126253102</v>
      </c>
    </row>
    <row r="588" spans="1:21" x14ac:dyDescent="0.35">
      <c r="A588" s="30"/>
      <c r="B588" s="4"/>
      <c r="C588" s="4"/>
      <c r="D588" s="4"/>
      <c r="E588" s="4"/>
      <c r="F588" s="38"/>
      <c r="G588" s="38"/>
      <c r="J588" s="16"/>
      <c r="K588" s="8">
        <f>J693*EXP(10*K$22)</f>
        <v>0.5846465320804749</v>
      </c>
      <c r="L588" s="87"/>
      <c r="M588" s="87"/>
      <c r="N588" s="87"/>
      <c r="O588" s="87"/>
      <c r="P588" s="87"/>
      <c r="Q588" s="87"/>
      <c r="R588" s="87"/>
      <c r="S588" s="87"/>
      <c r="T588" s="87"/>
      <c r="U588" s="88">
        <f t="shared" si="25"/>
        <v>76.853797250550571</v>
      </c>
    </row>
    <row r="589" spans="1:21" x14ac:dyDescent="0.35">
      <c r="A589" s="30"/>
      <c r="B589" s="4"/>
      <c r="C589" s="4"/>
      <c r="D589" s="4"/>
      <c r="E589" s="4"/>
      <c r="F589" s="4"/>
      <c r="G589" s="4"/>
      <c r="K589" s="9">
        <f>(J694+$B$4)*EXP(10*$K$22)</f>
        <v>0.58400344041171826</v>
      </c>
      <c r="L589" s="87"/>
      <c r="M589" s="87"/>
      <c r="N589" s="87"/>
      <c r="O589" s="87"/>
      <c r="P589" s="87"/>
      <c r="Q589" s="87"/>
      <c r="R589" s="87"/>
      <c r="S589" s="87"/>
      <c r="T589" s="87"/>
      <c r="U589" s="88">
        <f t="shared" si="25"/>
        <v>76.886632447227583</v>
      </c>
    </row>
    <row r="590" spans="1:21" x14ac:dyDescent="0.35">
      <c r="A590" s="30"/>
      <c r="B590" s="4"/>
      <c r="C590" s="4"/>
      <c r="D590" s="4"/>
      <c r="E590" s="4"/>
      <c r="F590" s="38"/>
      <c r="G590" s="38"/>
      <c r="K590" s="8">
        <f>J694*EXP(10*K$22)</f>
        <v>0.58152867110923112</v>
      </c>
      <c r="L590" s="87"/>
      <c r="M590" s="87"/>
      <c r="N590" s="87"/>
      <c r="O590" s="87"/>
      <c r="P590" s="87"/>
      <c r="Q590" s="87"/>
      <c r="R590" s="87"/>
      <c r="S590" s="87"/>
      <c r="T590" s="87"/>
      <c r="U590" s="88">
        <f t="shared" si="25"/>
        <v>77.013266657298558</v>
      </c>
    </row>
    <row r="591" spans="1:21" x14ac:dyDescent="0.35">
      <c r="A591" s="30"/>
      <c r="B591" s="4"/>
      <c r="C591" s="4"/>
      <c r="D591" s="4"/>
      <c r="E591" s="4"/>
      <c r="F591" s="4"/>
      <c r="G591" s="4"/>
      <c r="K591" s="9">
        <f>(J695+$B$4)*EXP(10*$K$22)</f>
        <v>0.59223578104541563</v>
      </c>
      <c r="L591" s="87"/>
      <c r="M591" s="87"/>
      <c r="N591" s="87"/>
      <c r="O591" s="87"/>
      <c r="P591" s="87"/>
      <c r="Q591" s="87"/>
      <c r="R591" s="87"/>
      <c r="S591" s="87"/>
      <c r="T591" s="87"/>
      <c r="U591" s="88">
        <f t="shared" si="25"/>
        <v>76.46852557742487</v>
      </c>
    </row>
    <row r="592" spans="1:21" x14ac:dyDescent="0.35">
      <c r="A592" s="30"/>
      <c r="B592" s="4"/>
      <c r="C592" s="4"/>
      <c r="D592" s="4"/>
      <c r="E592" s="38"/>
      <c r="F592" s="38"/>
      <c r="G592" s="38"/>
      <c r="K592" s="8">
        <f>J695*EXP(10*K$22)</f>
        <v>0.58976101174292839</v>
      </c>
      <c r="L592" s="87"/>
      <c r="M592" s="87"/>
      <c r="N592" s="87"/>
      <c r="O592" s="87"/>
      <c r="P592" s="87"/>
      <c r="Q592" s="87"/>
      <c r="R592" s="87"/>
      <c r="S592" s="87"/>
      <c r="T592" s="87"/>
      <c r="U592" s="88">
        <f t="shared" si="25"/>
        <v>76.593709857972684</v>
      </c>
    </row>
    <row r="593" spans="1:21" x14ac:dyDescent="0.35">
      <c r="A593" s="30"/>
      <c r="B593" s="4"/>
      <c r="C593" s="4"/>
      <c r="D593" s="38"/>
      <c r="E593" s="38"/>
      <c r="F593" s="38"/>
      <c r="G593" s="38"/>
      <c r="H593" s="17"/>
      <c r="J593" s="38"/>
      <c r="K593" s="9">
        <f>(J696+$B$4)*EXP(10*$K$22)</f>
        <v>0.58911792007417174</v>
      </c>
      <c r="L593" s="87"/>
      <c r="M593" s="87"/>
      <c r="N593" s="87"/>
      <c r="O593" s="87"/>
      <c r="P593" s="87"/>
      <c r="Q593" s="87"/>
      <c r="R593" s="87"/>
      <c r="S593" s="87"/>
      <c r="T593" s="87"/>
      <c r="U593" s="88">
        <f t="shared" si="25"/>
        <v>76.626310977967734</v>
      </c>
    </row>
    <row r="594" spans="1:21" x14ac:dyDescent="0.35">
      <c r="A594" s="30"/>
      <c r="B594" s="4"/>
      <c r="C594" s="4"/>
      <c r="D594" s="4"/>
      <c r="E594" s="4"/>
      <c r="F594" s="4"/>
      <c r="G594" s="4"/>
      <c r="H594" s="19"/>
      <c r="I594" s="16"/>
      <c r="J594" s="4"/>
      <c r="K594" s="8">
        <f>J696*EXP(10*K$22)</f>
        <v>0.58664315077168461</v>
      </c>
      <c r="L594" s="87"/>
      <c r="M594" s="87"/>
      <c r="N594" s="87"/>
      <c r="O594" s="87"/>
      <c r="P594" s="87"/>
      <c r="Q594" s="87"/>
      <c r="R594" s="87"/>
      <c r="S594" s="87"/>
      <c r="T594" s="87"/>
      <c r="U594" s="88">
        <f t="shared" si="25"/>
        <v>76.752041451216016</v>
      </c>
    </row>
    <row r="595" spans="1:21" x14ac:dyDescent="0.35">
      <c r="A595" s="30"/>
      <c r="B595" s="4"/>
      <c r="C595" s="4"/>
      <c r="D595" s="4"/>
      <c r="E595" s="4"/>
      <c r="F595" s="4"/>
      <c r="G595" s="4"/>
      <c r="H595" s="17"/>
      <c r="K595" s="9">
        <f>(J697+$B$4)*EXP(10*$K$22)</f>
        <v>0.58833901425750657</v>
      </c>
      <c r="L595" s="87"/>
      <c r="M595" s="87"/>
      <c r="N595" s="87"/>
      <c r="O595" s="87"/>
      <c r="P595" s="87"/>
      <c r="Q595" s="87"/>
      <c r="R595" s="87"/>
      <c r="S595" s="87"/>
      <c r="T595" s="87"/>
      <c r="U595" s="88">
        <f t="shared" si="25"/>
        <v>76.665836341139794</v>
      </c>
    </row>
    <row r="596" spans="1:21" x14ac:dyDescent="0.35">
      <c r="A596" s="30"/>
      <c r="B596" s="4"/>
      <c r="C596" s="4"/>
      <c r="D596" s="4"/>
      <c r="E596" s="4"/>
      <c r="F596" s="4"/>
      <c r="G596" s="38"/>
      <c r="H596" s="17"/>
      <c r="K596" s="8">
        <f>J697*EXP(10*K$22)</f>
        <v>0.58586424495501943</v>
      </c>
      <c r="L596" s="87"/>
      <c r="M596" s="87"/>
      <c r="N596" s="87"/>
      <c r="O596" s="87"/>
      <c r="P596" s="87"/>
      <c r="Q596" s="87"/>
      <c r="R596" s="87"/>
      <c r="S596" s="87"/>
      <c r="T596" s="87"/>
      <c r="U596" s="88">
        <f t="shared" si="25"/>
        <v>76.791703822619738</v>
      </c>
    </row>
    <row r="597" spans="1:21" x14ac:dyDescent="0.35">
      <c r="A597" s="30"/>
      <c r="B597" s="4"/>
      <c r="C597" s="4"/>
      <c r="D597" s="4"/>
      <c r="E597" s="4"/>
      <c r="F597" s="4"/>
      <c r="G597" s="4"/>
      <c r="H597" s="17"/>
      <c r="K597" s="9">
        <f>(J698+$B$4)*EXP(10*$K$22)</f>
        <v>0.58522115328626279</v>
      </c>
      <c r="L597" s="87"/>
      <c r="M597" s="87"/>
      <c r="N597" s="87"/>
      <c r="O597" s="87"/>
      <c r="P597" s="87"/>
      <c r="Q597" s="87"/>
      <c r="R597" s="87"/>
      <c r="S597" s="87"/>
      <c r="T597" s="87"/>
      <c r="U597" s="88">
        <f t="shared" si="25"/>
        <v>76.824483059557934</v>
      </c>
    </row>
    <row r="598" spans="1:21" x14ac:dyDescent="0.35">
      <c r="A598" s="30"/>
      <c r="B598" s="4"/>
      <c r="C598" s="4"/>
      <c r="D598" s="4"/>
      <c r="E598" s="4"/>
      <c r="F598" s="4"/>
      <c r="G598" s="38"/>
      <c r="H598" s="17"/>
      <c r="K598" s="8">
        <f>J698*EXP(10*K$22)</f>
        <v>0.58274638398377554</v>
      </c>
      <c r="L598" s="87"/>
      <c r="M598" s="87"/>
      <c r="N598" s="87"/>
      <c r="O598" s="87"/>
      <c r="P598" s="87"/>
      <c r="Q598" s="87"/>
      <c r="R598" s="87"/>
      <c r="S598" s="87"/>
      <c r="T598" s="87"/>
      <c r="U598" s="88">
        <f t="shared" si="25"/>
        <v>76.95090121606205</v>
      </c>
    </row>
    <row r="599" spans="1:21" x14ac:dyDescent="0.35">
      <c r="A599" s="30"/>
      <c r="B599" s="4"/>
      <c r="C599" s="4"/>
      <c r="D599" s="4"/>
      <c r="E599" s="4"/>
      <c r="F599" s="4"/>
      <c r="G599" s="4"/>
      <c r="H599" s="17"/>
      <c r="K599" s="9">
        <f>(J699+$B$4)*EXP(10*$K$22)</f>
        <v>0.59694464735550001</v>
      </c>
      <c r="L599" s="87"/>
      <c r="M599" s="87"/>
      <c r="N599" s="87"/>
      <c r="O599" s="87"/>
      <c r="P599" s="87"/>
      <c r="Q599" s="87"/>
      <c r="R599" s="87"/>
      <c r="S599" s="87"/>
      <c r="T599" s="87"/>
      <c r="U599" s="88">
        <f t="shared" si="25"/>
        <v>76.2315196549891</v>
      </c>
    </row>
    <row r="600" spans="1:21" x14ac:dyDescent="0.35">
      <c r="A600" s="30"/>
      <c r="B600" s="4"/>
      <c r="C600" s="4"/>
      <c r="D600" s="4"/>
      <c r="E600" s="4"/>
      <c r="F600" s="4"/>
      <c r="G600" s="38"/>
      <c r="H600" s="17"/>
      <c r="K600" s="8">
        <f>J699*EXP(10*K$22)</f>
        <v>0.59446987805301288</v>
      </c>
      <c r="L600" s="87"/>
      <c r="M600" s="87"/>
      <c r="N600" s="87"/>
      <c r="O600" s="87"/>
      <c r="P600" s="87"/>
      <c r="Q600" s="87"/>
      <c r="R600" s="87"/>
      <c r="S600" s="87"/>
      <c r="T600" s="87"/>
      <c r="U600" s="88">
        <f t="shared" si="25"/>
        <v>76.355885749775467</v>
      </c>
    </row>
    <row r="601" spans="1:21" x14ac:dyDescent="0.35">
      <c r="A601" s="30"/>
      <c r="B601" s="4"/>
      <c r="C601" s="4"/>
      <c r="D601" s="4"/>
      <c r="E601" s="4"/>
      <c r="F601" s="4"/>
      <c r="G601" s="4"/>
      <c r="H601" s="17"/>
      <c r="K601" s="9">
        <f>(J700+$B$4)*EXP(10*$K$22)</f>
        <v>0.59382678638425623</v>
      </c>
      <c r="L601" s="87"/>
      <c r="M601" s="87"/>
      <c r="N601" s="87"/>
      <c r="O601" s="87"/>
      <c r="P601" s="87"/>
      <c r="Q601" s="87"/>
      <c r="R601" s="87"/>
      <c r="S601" s="87"/>
      <c r="T601" s="87"/>
      <c r="U601" s="88">
        <f t="shared" si="25"/>
        <v>76.388273563092909</v>
      </c>
    </row>
    <row r="602" spans="1:21" x14ac:dyDescent="0.35">
      <c r="A602" s="30"/>
      <c r="B602" s="4"/>
      <c r="C602" s="4"/>
      <c r="D602" s="4"/>
      <c r="E602" s="4"/>
      <c r="F602" s="4"/>
      <c r="G602" s="38"/>
      <c r="H602" s="15"/>
      <c r="I602" s="16"/>
      <c r="J602" s="16"/>
      <c r="K602" s="8">
        <f>J700*EXP(10*K$22)</f>
        <v>0.59135201708176899</v>
      </c>
      <c r="L602" s="87"/>
      <c r="M602" s="87"/>
      <c r="N602" s="87"/>
      <c r="O602" s="87"/>
      <c r="P602" s="87"/>
      <c r="Q602" s="87"/>
      <c r="R602" s="87"/>
      <c r="S602" s="87"/>
      <c r="T602" s="87"/>
      <c r="U602" s="88">
        <f t="shared" si="25"/>
        <v>76.513180498797681</v>
      </c>
    </row>
    <row r="603" spans="1:21" x14ac:dyDescent="0.35">
      <c r="A603" s="30"/>
      <c r="B603" s="4"/>
      <c r="C603" s="4"/>
      <c r="D603" s="4"/>
      <c r="E603" s="4"/>
      <c r="F603" s="4"/>
      <c r="G603" s="4"/>
      <c r="I603" s="16"/>
      <c r="J603" s="16"/>
      <c r="K603" s="9">
        <f>(J701+$B$4)*EXP(10*$K$22)</f>
        <v>0.59304788056759106</v>
      </c>
      <c r="L603" s="87"/>
      <c r="M603" s="87"/>
      <c r="N603" s="87"/>
      <c r="O603" s="87"/>
      <c r="P603" s="87"/>
      <c r="Q603" s="87"/>
      <c r="R603" s="87"/>
      <c r="S603" s="87"/>
      <c r="T603" s="87"/>
      <c r="U603" s="88">
        <f t="shared" si="25"/>
        <v>76.427540186971399</v>
      </c>
    </row>
    <row r="604" spans="1:21" x14ac:dyDescent="0.35">
      <c r="A604" s="30"/>
      <c r="B604" s="4"/>
      <c r="C604" s="4"/>
      <c r="D604" s="4"/>
      <c r="E604" s="4"/>
      <c r="F604" s="38"/>
      <c r="G604" s="38"/>
      <c r="J604" s="16"/>
      <c r="K604" s="8">
        <f>J701*EXP(10*K$22)</f>
        <v>0.59057311126510381</v>
      </c>
      <c r="L604" s="87"/>
      <c r="M604" s="87"/>
      <c r="N604" s="87"/>
      <c r="O604" s="87"/>
      <c r="P604" s="87"/>
      <c r="Q604" s="87"/>
      <c r="R604" s="87"/>
      <c r="S604" s="87"/>
      <c r="T604" s="87"/>
      <c r="U604" s="88">
        <f t="shared" si="25"/>
        <v>76.552582786639817</v>
      </c>
    </row>
    <row r="605" spans="1:21" x14ac:dyDescent="0.35">
      <c r="A605" s="30"/>
      <c r="B605" s="4"/>
      <c r="C605" s="4"/>
      <c r="D605" s="4"/>
      <c r="E605" s="4"/>
      <c r="F605" s="4"/>
      <c r="G605" s="4"/>
      <c r="K605" s="9">
        <f>(J702+$B$4)*EXP(10*$K$22)</f>
        <v>0.58993001959634728</v>
      </c>
      <c r="L605" s="87"/>
      <c r="M605" s="87"/>
      <c r="N605" s="87"/>
      <c r="O605" s="87"/>
      <c r="P605" s="87"/>
      <c r="Q605" s="87"/>
      <c r="R605" s="87"/>
      <c r="S605" s="87"/>
      <c r="T605" s="87"/>
      <c r="U605" s="88">
        <f t="shared" si="25"/>
        <v>76.585146969288289</v>
      </c>
    </row>
    <row r="606" spans="1:21" x14ac:dyDescent="0.35">
      <c r="A606" s="30"/>
      <c r="B606" s="4"/>
      <c r="C606" s="4"/>
      <c r="D606" s="4"/>
      <c r="E606" s="4"/>
      <c r="F606" s="38"/>
      <c r="G606" s="38"/>
      <c r="K606" s="8">
        <f>J702*EXP(10*K$22)</f>
        <v>0.58745525029386003</v>
      </c>
      <c r="L606" s="87"/>
      <c r="M606" s="87"/>
      <c r="N606" s="87"/>
      <c r="O606" s="87"/>
      <c r="P606" s="87"/>
      <c r="Q606" s="87"/>
      <c r="R606" s="87"/>
      <c r="S606" s="87"/>
      <c r="T606" s="87"/>
      <c r="U606" s="88">
        <f t="shared" si="25"/>
        <v>76.710734833656346</v>
      </c>
    </row>
    <row r="607" spans="1:21" x14ac:dyDescent="0.35">
      <c r="A607" s="30"/>
      <c r="B607" s="4"/>
      <c r="C607" s="4"/>
      <c r="D607" s="4"/>
      <c r="E607" s="4"/>
      <c r="F607" s="4"/>
      <c r="G607" s="4"/>
      <c r="K607" s="9">
        <f>(J703+$B$4)*EXP(10*$K$22)</f>
        <v>0.58823256905952015</v>
      </c>
      <c r="L607" s="87"/>
      <c r="M607" s="87"/>
      <c r="N607" s="87"/>
      <c r="O607" s="87"/>
      <c r="P607" s="87"/>
      <c r="Q607" s="87"/>
      <c r="R607" s="87"/>
      <c r="S607" s="87"/>
      <c r="T607" s="87"/>
      <c r="U607" s="88">
        <f t="shared" ref="U607:U670" si="26">MIN($B$8,((100+$B$7)/(1+K607+$D$8/10000)))+$B$7</f>
        <v>76.67124121532801</v>
      </c>
    </row>
    <row r="608" spans="1:21" x14ac:dyDescent="0.35">
      <c r="A608" s="30"/>
      <c r="B608" s="4"/>
      <c r="C608" s="4"/>
      <c r="D608" s="4"/>
      <c r="E608" s="38"/>
      <c r="F608" s="38"/>
      <c r="G608" s="38"/>
      <c r="K608" s="8">
        <f>J703*EXP(10*K$22)</f>
        <v>0.58575779975703302</v>
      </c>
      <c r="L608" s="87"/>
      <c r="M608" s="87"/>
      <c r="N608" s="87"/>
      <c r="O608" s="87"/>
      <c r="P608" s="87"/>
      <c r="Q608" s="87"/>
      <c r="R608" s="87"/>
      <c r="S608" s="87"/>
      <c r="T608" s="87"/>
      <c r="U608" s="88">
        <f t="shared" si="26"/>
        <v>76.797127437732414</v>
      </c>
    </row>
    <row r="609" spans="1:21" x14ac:dyDescent="0.35">
      <c r="A609" s="30"/>
      <c r="B609" s="4"/>
      <c r="C609" s="4"/>
      <c r="D609" s="38"/>
      <c r="E609" s="38"/>
      <c r="F609" s="38"/>
      <c r="G609" s="38"/>
      <c r="H609" s="17"/>
      <c r="J609" s="38"/>
      <c r="K609" s="9">
        <f>(J704+$B$4)*EXP(10*$K$22)</f>
        <v>0.58511470808827626</v>
      </c>
      <c r="L609" s="87"/>
      <c r="M609" s="87"/>
      <c r="N609" s="87"/>
      <c r="O609" s="87"/>
      <c r="P609" s="87"/>
      <c r="Q609" s="87"/>
      <c r="R609" s="87"/>
      <c r="S609" s="87"/>
      <c r="T609" s="87"/>
      <c r="U609" s="88">
        <f t="shared" si="26"/>
        <v>76.829911560629142</v>
      </c>
    </row>
    <row r="610" spans="1:21" x14ac:dyDescent="0.35">
      <c r="A610" s="30"/>
      <c r="B610" s="4"/>
      <c r="C610" s="4"/>
      <c r="D610" s="4"/>
      <c r="E610" s="4"/>
      <c r="F610" s="4"/>
      <c r="G610" s="4"/>
      <c r="H610" s="19"/>
      <c r="I610" s="16"/>
      <c r="J610" s="4"/>
      <c r="K610" s="8">
        <f>J704*EXP(10*K$22)</f>
        <v>0.58263993878578912</v>
      </c>
      <c r="L610" s="87"/>
      <c r="M610" s="87"/>
      <c r="N610" s="87"/>
      <c r="O610" s="87"/>
      <c r="P610" s="87"/>
      <c r="Q610" s="87"/>
      <c r="R610" s="87"/>
      <c r="S610" s="87"/>
      <c r="T610" s="87"/>
      <c r="U610" s="88">
        <f t="shared" si="26"/>
        <v>76.956348581185196</v>
      </c>
    </row>
    <row r="611" spans="1:21" x14ac:dyDescent="0.35">
      <c r="A611" s="30"/>
      <c r="B611" s="4"/>
      <c r="C611" s="4"/>
      <c r="D611" s="4"/>
      <c r="E611" s="4"/>
      <c r="F611" s="4"/>
      <c r="G611" s="4"/>
      <c r="H611" s="17"/>
      <c r="K611" s="9">
        <f>(J705+$B$4)*EXP(10*$K$22)</f>
        <v>0.58433580227161119</v>
      </c>
      <c r="L611" s="87"/>
      <c r="M611" s="87"/>
      <c r="N611" s="87"/>
      <c r="O611" s="87"/>
      <c r="P611" s="87"/>
      <c r="Q611" s="87"/>
      <c r="R611" s="87"/>
      <c r="S611" s="87"/>
      <c r="T611" s="87"/>
      <c r="U611" s="88">
        <f t="shared" si="26"/>
        <v>76.869658905862394</v>
      </c>
    </row>
    <row r="612" spans="1:21" x14ac:dyDescent="0.35">
      <c r="A612" s="30"/>
      <c r="B612" s="4"/>
      <c r="C612" s="4"/>
      <c r="D612" s="4"/>
      <c r="E612" s="4"/>
      <c r="F612" s="4"/>
      <c r="G612" s="38"/>
      <c r="H612" s="17"/>
      <c r="K612" s="8">
        <f>J705*EXP(10*K$22)</f>
        <v>0.58186103296912395</v>
      </c>
      <c r="L612" s="87"/>
      <c r="M612" s="87"/>
      <c r="N612" s="87"/>
      <c r="O612" s="87"/>
      <c r="P612" s="87"/>
      <c r="Q612" s="87"/>
      <c r="R612" s="87"/>
      <c r="S612" s="87"/>
      <c r="T612" s="87"/>
      <c r="U612" s="88">
        <f t="shared" si="26"/>
        <v>76.996234091472786</v>
      </c>
    </row>
    <row r="613" spans="1:21" x14ac:dyDescent="0.35">
      <c r="A613" s="30"/>
      <c r="B613" s="4"/>
      <c r="C613" s="4"/>
      <c r="D613" s="4"/>
      <c r="E613" s="4"/>
      <c r="F613" s="4"/>
      <c r="G613" s="4"/>
      <c r="H613" s="17"/>
      <c r="K613" s="9">
        <f>(J706+$B$4)*EXP(10*$K$22)</f>
        <v>0.5812179413003673</v>
      </c>
      <c r="L613" s="87"/>
      <c r="M613" s="87"/>
      <c r="N613" s="87"/>
      <c r="O613" s="87"/>
      <c r="P613" s="87"/>
      <c r="Q613" s="87"/>
      <c r="R613" s="87"/>
      <c r="S613" s="87"/>
      <c r="T613" s="87"/>
      <c r="U613" s="88">
        <f t="shared" si="26"/>
        <v>77.029197835237071</v>
      </c>
    </row>
    <row r="614" spans="1:21" x14ac:dyDescent="0.35">
      <c r="A614" s="30"/>
      <c r="B614" s="4"/>
      <c r="C614" s="4"/>
      <c r="D614" s="4"/>
      <c r="E614" s="4"/>
      <c r="F614" s="4"/>
      <c r="G614" s="38"/>
      <c r="H614" s="17"/>
      <c r="K614" s="8">
        <f>J706*EXP(10*K$22)</f>
        <v>0.57874317199788017</v>
      </c>
      <c r="L614" s="87"/>
      <c r="M614" s="87"/>
      <c r="N614" s="87"/>
      <c r="O614" s="87"/>
      <c r="P614" s="87"/>
      <c r="Q614" s="87"/>
      <c r="R614" s="87"/>
      <c r="S614" s="87"/>
      <c r="T614" s="87"/>
      <c r="U614" s="88">
        <f t="shared" si="26"/>
        <v>77.156328351855677</v>
      </c>
    </row>
    <row r="615" spans="1:21" x14ac:dyDescent="0.35">
      <c r="A615" s="30"/>
      <c r="B615" s="4"/>
      <c r="C615" s="4"/>
      <c r="D615" s="4"/>
      <c r="E615" s="4"/>
      <c r="F615" s="4"/>
      <c r="G615" s="4"/>
      <c r="H615" s="17"/>
      <c r="K615" s="9">
        <f>(J707+$B$4)*EXP(10*$K$22)</f>
        <v>0.59294143536960475</v>
      </c>
      <c r="L615" s="87"/>
      <c r="M615" s="87"/>
      <c r="N615" s="87"/>
      <c r="O615" s="87"/>
      <c r="P615" s="87"/>
      <c r="Q615" s="87"/>
      <c r="R615" s="87"/>
      <c r="S615" s="87"/>
      <c r="T615" s="87"/>
      <c r="U615" s="88">
        <f t="shared" si="26"/>
        <v>76.432909669108781</v>
      </c>
    </row>
    <row r="616" spans="1:21" x14ac:dyDescent="0.35">
      <c r="A616" s="30"/>
      <c r="B616" s="4"/>
      <c r="C616" s="4"/>
      <c r="D616" s="4"/>
      <c r="E616" s="4"/>
      <c r="F616" s="4"/>
      <c r="G616" s="38"/>
      <c r="H616" s="17"/>
      <c r="K616" s="8">
        <f>J707*EXP(10*K$22)</f>
        <v>0.59046666606711751</v>
      </c>
      <c r="L616" s="87"/>
      <c r="M616" s="87"/>
      <c r="N616" s="87"/>
      <c r="O616" s="87"/>
      <c r="P616" s="87"/>
      <c r="Q616" s="87"/>
      <c r="R616" s="87"/>
      <c r="S616" s="87"/>
      <c r="T616" s="87"/>
      <c r="U616" s="88">
        <f t="shared" si="26"/>
        <v>76.557970825766958</v>
      </c>
    </row>
    <row r="617" spans="1:21" x14ac:dyDescent="0.35">
      <c r="A617" s="30"/>
      <c r="B617" s="4"/>
      <c r="C617" s="4"/>
      <c r="D617" s="4"/>
      <c r="E617" s="4"/>
      <c r="F617" s="4"/>
      <c r="G617" s="4"/>
      <c r="H617" s="17"/>
      <c r="K617" s="9">
        <f>(J708+$B$4)*EXP(10*$K$22)</f>
        <v>0.58982357439836086</v>
      </c>
      <c r="L617" s="87"/>
      <c r="M617" s="87"/>
      <c r="N617" s="87"/>
      <c r="O617" s="87"/>
      <c r="P617" s="87"/>
      <c r="Q617" s="87"/>
      <c r="R617" s="87"/>
      <c r="S617" s="87"/>
      <c r="T617" s="87"/>
      <c r="U617" s="88">
        <f t="shared" si="26"/>
        <v>76.590539846368273</v>
      </c>
    </row>
    <row r="618" spans="1:21" x14ac:dyDescent="0.35">
      <c r="A618" s="30"/>
      <c r="B618" s="4"/>
      <c r="C618" s="4"/>
      <c r="D618" s="4"/>
      <c r="E618" s="4"/>
      <c r="F618" s="4"/>
      <c r="G618" s="38"/>
      <c r="H618" s="15"/>
      <c r="I618" s="16"/>
      <c r="J618" s="16"/>
      <c r="K618" s="8">
        <f>J708*EXP(10*K$22)</f>
        <v>0.58734880509587373</v>
      </c>
      <c r="L618" s="87"/>
      <c r="M618" s="87"/>
      <c r="N618" s="87"/>
      <c r="O618" s="87"/>
      <c r="P618" s="87"/>
      <c r="Q618" s="87"/>
      <c r="R618" s="87"/>
      <c r="S618" s="87"/>
      <c r="T618" s="87"/>
      <c r="U618" s="88">
        <f t="shared" si="26"/>
        <v>76.716146389243164</v>
      </c>
    </row>
    <row r="619" spans="1:21" x14ac:dyDescent="0.35">
      <c r="A619" s="30"/>
      <c r="B619" s="4"/>
      <c r="C619" s="4"/>
      <c r="D619" s="4"/>
      <c r="E619" s="4"/>
      <c r="F619" s="4"/>
      <c r="G619" s="4"/>
      <c r="I619" s="16"/>
      <c r="J619" s="16"/>
      <c r="K619" s="9">
        <f>(J709+$B$4)*EXP(10*$K$22)</f>
        <v>0.58904466858169569</v>
      </c>
      <c r="L619" s="87"/>
      <c r="M619" s="87"/>
      <c r="N619" s="87"/>
      <c r="O619" s="87"/>
      <c r="P619" s="87"/>
      <c r="Q619" s="87"/>
      <c r="R619" s="87"/>
      <c r="S619" s="87"/>
      <c r="T619" s="87"/>
      <c r="U619" s="88">
        <f t="shared" si="26"/>
        <v>76.630026273151799</v>
      </c>
    </row>
    <row r="620" spans="1:21" x14ac:dyDescent="0.35">
      <c r="A620" s="30"/>
      <c r="B620" s="4"/>
      <c r="C620" s="4"/>
      <c r="D620" s="4"/>
      <c r="E620" s="4"/>
      <c r="F620" s="38"/>
      <c r="G620" s="38"/>
      <c r="J620" s="16"/>
      <c r="K620" s="8">
        <f>J709*EXP(10*K$22)</f>
        <v>0.58656989927920855</v>
      </c>
      <c r="L620" s="87"/>
      <c r="M620" s="87"/>
      <c r="N620" s="87"/>
      <c r="O620" s="87"/>
      <c r="P620" s="87"/>
      <c r="Q620" s="87"/>
      <c r="R620" s="87"/>
      <c r="S620" s="87"/>
      <c r="T620" s="87"/>
      <c r="U620" s="88">
        <f t="shared" si="26"/>
        <v>76.7557696216831</v>
      </c>
    </row>
    <row r="621" spans="1:21" x14ac:dyDescent="0.35">
      <c r="A621" s="30"/>
      <c r="B621" s="4"/>
      <c r="C621" s="4"/>
      <c r="D621" s="4"/>
      <c r="E621" s="4"/>
      <c r="F621" s="4"/>
      <c r="G621" s="4"/>
      <c r="K621" s="9">
        <f>(J710+$B$4)*EXP(10*$K$22)</f>
        <v>0.58592680761045191</v>
      </c>
      <c r="L621" s="87"/>
      <c r="M621" s="87"/>
      <c r="N621" s="87"/>
      <c r="O621" s="87"/>
      <c r="P621" s="87"/>
      <c r="Q621" s="87"/>
      <c r="R621" s="87"/>
      <c r="S621" s="87"/>
      <c r="T621" s="87"/>
      <c r="U621" s="88">
        <f t="shared" si="26"/>
        <v>76.788516495870155</v>
      </c>
    </row>
    <row r="622" spans="1:21" x14ac:dyDescent="0.35">
      <c r="A622" s="30"/>
      <c r="B622" s="4"/>
      <c r="C622" s="4"/>
      <c r="D622" s="4"/>
      <c r="E622" s="4"/>
      <c r="F622" s="38"/>
      <c r="G622" s="38"/>
      <c r="K622" s="8">
        <f>J710*EXP(10*K$22)</f>
        <v>0.58345203830796466</v>
      </c>
      <c r="L622" s="87"/>
      <c r="M622" s="87"/>
      <c r="N622" s="87"/>
      <c r="O622" s="87"/>
      <c r="P622" s="87"/>
      <c r="Q622" s="87"/>
      <c r="R622" s="87"/>
      <c r="S622" s="87"/>
      <c r="T622" s="87"/>
      <c r="U622" s="88">
        <f t="shared" si="26"/>
        <v>76.914809704107526</v>
      </c>
    </row>
    <row r="623" spans="1:21" x14ac:dyDescent="0.35">
      <c r="A623" s="30"/>
      <c r="B623" s="4"/>
      <c r="C623" s="4"/>
      <c r="D623" s="4"/>
      <c r="E623" s="4"/>
      <c r="F623" s="4"/>
      <c r="G623" s="4"/>
      <c r="K623" s="9">
        <f>(J711+$B$4)*EXP(10*$K$22)</f>
        <v>0.59415914824414917</v>
      </c>
      <c r="L623" s="87"/>
      <c r="M623" s="87"/>
      <c r="N623" s="87"/>
      <c r="O623" s="87"/>
      <c r="P623" s="87"/>
      <c r="Q623" s="87"/>
      <c r="R623" s="87"/>
      <c r="S623" s="87"/>
      <c r="T623" s="87"/>
      <c r="U623" s="88">
        <f t="shared" si="26"/>
        <v>76.371531313107738</v>
      </c>
    </row>
    <row r="624" spans="1:21" x14ac:dyDescent="0.35">
      <c r="A624" s="30"/>
      <c r="B624" s="4"/>
      <c r="C624" s="4"/>
      <c r="D624" s="4"/>
      <c r="E624" s="38"/>
      <c r="F624" s="38"/>
      <c r="G624" s="38"/>
      <c r="K624" s="8">
        <f>J711*EXP(10*K$22)</f>
        <v>0.59168437894166204</v>
      </c>
      <c r="L624" s="87"/>
      <c r="M624" s="87"/>
      <c r="N624" s="87"/>
      <c r="O624" s="87"/>
      <c r="P624" s="87"/>
      <c r="Q624" s="87"/>
      <c r="R624" s="87"/>
      <c r="S624" s="87"/>
      <c r="T624" s="87"/>
      <c r="U624" s="88">
        <f t="shared" si="26"/>
        <v>76.496380427715593</v>
      </c>
    </row>
    <row r="625" spans="1:21" x14ac:dyDescent="0.35">
      <c r="A625" s="30"/>
      <c r="B625" s="4"/>
      <c r="C625" s="4"/>
      <c r="D625" s="38"/>
      <c r="E625" s="38"/>
      <c r="F625" s="38"/>
      <c r="G625" s="38"/>
      <c r="H625" s="17"/>
      <c r="J625" s="38"/>
      <c r="K625" s="9">
        <f>(J712+$B$4)*EXP(10*$K$22)</f>
        <v>0.59104128727290539</v>
      </c>
      <c r="L625" s="87"/>
      <c r="M625" s="87"/>
      <c r="N625" s="87"/>
      <c r="O625" s="87"/>
      <c r="P625" s="87"/>
      <c r="Q625" s="87"/>
      <c r="R625" s="87"/>
      <c r="S625" s="87"/>
      <c r="T625" s="87"/>
      <c r="U625" s="88">
        <f t="shared" si="26"/>
        <v>76.528894167360349</v>
      </c>
    </row>
    <row r="626" spans="1:21" x14ac:dyDescent="0.35">
      <c r="A626" s="30"/>
      <c r="B626" s="4"/>
      <c r="C626" s="4"/>
      <c r="D626" s="4"/>
      <c r="E626" s="4"/>
      <c r="F626" s="4"/>
      <c r="G626" s="4"/>
      <c r="H626" s="19"/>
      <c r="I626" s="16"/>
      <c r="J626" s="4"/>
      <c r="K626" s="8">
        <f>J712*EXP(10*K$22)</f>
        <v>0.58856651797041815</v>
      </c>
      <c r="L626" s="87"/>
      <c r="M626" s="87"/>
      <c r="N626" s="87"/>
      <c r="O626" s="87"/>
      <c r="P626" s="87"/>
      <c r="Q626" s="87"/>
      <c r="R626" s="87"/>
      <c r="S626" s="87"/>
      <c r="T626" s="87"/>
      <c r="U626" s="88">
        <f t="shared" si="26"/>
        <v>76.654287280205637</v>
      </c>
    </row>
    <row r="627" spans="1:21" x14ac:dyDescent="0.35">
      <c r="A627" s="30"/>
      <c r="B627" s="4"/>
      <c r="C627" s="4"/>
      <c r="D627" s="4"/>
      <c r="E627" s="4"/>
      <c r="F627" s="4"/>
      <c r="G627" s="4"/>
      <c r="H627" s="17"/>
      <c r="K627" s="9">
        <f>(J713+$B$4)*EXP(10*$K$22)</f>
        <v>0.59026238145624021</v>
      </c>
      <c r="L627" s="87"/>
      <c r="M627" s="87"/>
      <c r="N627" s="87"/>
      <c r="O627" s="87"/>
      <c r="P627" s="87"/>
      <c r="Q627" s="87"/>
      <c r="R627" s="87"/>
      <c r="S627" s="87"/>
      <c r="T627" s="87"/>
      <c r="U627" s="88">
        <f t="shared" si="26"/>
        <v>76.568313538713781</v>
      </c>
    </row>
    <row r="628" spans="1:21" x14ac:dyDescent="0.35">
      <c r="A628" s="30"/>
      <c r="B628" s="4"/>
      <c r="C628" s="4"/>
      <c r="D628" s="4"/>
      <c r="E628" s="4"/>
      <c r="F628" s="4"/>
      <c r="G628" s="38"/>
      <c r="H628" s="17"/>
      <c r="K628" s="8">
        <f>J713*EXP(10*K$22)</f>
        <v>0.58778761215375297</v>
      </c>
      <c r="L628" s="87"/>
      <c r="M628" s="87"/>
      <c r="N628" s="87"/>
      <c r="O628" s="87"/>
      <c r="P628" s="87"/>
      <c r="Q628" s="87"/>
      <c r="R628" s="87"/>
      <c r="S628" s="87"/>
      <c r="T628" s="87"/>
      <c r="U628" s="88">
        <f t="shared" si="26"/>
        <v>76.693843108579571</v>
      </c>
    </row>
    <row r="629" spans="1:21" x14ac:dyDescent="0.35">
      <c r="A629" s="30"/>
      <c r="B629" s="4"/>
      <c r="C629" s="4"/>
      <c r="D629" s="4"/>
      <c r="E629" s="4"/>
      <c r="F629" s="4"/>
      <c r="G629" s="4"/>
      <c r="H629" s="17"/>
      <c r="K629" s="9">
        <f>(J714+$B$4)*EXP(10*$K$22)</f>
        <v>0.58714452048499643</v>
      </c>
      <c r="L629" s="87"/>
      <c r="M629" s="87"/>
      <c r="N629" s="87"/>
      <c r="O629" s="87"/>
      <c r="P629" s="87"/>
      <c r="Q629" s="87"/>
      <c r="R629" s="87"/>
      <c r="S629" s="87"/>
      <c r="T629" s="87"/>
      <c r="U629" s="88">
        <f t="shared" si="26"/>
        <v>76.726534248566864</v>
      </c>
    </row>
    <row r="630" spans="1:21" x14ac:dyDescent="0.35">
      <c r="A630" s="30"/>
      <c r="B630" s="4"/>
      <c r="C630" s="4"/>
      <c r="D630" s="4"/>
      <c r="E630" s="4"/>
      <c r="F630" s="4"/>
      <c r="G630" s="38"/>
      <c r="H630" s="17"/>
      <c r="K630" s="8">
        <f>J714*EXP(10*K$22)</f>
        <v>0.58466975118250919</v>
      </c>
      <c r="L630" s="87"/>
      <c r="M630" s="87"/>
      <c r="N630" s="87"/>
      <c r="O630" s="87"/>
      <c r="P630" s="87"/>
      <c r="Q630" s="87"/>
      <c r="R630" s="87"/>
      <c r="S630" s="87"/>
      <c r="T630" s="87"/>
      <c r="U630" s="88">
        <f t="shared" si="26"/>
        <v>76.852612274965452</v>
      </c>
    </row>
    <row r="631" spans="1:21" x14ac:dyDescent="0.35">
      <c r="A631" s="30"/>
      <c r="B631" s="4"/>
      <c r="C631" s="4"/>
      <c r="D631" s="4"/>
      <c r="E631" s="4"/>
      <c r="F631" s="4"/>
      <c r="G631" s="4"/>
      <c r="H631" s="17"/>
      <c r="K631" s="9">
        <f>(J715+$B$4)*EXP(10*$K$22)</f>
        <v>0.59886801455423377</v>
      </c>
      <c r="L631" s="87"/>
      <c r="M631" s="87"/>
      <c r="N631" s="87"/>
      <c r="O631" s="87"/>
      <c r="P631" s="87"/>
      <c r="Q631" s="87"/>
      <c r="R631" s="87"/>
      <c r="S631" s="87"/>
      <c r="T631" s="87"/>
      <c r="U631" s="88">
        <f t="shared" si="26"/>
        <v>76.135158364507305</v>
      </c>
    </row>
    <row r="632" spans="1:21" x14ac:dyDescent="0.35">
      <c r="A632" s="30"/>
      <c r="B632" s="4"/>
      <c r="C632" s="4"/>
      <c r="D632" s="4"/>
      <c r="E632" s="4"/>
      <c r="F632" s="4"/>
      <c r="G632" s="38"/>
      <c r="H632" s="17"/>
      <c r="K632" s="8">
        <f>J715*EXP(10*K$22)</f>
        <v>0.59639324525174653</v>
      </c>
      <c r="L632" s="87"/>
      <c r="M632" s="87"/>
      <c r="N632" s="87"/>
      <c r="O632" s="87"/>
      <c r="P632" s="87"/>
      <c r="Q632" s="87"/>
      <c r="R632" s="87"/>
      <c r="S632" s="87"/>
      <c r="T632" s="87"/>
      <c r="U632" s="88">
        <f t="shared" si="26"/>
        <v>76.259192571688999</v>
      </c>
    </row>
    <row r="633" spans="1:21" x14ac:dyDescent="0.35">
      <c r="A633" s="30"/>
      <c r="B633" s="4"/>
      <c r="C633" s="4"/>
      <c r="D633" s="4"/>
      <c r="E633" s="4"/>
      <c r="F633" s="4"/>
      <c r="G633" s="4"/>
      <c r="H633" s="17"/>
      <c r="K633" s="9">
        <f>(J716+$B$4)*EXP(10*$K$22)</f>
        <v>0.59575015358298988</v>
      </c>
      <c r="L633" s="87"/>
      <c r="M633" s="87"/>
      <c r="N633" s="87"/>
      <c r="O633" s="87"/>
      <c r="P633" s="87"/>
      <c r="Q633" s="87"/>
      <c r="R633" s="87"/>
      <c r="S633" s="87"/>
      <c r="T633" s="87"/>
      <c r="U633" s="88">
        <f t="shared" si="26"/>
        <v>76.291493860266243</v>
      </c>
    </row>
    <row r="634" spans="1:21" x14ac:dyDescent="0.35">
      <c r="A634" s="30"/>
      <c r="B634" s="4"/>
      <c r="C634" s="4"/>
      <c r="D634" s="4"/>
      <c r="E634" s="4"/>
      <c r="F634" s="4"/>
      <c r="G634" s="38"/>
      <c r="H634" s="15"/>
      <c r="I634" s="16"/>
      <c r="J634" s="16"/>
      <c r="K634" s="8">
        <f>J716*EXP(10*K$22)</f>
        <v>0.59327538428050275</v>
      </c>
      <c r="L634" s="87"/>
      <c r="M634" s="87"/>
      <c r="N634" s="87"/>
      <c r="O634" s="87"/>
      <c r="P634" s="87"/>
      <c r="Q634" s="87"/>
      <c r="R634" s="87"/>
      <c r="S634" s="87"/>
      <c r="T634" s="87"/>
      <c r="U634" s="88">
        <f t="shared" si="26"/>
        <v>76.416066742506828</v>
      </c>
    </row>
    <row r="635" spans="1:21" x14ac:dyDescent="0.35">
      <c r="A635" s="30"/>
      <c r="B635" s="4"/>
      <c r="C635" s="4"/>
      <c r="D635" s="4"/>
      <c r="E635" s="4"/>
      <c r="F635" s="4"/>
      <c r="G635" s="4"/>
      <c r="I635" s="16"/>
      <c r="J635" s="16"/>
      <c r="K635" s="9">
        <f>(J717+$B$4)*EXP(10*$K$22)</f>
        <v>0.59497124776632471</v>
      </c>
      <c r="L635" s="87"/>
      <c r="M635" s="87"/>
      <c r="N635" s="87"/>
      <c r="O635" s="87"/>
      <c r="P635" s="87"/>
      <c r="Q635" s="87"/>
      <c r="R635" s="87"/>
      <c r="S635" s="87"/>
      <c r="T635" s="87"/>
      <c r="U635" s="88">
        <f t="shared" si="26"/>
        <v>76.330655530687551</v>
      </c>
    </row>
    <row r="636" spans="1:21" x14ac:dyDescent="0.35">
      <c r="A636" s="30"/>
      <c r="B636" s="4"/>
      <c r="C636" s="4"/>
      <c r="D636" s="4"/>
      <c r="E636" s="4"/>
      <c r="F636" s="38"/>
      <c r="G636" s="38"/>
      <c r="J636" s="16"/>
      <c r="K636" s="8">
        <f>J717*EXP(10*K$22)</f>
        <v>0.59249647846383757</v>
      </c>
      <c r="L636" s="87"/>
      <c r="M636" s="87"/>
      <c r="N636" s="87"/>
      <c r="O636" s="87"/>
      <c r="P636" s="87"/>
      <c r="Q636" s="87"/>
      <c r="R636" s="87"/>
      <c r="S636" s="87"/>
      <c r="T636" s="87"/>
      <c r="U636" s="88">
        <f t="shared" si="26"/>
        <v>76.45536353287504</v>
      </c>
    </row>
    <row r="637" spans="1:21" x14ac:dyDescent="0.35">
      <c r="A637" s="30"/>
      <c r="B637" s="4"/>
      <c r="C637" s="4"/>
      <c r="D637" s="4"/>
      <c r="E637" s="4"/>
      <c r="F637" s="4"/>
      <c r="G637" s="4"/>
      <c r="K637" s="9">
        <f>(J718+$B$4)*EXP(10*$K$22)</f>
        <v>0.59185338679508093</v>
      </c>
      <c r="L637" s="87"/>
      <c r="M637" s="87"/>
      <c r="N637" s="87"/>
      <c r="O637" s="87"/>
      <c r="P637" s="87"/>
      <c r="Q637" s="87"/>
      <c r="R637" s="87"/>
      <c r="S637" s="87"/>
      <c r="T637" s="87"/>
      <c r="U637" s="88">
        <f t="shared" si="26"/>
        <v>76.487840483535763</v>
      </c>
    </row>
    <row r="638" spans="1:21" x14ac:dyDescent="0.35">
      <c r="A638" s="30"/>
      <c r="B638" s="4"/>
      <c r="C638" s="4"/>
      <c r="D638" s="4"/>
      <c r="E638" s="4"/>
      <c r="F638" s="38"/>
      <c r="G638" s="38"/>
      <c r="K638" s="8">
        <f>J718*EXP(10*K$22)</f>
        <v>0.58937861749259379</v>
      </c>
      <c r="L638" s="87"/>
      <c r="M638" s="87"/>
      <c r="N638" s="87"/>
      <c r="O638" s="87"/>
      <c r="P638" s="87"/>
      <c r="Q638" s="87"/>
      <c r="R638" s="87"/>
      <c r="S638" s="87"/>
      <c r="T638" s="87"/>
      <c r="U638" s="88">
        <f t="shared" si="26"/>
        <v>76.613091560926421</v>
      </c>
    </row>
    <row r="639" spans="1:21" x14ac:dyDescent="0.35">
      <c r="A639" s="30"/>
      <c r="B639" s="4"/>
      <c r="C639" s="4"/>
      <c r="D639" s="4"/>
      <c r="E639" s="4"/>
      <c r="F639" s="4"/>
      <c r="G639" s="4"/>
      <c r="K639" s="9">
        <f>(J719+$B$4)*EXP(10*$K$22)</f>
        <v>0.59549305804949781</v>
      </c>
      <c r="L639" s="87"/>
      <c r="M639" s="87"/>
      <c r="N639" s="87"/>
      <c r="O639" s="87"/>
      <c r="P639" s="87"/>
      <c r="Q639" s="87"/>
      <c r="R639" s="87"/>
      <c r="S639" s="87"/>
      <c r="T639" s="87"/>
      <c r="U639" s="88">
        <f t="shared" si="26"/>
        <v>76.304415368557855</v>
      </c>
    </row>
    <row r="640" spans="1:21" x14ac:dyDescent="0.35">
      <c r="A640" s="30"/>
      <c r="B640" s="4"/>
      <c r="C640" s="4"/>
      <c r="D640" s="4"/>
      <c r="E640" s="38"/>
      <c r="F640" s="38"/>
      <c r="G640" s="38"/>
      <c r="K640" s="8">
        <f>J719*EXP(10*K$22)</f>
        <v>0.59301828874701068</v>
      </c>
      <c r="L640" s="87"/>
      <c r="M640" s="87"/>
      <c r="N640" s="87"/>
      <c r="O640" s="87"/>
      <c r="P640" s="87"/>
      <c r="Q640" s="87"/>
      <c r="R640" s="87"/>
      <c r="S640" s="87"/>
      <c r="T640" s="87"/>
      <c r="U640" s="88">
        <f t="shared" si="26"/>
        <v>76.429032825912117</v>
      </c>
    </row>
    <row r="641" spans="1:21" x14ac:dyDescent="0.35">
      <c r="A641" s="30"/>
      <c r="B641" s="4"/>
      <c r="C641" s="4"/>
      <c r="D641" s="38"/>
      <c r="E641" s="38"/>
      <c r="F641" s="38"/>
      <c r="G641" s="38"/>
      <c r="H641" s="17"/>
      <c r="J641" s="38"/>
      <c r="K641" s="9">
        <f>(J720+$B$4)*EXP(10*$K$22)</f>
        <v>0.59237519707825403</v>
      </c>
      <c r="L641" s="87"/>
      <c r="M641" s="87"/>
      <c r="N641" s="87"/>
      <c r="O641" s="87"/>
      <c r="P641" s="87"/>
      <c r="Q641" s="87"/>
      <c r="R641" s="87"/>
      <c r="S641" s="87"/>
      <c r="T641" s="87"/>
      <c r="U641" s="88">
        <f t="shared" si="26"/>
        <v>76.461486170944212</v>
      </c>
    </row>
    <row r="642" spans="1:21" x14ac:dyDescent="0.35">
      <c r="A642" s="30"/>
      <c r="B642" s="4"/>
      <c r="C642" s="4"/>
      <c r="D642" s="4"/>
      <c r="E642" s="4"/>
      <c r="F642" s="4"/>
      <c r="G642" s="4"/>
      <c r="H642" s="19"/>
      <c r="I642" s="16"/>
      <c r="J642" s="4"/>
      <c r="K642" s="8">
        <f>J720*EXP(10*K$22)</f>
        <v>0.58990042777576679</v>
      </c>
      <c r="L642" s="87"/>
      <c r="M642" s="87"/>
      <c r="N642" s="87"/>
      <c r="O642" s="87"/>
      <c r="P642" s="87"/>
      <c r="Q642" s="87"/>
      <c r="R642" s="87"/>
      <c r="S642" s="87"/>
      <c r="T642" s="87"/>
      <c r="U642" s="88">
        <f t="shared" si="26"/>
        <v>76.586646111512522</v>
      </c>
    </row>
    <row r="643" spans="1:21" x14ac:dyDescent="0.35">
      <c r="A643" s="30"/>
      <c r="B643" s="4"/>
      <c r="C643" s="4"/>
      <c r="D643" s="4"/>
      <c r="E643" s="4"/>
      <c r="F643" s="4"/>
      <c r="G643" s="4"/>
      <c r="H643" s="17"/>
      <c r="K643" s="9">
        <f>(J721+$B$4)*EXP(10*$K$22)</f>
        <v>0.59159629126158886</v>
      </c>
      <c r="L643" s="87"/>
      <c r="M643" s="87"/>
      <c r="N643" s="87"/>
      <c r="O643" s="87"/>
      <c r="P643" s="87"/>
      <c r="Q643" s="87"/>
      <c r="R643" s="87"/>
      <c r="S643" s="87"/>
      <c r="T643" s="87"/>
      <c r="U643" s="88">
        <f t="shared" si="26"/>
        <v>76.500832284133878</v>
      </c>
    </row>
    <row r="644" spans="1:21" x14ac:dyDescent="0.35">
      <c r="A644" s="30"/>
      <c r="B644" s="4"/>
      <c r="C644" s="4"/>
      <c r="D644" s="4"/>
      <c r="E644" s="4"/>
      <c r="F644" s="4"/>
      <c r="G644" s="38"/>
      <c r="H644" s="17"/>
      <c r="K644" s="8">
        <f>J721*EXP(10*K$22)</f>
        <v>0.58912152195910161</v>
      </c>
      <c r="L644" s="87"/>
      <c r="M644" s="87"/>
      <c r="N644" s="87"/>
      <c r="O644" s="87"/>
      <c r="P644" s="87"/>
      <c r="Q644" s="87"/>
      <c r="R644" s="87"/>
      <c r="S644" s="87"/>
      <c r="T644" s="87"/>
      <c r="U644" s="88">
        <f t="shared" si="26"/>
        <v>76.626128301177388</v>
      </c>
    </row>
    <row r="645" spans="1:21" s="74" customFormat="1" x14ac:dyDescent="0.35">
      <c r="A645" s="30"/>
      <c r="B645" s="4"/>
      <c r="C645" s="4"/>
      <c r="D645" s="4"/>
      <c r="E645" s="4"/>
      <c r="F645" s="4"/>
      <c r="G645" s="4"/>
      <c r="H645" s="17"/>
      <c r="I645" s="1"/>
      <c r="J645" s="1"/>
      <c r="K645" s="9">
        <f>(J722+$B$4)*EXP(10*$K$22)</f>
        <v>0.58847843029034497</v>
      </c>
      <c r="L645" s="87"/>
      <c r="M645" s="87"/>
      <c r="N645" s="87"/>
      <c r="O645" s="87"/>
      <c r="P645" s="87"/>
      <c r="Q645" s="87"/>
      <c r="R645" s="87"/>
      <c r="S645" s="87"/>
      <c r="T645" s="87"/>
      <c r="U645" s="88">
        <f t="shared" si="26"/>
        <v>76.658758551825073</v>
      </c>
    </row>
    <row r="646" spans="1:21" x14ac:dyDescent="0.35">
      <c r="A646" s="30"/>
      <c r="B646" s="4"/>
      <c r="C646" s="4"/>
      <c r="D646" s="4"/>
      <c r="E646" s="4"/>
      <c r="F646" s="4"/>
      <c r="G646" s="38"/>
      <c r="H646" s="17"/>
      <c r="K646" s="8">
        <f>J722*EXP(10*K$22)</f>
        <v>0.58600366098785772</v>
      </c>
      <c r="L646" s="87"/>
      <c r="M646" s="87"/>
      <c r="N646" s="87"/>
      <c r="O646" s="87"/>
      <c r="P646" s="87"/>
      <c r="Q646" s="87"/>
      <c r="R646" s="87"/>
      <c r="S646" s="87"/>
      <c r="T646" s="87"/>
      <c r="U646" s="88">
        <f t="shared" si="26"/>
        <v>76.784601493808196</v>
      </c>
    </row>
    <row r="647" spans="1:21" x14ac:dyDescent="0.35">
      <c r="A647" s="30"/>
      <c r="B647" s="4"/>
      <c r="C647" s="4"/>
      <c r="D647" s="4"/>
      <c r="E647" s="4"/>
      <c r="F647" s="4"/>
      <c r="G647" s="38"/>
      <c r="H647" s="17"/>
      <c r="K647" s="9">
        <f>(J723+$B$4)*EXP(10*$K$22)</f>
        <v>0.60020192435958242</v>
      </c>
      <c r="L647" s="87"/>
      <c r="M647" s="87"/>
      <c r="N647" s="87"/>
      <c r="O647" s="87"/>
      <c r="P647" s="87"/>
      <c r="Q647" s="87"/>
      <c r="R647" s="87"/>
      <c r="S647" s="87"/>
      <c r="T647" s="87"/>
      <c r="U647" s="88">
        <f t="shared" si="26"/>
        <v>76.068479917349876</v>
      </c>
    </row>
    <row r="648" spans="1:21" x14ac:dyDescent="0.35">
      <c r="A648" s="30"/>
      <c r="B648" s="4"/>
      <c r="C648" s="4"/>
      <c r="D648" s="4"/>
      <c r="E648" s="4"/>
      <c r="F648" s="4"/>
      <c r="G648" s="38"/>
      <c r="H648" s="17"/>
      <c r="K648" s="8">
        <f>J723*EXP(10*K$22)</f>
        <v>0.59772715505709517</v>
      </c>
      <c r="L648" s="87"/>
      <c r="M648" s="87"/>
      <c r="N648" s="87"/>
      <c r="O648" s="87"/>
      <c r="P648" s="87"/>
      <c r="Q648" s="87"/>
      <c r="R648" s="87"/>
      <c r="S648" s="87"/>
      <c r="T648" s="87"/>
      <c r="U648" s="88">
        <f t="shared" si="26"/>
        <v>76.192284730617956</v>
      </c>
    </row>
    <row r="649" spans="1:21" x14ac:dyDescent="0.35">
      <c r="A649" s="30"/>
      <c r="B649" s="4"/>
      <c r="C649" s="4"/>
      <c r="D649" s="4"/>
      <c r="E649" s="4"/>
      <c r="F649" s="4"/>
      <c r="G649" s="38"/>
      <c r="H649" s="17"/>
      <c r="K649" s="9">
        <f>(J724+$B$4)*EXP(10*$K$22)</f>
        <v>0.59708406338833853</v>
      </c>
      <c r="L649" s="87"/>
      <c r="M649" s="87"/>
      <c r="N649" s="87"/>
      <c r="O649" s="87"/>
      <c r="P649" s="87"/>
      <c r="Q649" s="87"/>
      <c r="R649" s="87"/>
      <c r="S649" s="87"/>
      <c r="T649" s="87"/>
      <c r="U649" s="88">
        <f t="shared" si="26"/>
        <v>76.224526215286929</v>
      </c>
    </row>
    <row r="650" spans="1:21" x14ac:dyDescent="0.35">
      <c r="A650" s="30"/>
      <c r="B650" s="4"/>
      <c r="C650" s="4"/>
      <c r="D650" s="4"/>
      <c r="E650" s="4"/>
      <c r="F650" s="4"/>
      <c r="G650" s="38"/>
      <c r="H650" s="17"/>
      <c r="K650" s="8">
        <f>J724*EXP(10*K$22)</f>
        <v>0.59460929408585139</v>
      </c>
      <c r="L650" s="87"/>
      <c r="M650" s="87"/>
      <c r="N650" s="87"/>
      <c r="O650" s="87"/>
      <c r="P650" s="87"/>
      <c r="Q650" s="87"/>
      <c r="R650" s="87"/>
      <c r="S650" s="87"/>
      <c r="T650" s="87"/>
      <c r="U650" s="88">
        <f t="shared" si="26"/>
        <v>76.348868208315736</v>
      </c>
    </row>
    <row r="651" spans="1:21" x14ac:dyDescent="0.35">
      <c r="A651" s="30"/>
      <c r="B651" s="4"/>
      <c r="C651" s="4"/>
      <c r="D651" s="4"/>
      <c r="E651" s="4"/>
      <c r="F651" s="4"/>
      <c r="G651" s="38"/>
      <c r="H651" s="17"/>
      <c r="K651" s="9">
        <f>(J725+$B$4)*EXP(10*$K$22)</f>
        <v>0.59630515757167335</v>
      </c>
      <c r="L651" s="87"/>
      <c r="M651" s="87"/>
      <c r="N651" s="87"/>
      <c r="O651" s="87"/>
      <c r="P651" s="87"/>
      <c r="Q651" s="87"/>
      <c r="R651" s="87"/>
      <c r="S651" s="87"/>
      <c r="T651" s="87"/>
      <c r="U651" s="88">
        <f t="shared" si="26"/>
        <v>76.263615344416905</v>
      </c>
    </row>
    <row r="652" spans="1:21" x14ac:dyDescent="0.35">
      <c r="A652" s="30"/>
      <c r="B652" s="4"/>
      <c r="C652" s="4"/>
      <c r="D652" s="4"/>
      <c r="E652" s="4"/>
      <c r="F652" s="4"/>
      <c r="G652" s="38"/>
      <c r="H652" s="17"/>
      <c r="K652" s="8">
        <f>J725*EXP(10*K$22)</f>
        <v>0.59383038826918622</v>
      </c>
      <c r="L652" s="87"/>
      <c r="M652" s="87"/>
      <c r="N652" s="87"/>
      <c r="O652" s="87"/>
      <c r="P652" s="87"/>
      <c r="Q652" s="87"/>
      <c r="R652" s="87"/>
      <c r="S652" s="87"/>
      <c r="T652" s="87"/>
      <c r="U652" s="88">
        <f t="shared" si="26"/>
        <v>76.38809208180858</v>
      </c>
    </row>
    <row r="653" spans="1:21" x14ac:dyDescent="0.35">
      <c r="A653" s="30"/>
      <c r="B653" s="4"/>
      <c r="C653" s="4"/>
      <c r="D653" s="4"/>
      <c r="E653" s="4"/>
      <c r="F653" s="4"/>
      <c r="G653" s="38"/>
      <c r="H653" s="17"/>
      <c r="K653" s="9">
        <f>(J726+$B$4)*EXP(10*$K$22)</f>
        <v>0.59318729660042957</v>
      </c>
      <c r="L653" s="87"/>
      <c r="M653" s="87"/>
      <c r="N653" s="87"/>
      <c r="O653" s="87"/>
      <c r="P653" s="87"/>
      <c r="Q653" s="87"/>
      <c r="R653" s="87"/>
      <c r="S653" s="87"/>
      <c r="T653" s="87"/>
      <c r="U653" s="88">
        <f t="shared" si="26"/>
        <v>76.420508740283992</v>
      </c>
    </row>
    <row r="654" spans="1:21" x14ac:dyDescent="0.35">
      <c r="A654" s="30"/>
      <c r="B654" s="4"/>
      <c r="C654" s="4"/>
      <c r="D654" s="4"/>
      <c r="E654" s="4"/>
      <c r="F654" s="4"/>
      <c r="G654" s="38"/>
      <c r="H654" s="17"/>
      <c r="K654" s="8">
        <f>J726*EXP(10*K$22)</f>
        <v>0.59071252729794232</v>
      </c>
      <c r="L654" s="87"/>
      <c r="M654" s="87"/>
      <c r="N654" s="87"/>
      <c r="O654" s="87"/>
      <c r="P654" s="87"/>
      <c r="Q654" s="87"/>
      <c r="R654" s="87"/>
      <c r="S654" s="87"/>
      <c r="T654" s="87"/>
      <c r="U654" s="88">
        <f t="shared" si="26"/>
        <v>76.545527041280423</v>
      </c>
    </row>
    <row r="655" spans="1:21" x14ac:dyDescent="0.35">
      <c r="A655" s="30"/>
      <c r="B655" s="4"/>
      <c r="C655" s="4"/>
      <c r="D655" s="4"/>
      <c r="E655" s="4"/>
      <c r="F655" s="4"/>
      <c r="G655" s="38"/>
      <c r="H655" s="17"/>
      <c r="K655" s="9">
        <f>(J727+$B$4)*EXP(10*$K$22)</f>
        <v>0.60141963723412695</v>
      </c>
      <c r="L655" s="87"/>
      <c r="M655" s="87"/>
      <c r="N655" s="87"/>
      <c r="O655" s="87"/>
      <c r="P655" s="87"/>
      <c r="Q655" s="87"/>
      <c r="R655" s="87"/>
      <c r="S655" s="87"/>
      <c r="T655" s="87"/>
      <c r="U655" s="88">
        <f t="shared" si="26"/>
        <v>76.007717371125224</v>
      </c>
    </row>
    <row r="656" spans="1:21" x14ac:dyDescent="0.35">
      <c r="A656" s="30"/>
      <c r="B656" s="4"/>
      <c r="C656" s="4"/>
      <c r="D656" s="4"/>
      <c r="E656" s="4"/>
      <c r="F656" s="4"/>
      <c r="G656" s="38"/>
      <c r="H656" s="17"/>
      <c r="K656" s="8">
        <f>J727*EXP(10*K$22)</f>
        <v>0.5989448679316397</v>
      </c>
      <c r="L656" s="87"/>
      <c r="M656" s="87"/>
      <c r="N656" s="87"/>
      <c r="O656" s="87"/>
      <c r="P656" s="87"/>
      <c r="Q656" s="87"/>
      <c r="R656" s="87"/>
      <c r="S656" s="87"/>
      <c r="T656" s="87"/>
      <c r="U656" s="88">
        <f t="shared" si="26"/>
        <v>76.131313328176134</v>
      </c>
    </row>
    <row r="657" spans="1:21" x14ac:dyDescent="0.35">
      <c r="A657" s="30"/>
      <c r="B657" s="4"/>
      <c r="C657" s="4"/>
      <c r="D657" s="4"/>
      <c r="E657" s="4"/>
      <c r="F657" s="4"/>
      <c r="G657" s="38"/>
      <c r="H657" s="17"/>
      <c r="K657" s="9">
        <f>(J728+$B$4)*EXP(10*$K$22)</f>
        <v>0.59830177626288306</v>
      </c>
      <c r="L657" s="87"/>
      <c r="M657" s="87"/>
      <c r="N657" s="87"/>
      <c r="O657" s="87"/>
      <c r="P657" s="87"/>
      <c r="Q657" s="87"/>
      <c r="R657" s="87"/>
      <c r="S657" s="87"/>
      <c r="T657" s="87"/>
      <c r="U657" s="88">
        <f t="shared" si="26"/>
        <v>76.163500363352554</v>
      </c>
    </row>
    <row r="658" spans="1:21" x14ac:dyDescent="0.35">
      <c r="A658" s="30"/>
      <c r="B658" s="4"/>
      <c r="C658" s="4"/>
      <c r="D658" s="4"/>
      <c r="E658" s="4"/>
      <c r="F658" s="4"/>
      <c r="G658" s="38"/>
      <c r="H658" s="17"/>
      <c r="K658" s="8">
        <f>J728*EXP(10*K$22)</f>
        <v>0.59582700696039581</v>
      </c>
      <c r="L658" s="87"/>
      <c r="M658" s="87"/>
      <c r="N658" s="87"/>
      <c r="O658" s="87"/>
      <c r="P658" s="87"/>
      <c r="Q658" s="87"/>
      <c r="R658" s="87"/>
      <c r="S658" s="87"/>
      <c r="T658" s="87"/>
      <c r="U658" s="88">
        <f t="shared" si="26"/>
        <v>76.287632139949878</v>
      </c>
    </row>
    <row r="659" spans="1:21" x14ac:dyDescent="0.35">
      <c r="A659" s="30"/>
      <c r="B659" s="4"/>
      <c r="C659" s="4"/>
      <c r="D659" s="4"/>
      <c r="E659" s="4"/>
      <c r="F659" s="4"/>
      <c r="G659" s="38"/>
      <c r="H659" s="17"/>
      <c r="K659" s="9">
        <f>(J729+$B$4)*EXP(10*$K$22)</f>
        <v>0.59752287044621799</v>
      </c>
      <c r="L659" s="87"/>
      <c r="M659" s="87"/>
      <c r="N659" s="87"/>
      <c r="O659" s="87"/>
      <c r="P659" s="87"/>
      <c r="Q659" s="87"/>
      <c r="R659" s="87"/>
      <c r="S659" s="87"/>
      <c r="T659" s="87"/>
      <c r="U659" s="88">
        <f t="shared" si="26"/>
        <v>76.202523446108103</v>
      </c>
    </row>
    <row r="660" spans="1:21" x14ac:dyDescent="0.35">
      <c r="A660" s="30"/>
      <c r="B660" s="4"/>
      <c r="C660" s="4"/>
      <c r="D660" s="4"/>
      <c r="E660" s="4"/>
      <c r="F660" s="4"/>
      <c r="G660" s="38"/>
      <c r="H660" s="17"/>
      <c r="K660" s="8">
        <f>J729*EXP(10*K$22)</f>
        <v>0.59504810114373086</v>
      </c>
      <c r="L660" s="87"/>
      <c r="M660" s="87"/>
      <c r="N660" s="87"/>
      <c r="O660" s="87"/>
      <c r="P660" s="87"/>
      <c r="Q660" s="87"/>
      <c r="R660" s="87"/>
      <c r="S660" s="87"/>
      <c r="T660" s="87"/>
      <c r="U660" s="88">
        <f t="shared" si="26"/>
        <v>76.326789625415813</v>
      </c>
    </row>
    <row r="661" spans="1:21" x14ac:dyDescent="0.35">
      <c r="A661" s="30"/>
      <c r="B661" s="4"/>
      <c r="C661" s="4"/>
      <c r="D661" s="4"/>
      <c r="E661" s="4"/>
      <c r="F661" s="4"/>
      <c r="G661" s="4"/>
      <c r="H661" s="17"/>
      <c r="K661" s="9">
        <f>(J730+$B$4)*EXP(10*$K$22)</f>
        <v>0.5944050094749741</v>
      </c>
      <c r="L661" s="87"/>
      <c r="M661" s="87"/>
      <c r="N661" s="87"/>
      <c r="O661" s="87"/>
      <c r="P661" s="87"/>
      <c r="Q661" s="87"/>
      <c r="R661" s="87"/>
      <c r="S661" s="87"/>
      <c r="T661" s="87"/>
      <c r="U661" s="88">
        <f t="shared" si="26"/>
        <v>76.359151390234231</v>
      </c>
    </row>
    <row r="662" spans="1:21" x14ac:dyDescent="0.35">
      <c r="A662" s="30"/>
      <c r="B662" s="4"/>
      <c r="C662" s="4"/>
      <c r="D662" s="4"/>
      <c r="E662" s="4"/>
      <c r="F662" s="4"/>
      <c r="G662" s="38"/>
      <c r="H662" s="15"/>
      <c r="I662" s="16"/>
      <c r="J662" s="16"/>
      <c r="K662" s="8">
        <f>J730*EXP(10*K$22)</f>
        <v>0.59193024017248697</v>
      </c>
      <c r="L662" s="87"/>
      <c r="M662" s="87"/>
      <c r="N662" s="87"/>
      <c r="O662" s="87"/>
      <c r="P662" s="87"/>
      <c r="Q662" s="87"/>
      <c r="R662" s="87"/>
      <c r="S662" s="87"/>
      <c r="T662" s="87"/>
      <c r="U662" s="88">
        <f t="shared" si="26"/>
        <v>76.483957758117924</v>
      </c>
    </row>
    <row r="663" spans="1:21" x14ac:dyDescent="0.35">
      <c r="A663" s="30"/>
      <c r="B663" s="4"/>
      <c r="C663" s="4"/>
      <c r="D663" s="4"/>
      <c r="E663" s="4"/>
      <c r="F663" s="4"/>
      <c r="G663" s="4"/>
      <c r="I663" s="16"/>
      <c r="J663" s="16"/>
      <c r="K663" s="9">
        <f>(J731+$B$4)*EXP(10*$K$22)</f>
        <v>0.60612850354421155</v>
      </c>
      <c r="L663" s="87"/>
      <c r="M663" s="87"/>
      <c r="N663" s="87"/>
      <c r="O663" s="87"/>
      <c r="P663" s="87"/>
      <c r="Q663" s="87"/>
      <c r="R663" s="87"/>
      <c r="S663" s="87"/>
      <c r="T663" s="87"/>
      <c r="U663" s="88">
        <f t="shared" si="26"/>
        <v>75.773711115379882</v>
      </c>
    </row>
    <row r="664" spans="1:21" x14ac:dyDescent="0.35">
      <c r="A664" s="30"/>
      <c r="B664" s="4"/>
      <c r="C664" s="4"/>
      <c r="D664" s="4"/>
      <c r="E664" s="4"/>
      <c r="F664" s="38"/>
      <c r="G664" s="38"/>
      <c r="J664" s="16"/>
      <c r="K664" s="8">
        <f>J731*EXP(10*K$22)</f>
        <v>0.6036537342417243</v>
      </c>
      <c r="L664" s="87"/>
      <c r="M664" s="87"/>
      <c r="N664" s="87"/>
      <c r="O664" s="87"/>
      <c r="P664" s="87"/>
      <c r="Q664" s="87"/>
      <c r="R664" s="87"/>
      <c r="S664" s="87"/>
      <c r="T664" s="87"/>
      <c r="U664" s="88">
        <f t="shared" si="26"/>
        <v>75.896504383674952</v>
      </c>
    </row>
    <row r="665" spans="1:21" x14ac:dyDescent="0.35">
      <c r="A665" s="30"/>
      <c r="B665" s="4"/>
      <c r="C665" s="4"/>
      <c r="D665" s="4"/>
      <c r="E665" s="4"/>
      <c r="F665" s="4"/>
      <c r="G665" s="4"/>
      <c r="K665" s="9">
        <f>(J732+$B$4)*EXP(10*$K$22)</f>
        <v>0.60301064257296766</v>
      </c>
      <c r="L665" s="87"/>
      <c r="M665" s="87"/>
      <c r="N665" s="87"/>
      <c r="O665" s="87"/>
      <c r="P665" s="87"/>
      <c r="Q665" s="87"/>
      <c r="R665" s="87"/>
      <c r="S665" s="87"/>
      <c r="T665" s="87"/>
      <c r="U665" s="88">
        <f t="shared" si="26"/>
        <v>75.928482156680886</v>
      </c>
    </row>
    <row r="666" spans="1:21" x14ac:dyDescent="0.35">
      <c r="A666" s="30"/>
      <c r="B666" s="4"/>
      <c r="C666" s="4"/>
      <c r="D666" s="4"/>
      <c r="E666" s="4"/>
      <c r="F666" s="38"/>
      <c r="G666" s="38"/>
      <c r="K666" s="8">
        <f>J732*EXP(10*K$22)</f>
        <v>0.60053587327048052</v>
      </c>
      <c r="L666" s="87"/>
      <c r="M666" s="87"/>
      <c r="N666" s="87"/>
      <c r="O666" s="87"/>
      <c r="P666" s="87"/>
      <c r="Q666" s="87"/>
      <c r="R666" s="87"/>
      <c r="S666" s="87"/>
      <c r="T666" s="87"/>
      <c r="U666" s="88">
        <f t="shared" si="26"/>
        <v>76.051806027611605</v>
      </c>
    </row>
    <row r="667" spans="1:21" x14ac:dyDescent="0.35">
      <c r="A667" s="30"/>
      <c r="B667" s="4"/>
      <c r="C667" s="4"/>
      <c r="D667" s="4"/>
      <c r="E667" s="4"/>
      <c r="F667" s="4"/>
      <c r="G667" s="4"/>
      <c r="K667" s="9">
        <f>(J733+$B$4)*EXP(10*$K$22)</f>
        <v>0.60223173675630248</v>
      </c>
      <c r="L667" s="87"/>
      <c r="M667" s="87"/>
      <c r="N667" s="87"/>
      <c r="O667" s="87"/>
      <c r="P667" s="87"/>
      <c r="Q667" s="87"/>
      <c r="R667" s="87"/>
      <c r="S667" s="87"/>
      <c r="T667" s="87"/>
      <c r="U667" s="88">
        <f t="shared" si="26"/>
        <v>75.96725140849945</v>
      </c>
    </row>
    <row r="668" spans="1:21" x14ac:dyDescent="0.35">
      <c r="A668" s="30"/>
      <c r="B668" s="4"/>
      <c r="C668" s="4"/>
      <c r="D668" s="4"/>
      <c r="E668" s="38"/>
      <c r="F668" s="38"/>
      <c r="G668" s="38"/>
      <c r="K668" s="8">
        <f>J733*EXP(10*K$22)</f>
        <v>0.59975696745381535</v>
      </c>
      <c r="L668" s="87"/>
      <c r="M668" s="87"/>
      <c r="N668" s="87"/>
      <c r="O668" s="87"/>
      <c r="P668" s="87"/>
      <c r="Q668" s="87"/>
      <c r="R668" s="87"/>
      <c r="S668" s="87"/>
      <c r="T668" s="87"/>
      <c r="U668" s="88">
        <f t="shared" si="26"/>
        <v>76.090708371794989</v>
      </c>
    </row>
    <row r="669" spans="1:21" x14ac:dyDescent="0.35">
      <c r="A669" s="30"/>
      <c r="B669" s="4"/>
      <c r="C669" s="4"/>
      <c r="D669" s="38"/>
      <c r="E669" s="38"/>
      <c r="F669" s="38"/>
      <c r="G669" s="38"/>
      <c r="H669" s="17"/>
      <c r="J669" s="38"/>
      <c r="K669" s="9">
        <f>(J734+$B$4)*EXP(10*$K$22)</f>
        <v>0.5991138757850587</v>
      </c>
      <c r="L669" s="87"/>
      <c r="M669" s="87"/>
      <c r="N669" s="87"/>
      <c r="O669" s="87"/>
      <c r="P669" s="87"/>
      <c r="Q669" s="87"/>
      <c r="R669" s="87"/>
      <c r="S669" s="87"/>
      <c r="T669" s="87"/>
      <c r="U669" s="88">
        <f t="shared" si="26"/>
        <v>76.122859170931662</v>
      </c>
    </row>
    <row r="670" spans="1:21" x14ac:dyDescent="0.35">
      <c r="A670" s="30"/>
      <c r="B670" s="4"/>
      <c r="C670" s="4"/>
      <c r="D670" s="4"/>
      <c r="E670" s="4"/>
      <c r="F670" s="4"/>
      <c r="G670" s="4"/>
      <c r="H670" s="19"/>
      <c r="I670" s="16"/>
      <c r="J670" s="4"/>
      <c r="K670" s="8">
        <f>J734*EXP(10*K$22)</f>
        <v>0.59663910648257157</v>
      </c>
      <c r="L670" s="87"/>
      <c r="M670" s="87"/>
      <c r="N670" s="87"/>
      <c r="O670" s="87"/>
      <c r="P670" s="87"/>
      <c r="Q670" s="87"/>
      <c r="R670" s="87"/>
      <c r="S670" s="87"/>
      <c r="T670" s="87"/>
      <c r="U670" s="88">
        <f t="shared" si="26"/>
        <v>76.246851049190738</v>
      </c>
    </row>
    <row r="671" spans="1:21" x14ac:dyDescent="0.35">
      <c r="A671" s="30"/>
      <c r="B671" s="4"/>
      <c r="C671" s="4"/>
      <c r="D671" s="4"/>
      <c r="E671" s="4"/>
      <c r="F671" s="4"/>
      <c r="G671" s="4"/>
      <c r="H671" s="15"/>
      <c r="J671" s="9">
        <f>(I735+$B$4)*EXP(10*$J$22)</f>
        <v>0.40127656224797842</v>
      </c>
      <c r="K671" s="9">
        <f>(J735+$B$4)*EXP(10*$K$22)</f>
        <v>0.5997337207868827</v>
      </c>
      <c r="L671" s="87"/>
      <c r="M671" s="87"/>
      <c r="N671" s="87"/>
      <c r="O671" s="87"/>
      <c r="P671" s="87"/>
      <c r="Q671" s="87"/>
      <c r="R671" s="87"/>
      <c r="S671" s="87"/>
      <c r="T671" s="88">
        <f>MIN($B$8,AVERAGE(U543:U544)/(1+J671+$D$8/10000))+$B$7</f>
        <v>69.566959188672499</v>
      </c>
      <c r="U671" s="88">
        <f t="shared" ref="U671:U734" si="27">MIN($B$8,((100+$B$7)/(1+K671+$D$8/10000)))+$B$7</f>
        <v>76.091870068983425</v>
      </c>
    </row>
    <row r="672" spans="1:21" x14ac:dyDescent="0.35">
      <c r="A672" s="30"/>
      <c r="B672" s="4"/>
      <c r="C672" s="4"/>
      <c r="D672" s="4"/>
      <c r="E672" s="4"/>
      <c r="F672" s="4"/>
      <c r="G672" s="4"/>
      <c r="H672" s="17"/>
      <c r="I672" s="16"/>
      <c r="J672" s="8">
        <f>I735*EXP(10*J$22)</f>
        <v>0.39875684376907999</v>
      </c>
      <c r="K672" s="8">
        <f>J735*EXP(10*K$22)</f>
        <v>0.59725895148439556</v>
      </c>
      <c r="L672" s="87"/>
      <c r="M672" s="87"/>
      <c r="N672" s="87"/>
      <c r="O672" s="87"/>
      <c r="P672" s="87"/>
      <c r="Q672" s="87"/>
      <c r="R672" s="87"/>
      <c r="S672" s="87"/>
      <c r="T672" s="88">
        <f>MIN($B$8,AVERAGE(U545:U546)/(1+J672+$D$8/10000))+$B$7</f>
        <v>69.845660637114889</v>
      </c>
      <c r="U672" s="88">
        <f t="shared" si="27"/>
        <v>76.215755327190152</v>
      </c>
    </row>
    <row r="673" spans="1:21" x14ac:dyDescent="0.35">
      <c r="A673" s="30"/>
      <c r="B673" s="4"/>
      <c r="C673" s="4"/>
      <c r="D673" s="39"/>
      <c r="E673" s="4"/>
      <c r="F673" s="4"/>
      <c r="G673" s="4"/>
      <c r="H673" s="17"/>
      <c r="J673" s="9">
        <f>(I736+$B$4)*EXP(10*$J$22)</f>
        <v>0.39812736625302841</v>
      </c>
      <c r="K673" s="9">
        <f>(J736+$B$4)*EXP(10*$K$22)</f>
        <v>0.59661585981563892</v>
      </c>
      <c r="L673" s="87"/>
      <c r="M673" s="87"/>
      <c r="N673" s="87"/>
      <c r="O673" s="87"/>
      <c r="P673" s="87"/>
      <c r="Q673" s="87"/>
      <c r="R673" s="87"/>
      <c r="S673" s="87"/>
      <c r="T673" s="88">
        <f>MIN($B$8,AVERAGE(U547:U548)/(1+J673+$D$8/10000))+$B$7</f>
        <v>69.915568795217254</v>
      </c>
      <c r="U673" s="88">
        <f t="shared" si="27"/>
        <v>76.248017784155039</v>
      </c>
    </row>
    <row r="674" spans="1:21" x14ac:dyDescent="0.35">
      <c r="A674" s="30"/>
      <c r="B674" s="4"/>
      <c r="C674" s="4"/>
      <c r="D674" s="4"/>
      <c r="E674" s="4"/>
      <c r="F674" s="4"/>
      <c r="G674" s="4"/>
      <c r="H674" s="17"/>
      <c r="J674" s="8">
        <f>I736*EXP(10*J$22)</f>
        <v>0.39560764777412993</v>
      </c>
      <c r="K674" s="8">
        <f>J736*EXP(10*K$22)</f>
        <v>0.59414109051315167</v>
      </c>
      <c r="L674" s="87"/>
      <c r="M674" s="87"/>
      <c r="N674" s="87"/>
      <c r="O674" s="87"/>
      <c r="P674" s="87"/>
      <c r="Q674" s="87"/>
      <c r="R674" s="87"/>
      <c r="S674" s="87"/>
      <c r="T674" s="88">
        <f>MIN($B$8,AVERAGE(U549:U550)/(1+J674+$D$8/10000))+$B$7</f>
        <v>70.19654170783555</v>
      </c>
      <c r="U674" s="88">
        <f t="shared" si="27"/>
        <v>76.372440746342434</v>
      </c>
    </row>
    <row r="675" spans="1:21" x14ac:dyDescent="0.35">
      <c r="A675" s="30"/>
      <c r="B675" s="4"/>
      <c r="C675" s="4"/>
      <c r="D675" s="4"/>
      <c r="E675" s="4"/>
      <c r="F675" s="4"/>
      <c r="G675" s="4"/>
      <c r="H675" s="17"/>
      <c r="J675" s="9">
        <f>(I737+$B$4)*EXP(10*$J$22)</f>
        <v>0.46976727026167914</v>
      </c>
      <c r="K675" s="9">
        <f>(J737+$B$4)*EXP(10*$K$22)</f>
        <v>0.59583695399897374</v>
      </c>
      <c r="L675" s="87"/>
      <c r="M675" s="87"/>
      <c r="N675" s="87"/>
      <c r="O675" s="87"/>
      <c r="P675" s="87"/>
      <c r="Q675" s="87"/>
      <c r="R675" s="87"/>
      <c r="S675" s="87"/>
      <c r="T675" s="88">
        <f>MIN($B$8,AVERAGE(U551:U552)/(1+J675+$D$8/10000))+$B$7</f>
        <v>62.631987854034499</v>
      </c>
      <c r="U675" s="88">
        <f t="shared" si="27"/>
        <v>76.287132352370747</v>
      </c>
    </row>
    <row r="676" spans="1:21" x14ac:dyDescent="0.35">
      <c r="A676" s="30"/>
      <c r="B676" s="4"/>
      <c r="C676" s="4"/>
      <c r="D676" s="4"/>
      <c r="E676" s="4"/>
      <c r="F676" s="4"/>
      <c r="G676" s="4"/>
      <c r="H676" s="15"/>
      <c r="I676" s="16"/>
      <c r="J676" s="8">
        <f>I737*EXP(10*J$22)</f>
        <v>0.46724755178278066</v>
      </c>
      <c r="K676" s="8">
        <f>J737*EXP(10*K$22)</f>
        <v>0.59336218469648649</v>
      </c>
      <c r="L676" s="87"/>
      <c r="M676" s="87"/>
      <c r="N676" s="87"/>
      <c r="O676" s="87"/>
      <c r="P676" s="87"/>
      <c r="Q676" s="87"/>
      <c r="R676" s="87"/>
      <c r="S676" s="87"/>
      <c r="T676" s="88">
        <f>MIN($B$8,AVERAGE(U553:U554)/(1+J676+$D$8/10000))+$B$7</f>
        <v>62.866838939516221</v>
      </c>
      <c r="U676" s="88">
        <f t="shared" si="27"/>
        <v>76.411690190592637</v>
      </c>
    </row>
    <row r="677" spans="1:21" x14ac:dyDescent="0.35">
      <c r="A677" s="30"/>
      <c r="B677" s="4"/>
      <c r="C677" s="4"/>
      <c r="D677" s="4"/>
      <c r="E677" s="4"/>
      <c r="F677" s="4"/>
      <c r="G677" s="4"/>
      <c r="I677" s="16"/>
      <c r="J677" s="9">
        <f>(I738+$B$4)*EXP(10*$J$22)</f>
        <v>0.46661807426672908</v>
      </c>
      <c r="K677" s="9">
        <f>(J738+$B$4)*EXP(10*$K$22)</f>
        <v>0.59271909302772985</v>
      </c>
      <c r="L677" s="87"/>
      <c r="M677" s="87"/>
      <c r="N677" s="87"/>
      <c r="O677" s="87"/>
      <c r="P677" s="87"/>
      <c r="Q677" s="87"/>
      <c r="R677" s="87"/>
      <c r="S677" s="87"/>
      <c r="T677" s="88">
        <f>MIN($B$8,AVERAGE(U555:U556)/(1+J677+$D$8/10000))+$B$7</f>
        <v>62.925734318992745</v>
      </c>
      <c r="U677" s="88">
        <f t="shared" si="27"/>
        <v>76.444127992543301</v>
      </c>
    </row>
    <row r="678" spans="1:21" x14ac:dyDescent="0.35">
      <c r="A678" s="30"/>
      <c r="B678" s="4"/>
      <c r="C678" s="4"/>
      <c r="D678" s="4"/>
      <c r="E678" s="4"/>
      <c r="F678" s="4"/>
      <c r="G678" s="4"/>
      <c r="J678" s="8">
        <f>I738*EXP(10*J$22)</f>
        <v>0.46409835578783065</v>
      </c>
      <c r="K678" s="8">
        <f>J738*EXP(10*K$22)</f>
        <v>0.5902443237252426</v>
      </c>
      <c r="L678" s="87"/>
      <c r="M678" s="87"/>
      <c r="N678" s="87"/>
      <c r="O678" s="87"/>
      <c r="P678" s="87"/>
      <c r="Q678" s="87"/>
      <c r="R678" s="87"/>
      <c r="S678" s="87"/>
      <c r="T678" s="88">
        <f>MIN($B$8,AVERAGE(U557:U558)/(1+J678+$D$8/10000))+$B$7</f>
        <v>63.162390229544904</v>
      </c>
      <c r="U678" s="88">
        <f t="shared" si="27"/>
        <v>76.569227924302666</v>
      </c>
    </row>
    <row r="679" spans="1:21" x14ac:dyDescent="0.35">
      <c r="A679" s="30"/>
      <c r="B679" s="4"/>
      <c r="C679" s="4"/>
      <c r="D679" s="4"/>
      <c r="E679" s="4"/>
      <c r="F679" s="4"/>
      <c r="G679" s="4"/>
      <c r="J679" s="9">
        <f>(I739+$B$4)*EXP(10*$J$22)</f>
        <v>0.47075137239460974</v>
      </c>
      <c r="K679" s="9">
        <f>(J739+$B$4)*EXP(10*$K$22)</f>
        <v>0.60444258709696719</v>
      </c>
      <c r="L679" s="87"/>
      <c r="M679" s="87"/>
      <c r="N679" s="87"/>
      <c r="O679" s="87"/>
      <c r="P679" s="87"/>
      <c r="Q679" s="87"/>
      <c r="R679" s="87"/>
      <c r="S679" s="87"/>
      <c r="T679" s="88">
        <f>MIN($B$8,AVERAGE(U559:U560)/(1+J679+$D$8/10000))+$B$7</f>
        <v>62.540653508234655</v>
      </c>
      <c r="U679" s="88">
        <f t="shared" si="27"/>
        <v>75.857317435899702</v>
      </c>
    </row>
    <row r="680" spans="1:21" x14ac:dyDescent="0.35">
      <c r="A680" s="30"/>
      <c r="B680" s="4"/>
      <c r="C680" s="4"/>
      <c r="D680" s="4"/>
      <c r="E680" s="4"/>
      <c r="F680" s="4"/>
      <c r="G680" s="4"/>
      <c r="J680" s="8">
        <f>I739*EXP(10*J$22)</f>
        <v>0.46823165391571125</v>
      </c>
      <c r="K680" s="8">
        <f>J739*EXP(10*K$22)</f>
        <v>0.60196781779448005</v>
      </c>
      <c r="L680" s="87"/>
      <c r="M680" s="87"/>
      <c r="N680" s="87"/>
      <c r="O680" s="87"/>
      <c r="P680" s="87"/>
      <c r="Q680" s="87"/>
      <c r="R680" s="87"/>
      <c r="S680" s="87"/>
      <c r="T680" s="88">
        <f>MIN($B$8,AVERAGE(U561:U562)/(1+J680+$D$8/10000))+$B$7</f>
        <v>62.774944386350825</v>
      </c>
      <c r="U680" s="88">
        <f t="shared" si="27"/>
        <v>75.980397190014173</v>
      </c>
    </row>
    <row r="681" spans="1:21" x14ac:dyDescent="0.35">
      <c r="A681" s="30"/>
      <c r="B681" s="4"/>
      <c r="C681" s="4"/>
      <c r="D681" s="4"/>
      <c r="E681" s="4"/>
      <c r="F681" s="4"/>
      <c r="G681" s="4"/>
      <c r="J681" s="9">
        <f>(I740+$B$4)*EXP(10*$J$22)</f>
        <v>0.46760217639965967</v>
      </c>
      <c r="K681" s="9">
        <f>(J740+$B$4)*EXP(10*$K$22)</f>
        <v>0.60132472612572341</v>
      </c>
      <c r="L681" s="87"/>
      <c r="M681" s="87"/>
      <c r="N681" s="87"/>
      <c r="O681" s="87"/>
      <c r="P681" s="87"/>
      <c r="Q681" s="87"/>
      <c r="R681" s="87"/>
      <c r="S681" s="87"/>
      <c r="T681" s="88">
        <f>MIN($B$8,AVERAGE(U563:U564)/(1+J681+$D$8/10000))+$B$7</f>
        <v>62.833699095200764</v>
      </c>
      <c r="U681" s="88">
        <f t="shared" si="27"/>
        <v>76.012449650052488</v>
      </c>
    </row>
    <row r="682" spans="1:21" x14ac:dyDescent="0.35">
      <c r="A682" s="30"/>
      <c r="B682" s="4"/>
      <c r="C682" s="4"/>
      <c r="D682" s="4"/>
      <c r="E682" s="4"/>
      <c r="F682" s="4"/>
      <c r="G682" s="4"/>
      <c r="J682" s="8">
        <f>I740*EXP(10*J$22)</f>
        <v>0.46508245792076125</v>
      </c>
      <c r="K682" s="8">
        <f>J740*EXP(10*K$22)</f>
        <v>0.59884995682323627</v>
      </c>
      <c r="L682" s="87"/>
      <c r="M682" s="87"/>
      <c r="N682" s="87"/>
      <c r="O682" s="87"/>
      <c r="P682" s="87"/>
      <c r="Q682" s="87"/>
      <c r="R682" s="87"/>
      <c r="S682" s="87"/>
      <c r="T682" s="88">
        <f>MIN($B$8,AVERAGE(U565:U566)/(1+J682+$D$8/10000))+$B$7</f>
        <v>63.069789017514601</v>
      </c>
      <c r="U682" s="88">
        <f t="shared" si="27"/>
        <v>76.136061866799182</v>
      </c>
    </row>
    <row r="683" spans="1:21" x14ac:dyDescent="0.35">
      <c r="A683" s="30"/>
      <c r="B683" s="4"/>
      <c r="C683" s="4"/>
      <c r="D683" s="4"/>
      <c r="E683" s="4"/>
      <c r="F683" s="4"/>
      <c r="G683" s="4"/>
      <c r="H683" s="17"/>
      <c r="J683" s="9">
        <f>(I741+$B$4)*EXP(10*$J$22)</f>
        <v>0.47455687160243654</v>
      </c>
      <c r="K683" s="9">
        <f>(J741+$B$4)*EXP(10*$K$22)</f>
        <v>0.60054582030905823</v>
      </c>
      <c r="L683" s="87"/>
      <c r="M683" s="87"/>
      <c r="N683" s="87"/>
      <c r="O683" s="87"/>
      <c r="P683" s="87"/>
      <c r="Q683" s="87"/>
      <c r="R683" s="87"/>
      <c r="S683" s="87"/>
      <c r="T683" s="88">
        <f>MIN($B$8,AVERAGE(U567:U568)/(1+J683+$D$8/10000))+$B$7</f>
        <v>62.189506764882253</v>
      </c>
      <c r="U683" s="88">
        <f t="shared" si="27"/>
        <v>76.051309495646194</v>
      </c>
    </row>
    <row r="684" spans="1:21" x14ac:dyDescent="0.35">
      <c r="A684" s="30"/>
      <c r="B684" s="4"/>
      <c r="C684" s="4"/>
      <c r="D684" s="4"/>
      <c r="E684" s="4"/>
      <c r="F684" s="4"/>
      <c r="G684" s="4"/>
      <c r="H684" s="17"/>
      <c r="J684" s="8">
        <f>I741*EXP(10*J$22)</f>
        <v>0.47203715312353806</v>
      </c>
      <c r="K684" s="8">
        <f>J741*EXP(10*K$22)</f>
        <v>0.5980710510065711</v>
      </c>
      <c r="L684" s="87"/>
      <c r="M684" s="87"/>
      <c r="N684" s="87"/>
      <c r="O684" s="87"/>
      <c r="P684" s="87"/>
      <c r="Q684" s="87"/>
      <c r="R684" s="87"/>
      <c r="S684" s="87"/>
      <c r="T684" s="88">
        <f>MIN($B$8,AVERAGE(U569:U570)/(1+J684+$D$8/10000))+$B$7</f>
        <v>62.421648126628497</v>
      </c>
      <c r="U684" s="88">
        <f t="shared" si="27"/>
        <v>76.175055271935435</v>
      </c>
    </row>
    <row r="685" spans="1:21" x14ac:dyDescent="0.35">
      <c r="A685" s="30"/>
      <c r="B685" s="4"/>
      <c r="C685" s="4"/>
      <c r="D685" s="4"/>
      <c r="E685" s="4"/>
      <c r="F685" s="4"/>
      <c r="G685" s="4"/>
      <c r="H685" s="17"/>
      <c r="J685" s="9">
        <f>(I742+$B$4)*EXP(10*$J$22)</f>
        <v>0.47140767560748648</v>
      </c>
      <c r="K685" s="9">
        <f>(J742+$B$4)*EXP(10*$K$22)</f>
        <v>0.59742795933781445</v>
      </c>
      <c r="L685" s="87"/>
      <c r="M685" s="87"/>
      <c r="N685" s="87"/>
      <c r="O685" s="87"/>
      <c r="P685" s="87"/>
      <c r="Q685" s="87"/>
      <c r="R685" s="87"/>
      <c r="S685" s="87"/>
      <c r="T685" s="88">
        <f>MIN($B$8,AVERAGE(U571:U572)/(1+J685+$D$8/10000))+$B$7</f>
        <v>62.479863087568141</v>
      </c>
      <c r="U685" s="88">
        <f t="shared" si="27"/>
        <v>76.207281365457618</v>
      </c>
    </row>
    <row r="686" spans="1:21" x14ac:dyDescent="0.35">
      <c r="A686" s="30"/>
      <c r="B686" s="4"/>
      <c r="C686" s="4"/>
      <c r="D686" s="4"/>
      <c r="E686" s="4"/>
      <c r="F686" s="4"/>
      <c r="G686" s="4"/>
      <c r="H686" s="17"/>
      <c r="J686" s="8">
        <f>I742*EXP(10*J$22)</f>
        <v>0.46888795712858805</v>
      </c>
      <c r="K686" s="8">
        <f>J742*EXP(10*K$22)</f>
        <v>0.59495319003532721</v>
      </c>
      <c r="L686" s="87"/>
      <c r="M686" s="87"/>
      <c r="N686" s="87"/>
      <c r="O686" s="87"/>
      <c r="P686" s="87"/>
      <c r="Q686" s="87"/>
      <c r="R686" s="87"/>
      <c r="S686" s="87"/>
      <c r="T686" s="88">
        <f>MIN($B$8,AVERAGE(U573:U574)/(1+J686+$D$8/10000))+$B$7</f>
        <v>62.713781356361309</v>
      </c>
      <c r="U686" s="88">
        <f t="shared" si="27"/>
        <v>76.331563936901532</v>
      </c>
    </row>
    <row r="687" spans="1:21" x14ac:dyDescent="0.35">
      <c r="A687" s="30"/>
      <c r="B687" s="4"/>
      <c r="C687" s="4"/>
      <c r="D687" s="4"/>
      <c r="E687" s="4"/>
      <c r="F687" s="4"/>
      <c r="G687" s="4"/>
      <c r="H687" s="17"/>
      <c r="J687" s="9">
        <f>(I743+$B$4)*EXP(10*$J$22)</f>
        <v>0.47182937979029554</v>
      </c>
      <c r="K687" s="9">
        <f>(J743+$B$4)*EXP(10*$K$22)</f>
        <v>0.60566029997151183</v>
      </c>
      <c r="L687" s="87"/>
      <c r="M687" s="87"/>
      <c r="N687" s="87"/>
      <c r="O687" s="87"/>
      <c r="P687" s="87"/>
      <c r="Q687" s="87"/>
      <c r="R687" s="87"/>
      <c r="S687" s="87"/>
      <c r="T687" s="88">
        <f>MIN($B$8,AVERAGE(U575:U576)/(1+J687+$D$8/10000))+$B$7</f>
        <v>62.440853485993458</v>
      </c>
      <c r="U687" s="88">
        <f t="shared" si="27"/>
        <v>75.796910290413223</v>
      </c>
    </row>
    <row r="688" spans="1:21" x14ac:dyDescent="0.35">
      <c r="A688" s="30"/>
      <c r="B688" s="4"/>
      <c r="C688" s="4"/>
      <c r="D688" s="4"/>
      <c r="E688" s="4"/>
      <c r="F688" s="4"/>
      <c r="G688" s="4"/>
      <c r="H688" s="17"/>
      <c r="J688" s="8">
        <f>I743*EXP(10*J$22)</f>
        <v>0.46930966131139706</v>
      </c>
      <c r="K688" s="8">
        <f>J743*EXP(10*K$22)</f>
        <v>0.60318553066902458</v>
      </c>
      <c r="L688" s="87"/>
      <c r="M688" s="87"/>
      <c r="N688" s="87"/>
      <c r="O688" s="87"/>
      <c r="P688" s="87"/>
      <c r="Q688" s="87"/>
      <c r="R688" s="87"/>
      <c r="S688" s="87"/>
      <c r="T688" s="88">
        <f>MIN($B$8,AVERAGE(U577:U578)/(1+J688+$D$8/10000))+$B$7</f>
        <v>62.674532756051988</v>
      </c>
      <c r="U688" s="88">
        <f t="shared" si="27"/>
        <v>75.919783019593922</v>
      </c>
    </row>
    <row r="689" spans="1:21" x14ac:dyDescent="0.35">
      <c r="A689" s="30"/>
      <c r="B689" s="4"/>
      <c r="C689" s="4"/>
      <c r="D689" s="4"/>
      <c r="E689" s="4"/>
      <c r="F689" s="4"/>
      <c r="G689" s="4"/>
      <c r="H689" s="17"/>
      <c r="J689" s="9">
        <f>(I744+$B$4)*EXP(10*$J$22)</f>
        <v>0.4686801837953456</v>
      </c>
      <c r="K689" s="9">
        <f>(J744+$B$4)*EXP(10*$K$22)</f>
        <v>0.60254243900026794</v>
      </c>
      <c r="L689" s="87"/>
      <c r="M689" s="87"/>
      <c r="N689" s="87"/>
      <c r="O689" s="87"/>
      <c r="P689" s="87"/>
      <c r="Q689" s="87"/>
      <c r="R689" s="87"/>
      <c r="S689" s="87"/>
      <c r="T689" s="88">
        <f>MIN($B$8,AVERAGE(U579:U580)/(1+J689+$D$8/10000))+$B$7</f>
        <v>62.73313388799798</v>
      </c>
      <c r="U689" s="88">
        <f t="shared" si="27"/>
        <v>75.951781508074276</v>
      </c>
    </row>
    <row r="690" spans="1:21" x14ac:dyDescent="0.35">
      <c r="A690" s="30"/>
      <c r="B690" s="4"/>
      <c r="C690" s="4"/>
      <c r="D690" s="4"/>
      <c r="E690" s="4"/>
      <c r="F690" s="4"/>
      <c r="G690" s="4"/>
      <c r="H690" s="17"/>
      <c r="J690" s="8">
        <f>I744*EXP(10*J$22)</f>
        <v>0.46616046531644711</v>
      </c>
      <c r="K690" s="8">
        <f>J744*EXP(10*K$22)</f>
        <v>0.60006766969778069</v>
      </c>
      <c r="L690" s="87"/>
      <c r="M690" s="87"/>
      <c r="N690" s="87"/>
      <c r="O690" s="87"/>
      <c r="P690" s="87"/>
      <c r="Q690" s="87"/>
      <c r="R690" s="87"/>
      <c r="S690" s="87"/>
      <c r="T690" s="88">
        <f>MIN($B$8,AVERAGE(U581:U582)/(1+J690+$D$8/10000))+$B$7</f>
        <v>62.968605896383451</v>
      </c>
      <c r="U690" s="88">
        <f t="shared" si="27"/>
        <v>76.075185355568763</v>
      </c>
    </row>
    <row r="691" spans="1:21" x14ac:dyDescent="0.35">
      <c r="A691" s="30"/>
      <c r="B691" s="4"/>
      <c r="C691" s="4"/>
      <c r="D691" s="4"/>
      <c r="E691" s="4"/>
      <c r="F691" s="4"/>
      <c r="G691" s="4"/>
      <c r="H691" s="17"/>
      <c r="J691" s="9">
        <f>(I745+$B$4)*EXP(10*$J$22)</f>
        <v>0.4756348789981224</v>
      </c>
      <c r="K691" s="9">
        <f>(J745+$B$4)*EXP(10*$K$22)</f>
        <v>0.60176353318360276</v>
      </c>
      <c r="L691" s="87"/>
      <c r="M691" s="87"/>
      <c r="N691" s="87"/>
      <c r="O691" s="87"/>
      <c r="P691" s="87"/>
      <c r="Q691" s="87"/>
      <c r="R691" s="87"/>
      <c r="S691" s="87"/>
      <c r="T691" s="88">
        <f>MIN($B$8,AVERAGE(U583:U584)/(1+J691+$D$8/10000))+$B$7</f>
        <v>62.090621008818552</v>
      </c>
      <c r="U691" s="88">
        <f t="shared" si="27"/>
        <v>75.990575887305212</v>
      </c>
    </row>
    <row r="692" spans="1:21" x14ac:dyDescent="0.35">
      <c r="A692" s="30"/>
      <c r="B692" s="4"/>
      <c r="C692" s="4"/>
      <c r="D692" s="4"/>
      <c r="E692" s="4"/>
      <c r="F692" s="4"/>
      <c r="G692" s="4"/>
      <c r="H692" s="17"/>
      <c r="J692" s="8">
        <f>I745*EXP(10*J$22)</f>
        <v>0.47311516051922392</v>
      </c>
      <c r="K692" s="8">
        <f>J745*EXP(10*K$22)</f>
        <v>0.59928876388111552</v>
      </c>
      <c r="L692" s="87"/>
      <c r="M692" s="87"/>
      <c r="N692" s="87"/>
      <c r="O692" s="87"/>
      <c r="P692" s="87"/>
      <c r="Q692" s="87"/>
      <c r="R692" s="87"/>
      <c r="S692" s="87"/>
      <c r="T692" s="88">
        <f>MIN($B$8,AVERAGE(U585:U586)/(1+J692+$D$8/10000))+$B$7</f>
        <v>62.322158275246892</v>
      </c>
      <c r="U692" s="88">
        <f t="shared" si="27"/>
        <v>76.114112956687791</v>
      </c>
    </row>
    <row r="693" spans="1:21" x14ac:dyDescent="0.35">
      <c r="A693" s="30"/>
      <c r="B693" s="4"/>
      <c r="C693" s="4"/>
      <c r="D693" s="4"/>
      <c r="E693" s="4"/>
      <c r="F693" s="4"/>
      <c r="G693" s="4"/>
      <c r="H693" s="17"/>
      <c r="J693" s="9">
        <f>(I746+$B$4)*EXP(10*$J$22)</f>
        <v>0.47248568300317234</v>
      </c>
      <c r="K693" s="9">
        <f>(J746+$B$4)*EXP(10*$K$22)</f>
        <v>0.59864567221235887</v>
      </c>
      <c r="L693" s="87"/>
      <c r="M693" s="87"/>
      <c r="N693" s="87"/>
      <c r="O693" s="87"/>
      <c r="P693" s="87"/>
      <c r="Q693" s="87"/>
      <c r="R693" s="87"/>
      <c r="S693" s="87"/>
      <c r="T693" s="88">
        <f>MIN($B$8,AVERAGE(U587:U588)/(1+J693+$D$8/10000))+$B$7</f>
        <v>62.380221548194463</v>
      </c>
      <c r="U693" s="88">
        <f t="shared" si="27"/>
        <v>76.146284639685206</v>
      </c>
    </row>
    <row r="694" spans="1:21" x14ac:dyDescent="0.35">
      <c r="A694" s="30"/>
      <c r="B694" s="4"/>
      <c r="C694" s="4"/>
      <c r="D694" s="4"/>
      <c r="E694" s="4"/>
      <c r="F694" s="4"/>
      <c r="G694" s="4"/>
      <c r="H694" s="17"/>
      <c r="J694" s="8">
        <f>I746*EXP(10*J$22)</f>
        <v>0.46996596452427392</v>
      </c>
      <c r="K694" s="8">
        <f>J746*EXP(10*K$22)</f>
        <v>0.59617090290987174</v>
      </c>
      <c r="L694" s="87"/>
      <c r="M694" s="87"/>
      <c r="N694" s="87"/>
      <c r="O694" s="87"/>
      <c r="P694" s="87"/>
      <c r="Q694" s="87"/>
      <c r="R694" s="87"/>
      <c r="S694" s="87"/>
      <c r="T694" s="88">
        <f>MIN($B$8,AVERAGE(U589:U590)/(1+J694+$D$8/10000))+$B$7</f>
        <v>62.613529512917516</v>
      </c>
      <c r="U694" s="88">
        <f t="shared" si="27"/>
        <v>76.270357145305979</v>
      </c>
    </row>
    <row r="695" spans="1:21" x14ac:dyDescent="0.35">
      <c r="A695" s="30"/>
      <c r="B695" s="4"/>
      <c r="C695" s="4"/>
      <c r="D695" s="4"/>
      <c r="E695" s="4"/>
      <c r="F695" s="4"/>
      <c r="G695" s="4"/>
      <c r="H695" s="17"/>
      <c r="J695" s="9">
        <f>(I747+$B$4)*EXP(10*$J$22)</f>
        <v>0.47661898113105311</v>
      </c>
      <c r="K695" s="9">
        <f>(J747+$B$4)*EXP(10*$K$22)</f>
        <v>0.61036916628159643</v>
      </c>
      <c r="L695" s="87"/>
      <c r="M695" s="87"/>
      <c r="N695" s="87"/>
      <c r="O695" s="87"/>
      <c r="P695" s="87"/>
      <c r="Q695" s="87"/>
      <c r="R695" s="87"/>
      <c r="S695" s="87"/>
      <c r="T695" s="88">
        <f>MIN($B$8,AVERAGE(U591:U592)/(1+J695+$D$8/10000))+$B$7</f>
        <v>62.000573564545455</v>
      </c>
      <c r="U695" s="88">
        <f t="shared" si="27"/>
        <v>75.564269951590163</v>
      </c>
    </row>
    <row r="696" spans="1:21" x14ac:dyDescent="0.35">
      <c r="A696" s="30"/>
      <c r="B696" s="4"/>
      <c r="C696" s="4"/>
      <c r="D696" s="4"/>
      <c r="E696" s="4"/>
      <c r="F696" s="4"/>
      <c r="G696" s="4"/>
      <c r="H696" s="17"/>
      <c r="J696" s="8">
        <f>I747*EXP(10*J$22)</f>
        <v>0.47409926265215463</v>
      </c>
      <c r="K696" s="8">
        <f>J747*EXP(10*K$22)</f>
        <v>0.60789439697910919</v>
      </c>
      <c r="L696" s="87"/>
      <c r="M696" s="87"/>
      <c r="N696" s="87"/>
      <c r="O696" s="87"/>
      <c r="P696" s="87"/>
      <c r="Q696" s="87"/>
      <c r="R696" s="87"/>
      <c r="S696" s="87"/>
      <c r="T696" s="88">
        <f>MIN($B$8,AVERAGE(U593:U594)/(1+J696+$D$8/10000))+$B$7</f>
        <v>62.231561198438882</v>
      </c>
      <c r="U696" s="88">
        <f t="shared" si="27"/>
        <v>75.686347015791554</v>
      </c>
    </row>
    <row r="697" spans="1:21" x14ac:dyDescent="0.35">
      <c r="A697" s="30"/>
      <c r="B697" s="4"/>
      <c r="C697" s="4"/>
      <c r="D697" s="4"/>
      <c r="E697" s="4"/>
      <c r="F697" s="4"/>
      <c r="G697" s="4"/>
      <c r="H697" s="17"/>
      <c r="J697" s="9">
        <f>(I748+$B$4)*EXP(10*$J$22)</f>
        <v>0.47346978513610305</v>
      </c>
      <c r="K697" s="9">
        <f>(J748+$B$4)*EXP(10*$K$22)</f>
        <v>0.60725130531035254</v>
      </c>
      <c r="L697" s="87"/>
      <c r="M697" s="87"/>
      <c r="N697" s="87"/>
      <c r="O697" s="87"/>
      <c r="P697" s="87"/>
      <c r="Q697" s="87"/>
      <c r="R697" s="87"/>
      <c r="S697" s="87"/>
      <c r="T697" s="88">
        <f>MIN($B$8,AVERAGE(U595:U596)/(1+J697+$D$8/10000))+$B$7</f>
        <v>62.28948645956666</v>
      </c>
      <c r="U697" s="88">
        <f t="shared" si="27"/>
        <v>75.718138075174409</v>
      </c>
    </row>
    <row r="698" spans="1:21" x14ac:dyDescent="0.35">
      <c r="A698" s="30"/>
      <c r="B698" s="4"/>
      <c r="C698" s="4"/>
      <c r="D698" s="4"/>
      <c r="E698" s="4"/>
      <c r="F698" s="4"/>
      <c r="G698" s="4"/>
      <c r="H698" s="17"/>
      <c r="J698" s="8">
        <f>I748*EXP(10*J$22)</f>
        <v>0.47095006665720457</v>
      </c>
      <c r="K698" s="8">
        <f>J748*EXP(10*K$22)</f>
        <v>0.60477653600786541</v>
      </c>
      <c r="L698" s="87"/>
      <c r="M698" s="87"/>
      <c r="N698" s="87"/>
      <c r="O698" s="87"/>
      <c r="P698" s="87"/>
      <c r="Q698" s="87"/>
      <c r="R698" s="87"/>
      <c r="S698" s="87"/>
      <c r="T698" s="88">
        <f>MIN($B$8,AVERAGE(U597:U598)/(1+J698+$D$8/10000))+$B$7</f>
        <v>62.522239147585758</v>
      </c>
      <c r="U698" s="88">
        <f t="shared" si="27"/>
        <v>75.840741101621333</v>
      </c>
    </row>
    <row r="699" spans="1:21" x14ac:dyDescent="0.35">
      <c r="A699" s="30"/>
      <c r="B699" s="4"/>
      <c r="C699" s="4"/>
      <c r="D699" s="4"/>
      <c r="E699" s="4"/>
      <c r="F699" s="4"/>
      <c r="G699" s="4"/>
      <c r="H699" s="17"/>
      <c r="J699" s="9">
        <f>(I749+$B$4)*EXP(10*$J$22)</f>
        <v>0.4804244803388798</v>
      </c>
      <c r="K699" s="9">
        <f>(J749+$B$4)*EXP(10*$K$22)</f>
        <v>0.60647239949368736</v>
      </c>
      <c r="L699" s="87"/>
      <c r="M699" s="87"/>
      <c r="N699" s="87"/>
      <c r="O699" s="87"/>
      <c r="P699" s="87"/>
      <c r="Q699" s="87"/>
      <c r="R699" s="87"/>
      <c r="S699" s="87"/>
      <c r="T699" s="88">
        <f>MIN($B$8,AVERAGE(U599:U600)/(1+J699+$D$8/10000))+$B$7</f>
        <v>61.654364796295674</v>
      </c>
      <c r="U699" s="88">
        <f t="shared" si="27"/>
        <v>75.756680848039295</v>
      </c>
    </row>
    <row r="700" spans="1:21" x14ac:dyDescent="0.35">
      <c r="A700" s="30"/>
      <c r="B700" s="4"/>
      <c r="C700" s="4"/>
      <c r="D700" s="4"/>
      <c r="E700" s="4"/>
      <c r="F700" s="4"/>
      <c r="G700" s="4"/>
      <c r="H700" s="17"/>
      <c r="J700" s="8">
        <f>I749*EXP(10*J$22)</f>
        <v>0.47790476185998132</v>
      </c>
      <c r="K700" s="8">
        <f>J749*EXP(10*K$22)</f>
        <v>0.60399763019120023</v>
      </c>
      <c r="L700" s="87"/>
      <c r="M700" s="87"/>
      <c r="N700" s="87"/>
      <c r="O700" s="87"/>
      <c r="P700" s="87"/>
      <c r="Q700" s="87"/>
      <c r="R700" s="87"/>
      <c r="S700" s="87"/>
      <c r="T700" s="88">
        <f>MIN($B$8,AVERAGE(U601:U602)/(1+J700+$D$8/10000))+$B$7</f>
        <v>61.883243410317398</v>
      </c>
      <c r="U700" s="88">
        <f t="shared" si="27"/>
        <v>75.879415801331206</v>
      </c>
    </row>
    <row r="701" spans="1:21" x14ac:dyDescent="0.35">
      <c r="A701" s="30"/>
      <c r="B701" s="4"/>
      <c r="C701" s="4"/>
      <c r="D701" s="4"/>
      <c r="E701" s="4"/>
      <c r="F701" s="4"/>
      <c r="G701" s="4"/>
      <c r="H701" s="17"/>
      <c r="J701" s="9">
        <f>(I750+$B$4)*EXP(10*$J$22)</f>
        <v>0.47727528434392974</v>
      </c>
      <c r="K701" s="9">
        <f>(J750+$B$4)*EXP(10*$K$22)</f>
        <v>0.60335453852244358</v>
      </c>
      <c r="L701" s="87"/>
      <c r="M701" s="87"/>
      <c r="N701" s="87"/>
      <c r="O701" s="87"/>
      <c r="P701" s="87"/>
      <c r="Q701" s="87"/>
      <c r="R701" s="87"/>
      <c r="S701" s="87"/>
      <c r="T701" s="88">
        <f>MIN($B$8,AVERAGE(U603:U604)/(1+J701+$D$8/10000))+$B$7</f>
        <v>61.94063910535327</v>
      </c>
      <c r="U701" s="88">
        <f t="shared" si="27"/>
        <v>75.911378371613807</v>
      </c>
    </row>
    <row r="702" spans="1:21" x14ac:dyDescent="0.35">
      <c r="A702" s="30"/>
      <c r="B702" s="4"/>
      <c r="C702" s="4"/>
      <c r="D702" s="4"/>
      <c r="E702" s="4"/>
      <c r="F702" s="4"/>
      <c r="G702" s="4"/>
      <c r="H702" s="17"/>
      <c r="J702" s="8">
        <f>I750*EXP(10*J$22)</f>
        <v>0.47475556586503131</v>
      </c>
      <c r="K702" s="8">
        <f>J750*EXP(10*K$22)</f>
        <v>0.60087976921995634</v>
      </c>
      <c r="L702" s="87"/>
      <c r="M702" s="87"/>
      <c r="N702" s="87"/>
      <c r="O702" s="87"/>
      <c r="P702" s="87"/>
      <c r="Q702" s="87"/>
      <c r="R702" s="87"/>
      <c r="S702" s="87"/>
      <c r="T702" s="88">
        <f>MIN($B$8,AVERAGE(U605:U606)/(1+J702+$D$8/10000))+$B$7</f>
        <v>62.171261158819689</v>
      </c>
      <c r="U702" s="88">
        <f t="shared" si="27"/>
        <v>76.034643549200467</v>
      </c>
    </row>
    <row r="703" spans="1:21" x14ac:dyDescent="0.35">
      <c r="A703" s="30"/>
      <c r="B703" s="4"/>
      <c r="C703" s="4"/>
      <c r="D703" s="4"/>
      <c r="E703" s="4"/>
      <c r="F703" s="4"/>
      <c r="G703" s="4"/>
      <c r="H703" s="17"/>
      <c r="J703" s="9">
        <f>(I751+$B$4)*EXP(10*$J$22)</f>
        <v>0.47338376079607308</v>
      </c>
      <c r="K703" s="9">
        <f>(J751+$B$4)*EXP(10*$K$22)</f>
        <v>0.60699420977686047</v>
      </c>
      <c r="L703" s="87"/>
      <c r="M703" s="87"/>
      <c r="N703" s="87"/>
      <c r="O703" s="87"/>
      <c r="P703" s="87"/>
      <c r="Q703" s="87"/>
      <c r="R703" s="87"/>
      <c r="S703" s="87"/>
      <c r="T703" s="88">
        <f>MIN($B$8,AVERAGE(U607:U608)/(1+J703+$D$8/10000))+$B$7</f>
        <v>62.29740936893598</v>
      </c>
      <c r="U703" s="88">
        <f t="shared" si="27"/>
        <v>75.730855413008626</v>
      </c>
    </row>
    <row r="704" spans="1:21" x14ac:dyDescent="0.35">
      <c r="A704" s="30"/>
      <c r="B704" s="4"/>
      <c r="C704" s="4"/>
      <c r="D704" s="4"/>
      <c r="E704" s="4"/>
      <c r="F704" s="4"/>
      <c r="G704" s="4"/>
      <c r="H704" s="17"/>
      <c r="J704" s="8">
        <f>I751*EXP(10*J$22)</f>
        <v>0.4708640423171746</v>
      </c>
      <c r="K704" s="8">
        <f>J751*EXP(10*K$22)</f>
        <v>0.60451944047437323</v>
      </c>
      <c r="L704" s="87"/>
      <c r="M704" s="87"/>
      <c r="N704" s="87"/>
      <c r="O704" s="87"/>
      <c r="P704" s="87"/>
      <c r="Q704" s="87"/>
      <c r="R704" s="87"/>
      <c r="S704" s="87"/>
      <c r="T704" s="88">
        <f>MIN($B$8,AVERAGE(U609:U610)/(1+J704+$D$8/10000))+$B$7</f>
        <v>62.530210525170268</v>
      </c>
      <c r="U704" s="88">
        <f t="shared" si="27"/>
        <v>75.853501961375798</v>
      </c>
    </row>
    <row r="705" spans="1:21" x14ac:dyDescent="0.35">
      <c r="A705" s="30"/>
      <c r="B705" s="4"/>
      <c r="C705" s="4"/>
      <c r="D705" s="4"/>
      <c r="E705" s="4"/>
      <c r="F705" s="4"/>
      <c r="G705" s="4"/>
      <c r="H705" s="17"/>
      <c r="J705" s="9">
        <f>(I752+$B$4)*EXP(10*$J$22)</f>
        <v>0.47023456480112302</v>
      </c>
      <c r="K705" s="9">
        <f>(J752+$B$4)*EXP(10*$K$22)</f>
        <v>0.60387634880561658</v>
      </c>
      <c r="L705" s="87"/>
      <c r="M705" s="87"/>
      <c r="N705" s="87"/>
      <c r="O705" s="87"/>
      <c r="P705" s="87"/>
      <c r="Q705" s="87"/>
      <c r="R705" s="87"/>
      <c r="S705" s="87"/>
      <c r="T705" s="88">
        <f>MIN($B$8,AVERAGE(U611:U612)/(1+J705+$D$8/10000))+$B$7</f>
        <v>62.588591160917574</v>
      </c>
      <c r="U705" s="88">
        <f t="shared" si="27"/>
        <v>75.885441484513706</v>
      </c>
    </row>
    <row r="706" spans="1:21" x14ac:dyDescent="0.35">
      <c r="A706" s="30"/>
      <c r="B706" s="4"/>
      <c r="C706" s="4"/>
      <c r="D706" s="4"/>
      <c r="E706" s="4"/>
      <c r="F706" s="4"/>
      <c r="G706" s="4"/>
      <c r="H706" s="17"/>
      <c r="J706" s="8">
        <f>I752*EXP(10*J$22)</f>
        <v>0.4677148463222246</v>
      </c>
      <c r="K706" s="8">
        <f>J752*EXP(10*K$22)</f>
        <v>0.60140157950312945</v>
      </c>
      <c r="L706" s="87"/>
      <c r="M706" s="87"/>
      <c r="N706" s="87"/>
      <c r="O706" s="87"/>
      <c r="P706" s="87"/>
      <c r="Q706" s="87"/>
      <c r="R706" s="87"/>
      <c r="S706" s="87"/>
      <c r="T706" s="88">
        <f>MIN($B$8,AVERAGE(U613:U614)/(1+J706+$D$8/10000))+$B$7</f>
        <v>62.8231760117514</v>
      </c>
      <c r="U706" s="88">
        <f t="shared" si="27"/>
        <v>76.00861768378698</v>
      </c>
    </row>
    <row r="707" spans="1:21" x14ac:dyDescent="0.35">
      <c r="A707" s="30"/>
      <c r="B707" s="4"/>
      <c r="C707" s="4"/>
      <c r="D707" s="4"/>
      <c r="E707" s="4"/>
      <c r="F707" s="4"/>
      <c r="G707" s="4"/>
      <c r="H707" s="17"/>
      <c r="J707" s="9">
        <f>(I753+$B$4)*EXP(10*$J$22)</f>
        <v>0.47718926000389988</v>
      </c>
      <c r="K707" s="9">
        <f>(J753+$B$4)*EXP(10*$K$22)</f>
        <v>0.6030974429889514</v>
      </c>
      <c r="L707" s="87"/>
      <c r="M707" s="87"/>
      <c r="N707" s="87"/>
      <c r="O707" s="87"/>
      <c r="P707" s="87"/>
      <c r="Q707" s="87"/>
      <c r="R707" s="87"/>
      <c r="S707" s="87"/>
      <c r="T707" s="88">
        <f>MIN($B$8,AVERAGE(U615:U616)/(1+J707+$D$8/10000))+$B$7</f>
        <v>61.948489560394343</v>
      </c>
      <c r="U707" s="88">
        <f t="shared" si="27"/>
        <v>75.924164340119702</v>
      </c>
    </row>
    <row r="708" spans="1:21" x14ac:dyDescent="0.35">
      <c r="A708" s="30"/>
      <c r="B708" s="4"/>
      <c r="C708" s="4"/>
      <c r="D708" s="4"/>
      <c r="E708" s="4"/>
      <c r="F708" s="4"/>
      <c r="G708" s="4"/>
      <c r="H708" s="17"/>
      <c r="J708" s="8">
        <f>I753*EXP(10*J$22)</f>
        <v>0.4746695415250014</v>
      </c>
      <c r="K708" s="8">
        <f>J753*EXP(10*K$22)</f>
        <v>0.60062267368646427</v>
      </c>
      <c r="L708" s="87"/>
      <c r="M708" s="87"/>
      <c r="N708" s="87"/>
      <c r="O708" s="87"/>
      <c r="P708" s="87"/>
      <c r="Q708" s="87"/>
      <c r="R708" s="87"/>
      <c r="S708" s="87"/>
      <c r="T708" s="88">
        <f>MIN($B$8,AVERAGE(U617:U618)/(1+J708+$D$8/10000))+$B$7</f>
        <v>62.179159487754291</v>
      </c>
      <c r="U708" s="88">
        <f t="shared" si="27"/>
        <v>76.047473392711822</v>
      </c>
    </row>
    <row r="709" spans="1:21" x14ac:dyDescent="0.35">
      <c r="A709" s="30"/>
      <c r="B709" s="4"/>
      <c r="C709" s="4"/>
      <c r="D709" s="4"/>
      <c r="E709" s="4"/>
      <c r="F709" s="4"/>
      <c r="G709" s="4"/>
      <c r="H709" s="17"/>
      <c r="J709" s="9">
        <f>(I754+$B$4)*EXP(10*$J$22)</f>
        <v>0.47404006400894982</v>
      </c>
      <c r="K709" s="9">
        <f>(J754+$B$4)*EXP(10*$K$22)</f>
        <v>0.59997958201770762</v>
      </c>
      <c r="L709" s="87"/>
      <c r="M709" s="87"/>
      <c r="N709" s="87"/>
      <c r="O709" s="87"/>
      <c r="P709" s="87"/>
      <c r="Q709" s="87"/>
      <c r="R709" s="87"/>
      <c r="S709" s="87"/>
      <c r="T709" s="88">
        <f>MIN($B$8,AVERAGE(U619:U620)/(1+J709+$D$8/10000))+$B$7</f>
        <v>62.237004973557745</v>
      </c>
      <c r="U709" s="88">
        <f t="shared" si="27"/>
        <v>76.079585631209369</v>
      </c>
    </row>
    <row r="710" spans="1:21" x14ac:dyDescent="0.35">
      <c r="A710" s="30"/>
      <c r="B710" s="4"/>
      <c r="C710" s="4"/>
      <c r="D710" s="4"/>
      <c r="E710" s="4"/>
      <c r="F710" s="4"/>
      <c r="G710" s="4"/>
      <c r="H710" s="17"/>
      <c r="J710" s="8">
        <f>I754*EXP(10*J$22)</f>
        <v>0.47152034553005134</v>
      </c>
      <c r="K710" s="8">
        <f>J754*EXP(10*K$22)</f>
        <v>0.59750481271522038</v>
      </c>
      <c r="L710" s="87"/>
      <c r="M710" s="87"/>
      <c r="N710" s="87"/>
      <c r="O710" s="87"/>
      <c r="P710" s="87"/>
      <c r="Q710" s="87"/>
      <c r="R710" s="87"/>
      <c r="S710" s="87"/>
      <c r="T710" s="88">
        <f>MIN($B$8,AVERAGE(U621:U622)/(1+J710+$D$8/10000))+$B$7</f>
        <v>62.469436694619844</v>
      </c>
      <c r="U710" s="88">
        <f t="shared" si="27"/>
        <v>76.203428636711436</v>
      </c>
    </row>
    <row r="711" spans="1:21" x14ac:dyDescent="0.35">
      <c r="A711" s="30"/>
      <c r="B711" s="4"/>
      <c r="C711" s="4"/>
      <c r="D711" s="4"/>
      <c r="E711" s="4"/>
      <c r="F711" s="4"/>
      <c r="G711" s="4"/>
      <c r="H711" s="17"/>
      <c r="J711" s="9">
        <f>(I755+$B$4)*EXP(10*$J$22)</f>
        <v>0.47817336213683054</v>
      </c>
      <c r="K711" s="9">
        <f>(J755+$B$4)*EXP(10*$K$22)</f>
        <v>0.61170307608694496</v>
      </c>
      <c r="L711" s="87"/>
      <c r="M711" s="87"/>
      <c r="N711" s="87"/>
      <c r="O711" s="87"/>
      <c r="P711" s="87"/>
      <c r="Q711" s="87"/>
      <c r="R711" s="87"/>
      <c r="S711" s="87"/>
      <c r="T711" s="88">
        <f>MIN($B$8,AVERAGE(U623:U624)/(1+J711+$D$8/10000))+$B$7</f>
        <v>61.858778947859264</v>
      </c>
      <c r="U711" s="88">
        <f t="shared" si="27"/>
        <v>75.498642254384436</v>
      </c>
    </row>
    <row r="712" spans="1:21" x14ac:dyDescent="0.35">
      <c r="A712" s="30"/>
      <c r="B712" s="4"/>
      <c r="C712" s="4"/>
      <c r="D712" s="4"/>
      <c r="E712" s="4"/>
      <c r="F712" s="4"/>
      <c r="G712" s="4"/>
      <c r="H712" s="17"/>
      <c r="J712" s="8">
        <f>I755*EXP(10*J$22)</f>
        <v>0.47565364365793206</v>
      </c>
      <c r="K712" s="8">
        <f>J755*EXP(10*K$22)</f>
        <v>0.60922830678445783</v>
      </c>
      <c r="L712" s="87"/>
      <c r="M712" s="87"/>
      <c r="N712" s="87"/>
      <c r="O712" s="87"/>
      <c r="P712" s="87"/>
      <c r="Q712" s="87"/>
      <c r="R712" s="87"/>
      <c r="S712" s="87"/>
      <c r="T712" s="88">
        <f>MIN($B$8,AVERAGE(U625:U626)/(1+J712+$D$8/10000))+$B$7</f>
        <v>62.088902002013192</v>
      </c>
      <c r="U712" s="88">
        <f t="shared" si="27"/>
        <v>75.62049533016723</v>
      </c>
    </row>
    <row r="713" spans="1:21" x14ac:dyDescent="0.35">
      <c r="A713" s="30"/>
      <c r="B713" s="4"/>
      <c r="C713" s="4"/>
      <c r="D713" s="4"/>
      <c r="E713" s="4"/>
      <c r="F713" s="4"/>
      <c r="G713" s="4"/>
      <c r="H713" s="17"/>
      <c r="J713" s="9">
        <f>(I756+$B$4)*EXP(10*$J$22)</f>
        <v>0.47502416614188048</v>
      </c>
      <c r="K713" s="9">
        <f>(J756+$B$4)*EXP(10*$K$22)</f>
        <v>0.60858521511570118</v>
      </c>
      <c r="L713" s="87"/>
      <c r="M713" s="87"/>
      <c r="N713" s="87"/>
      <c r="O713" s="87"/>
      <c r="P713" s="87"/>
      <c r="Q713" s="87"/>
      <c r="R713" s="87"/>
      <c r="S713" s="87"/>
      <c r="T713" s="88">
        <f>MIN($B$8,AVERAGE(U627:U628)/(1+J713+$D$8/10000))+$B$7</f>
        <v>62.146610169755313</v>
      </c>
      <c r="U713" s="88">
        <f t="shared" si="27"/>
        <v>75.652227996376553</v>
      </c>
    </row>
    <row r="714" spans="1:21" x14ac:dyDescent="0.35">
      <c r="A714" s="30"/>
      <c r="B714" s="4"/>
      <c r="C714" s="4"/>
      <c r="D714" s="4"/>
      <c r="E714" s="4"/>
      <c r="F714" s="4"/>
      <c r="G714" s="4"/>
      <c r="H714" s="17"/>
      <c r="J714" s="8">
        <f>I756*EXP(10*J$22)</f>
        <v>0.47250444766298205</v>
      </c>
      <c r="K714" s="8">
        <f>J756*EXP(10*K$22)</f>
        <v>0.60611044581321394</v>
      </c>
      <c r="L714" s="87"/>
      <c r="M714" s="87"/>
      <c r="N714" s="87"/>
      <c r="O714" s="87"/>
      <c r="P714" s="87"/>
      <c r="Q714" s="87"/>
      <c r="R714" s="87"/>
      <c r="S714" s="87"/>
      <c r="T714" s="88">
        <f>MIN($B$8,AVERAGE(U629:U630)/(1+J714+$D$8/10000))+$B$7</f>
        <v>62.378489409002682</v>
      </c>
      <c r="U714" s="88">
        <f t="shared" si="27"/>
        <v>75.774605585951775</v>
      </c>
    </row>
    <row r="715" spans="1:21" x14ac:dyDescent="0.35">
      <c r="A715" s="30"/>
      <c r="B715" s="4"/>
      <c r="C715" s="4"/>
      <c r="D715" s="4"/>
      <c r="E715" s="4"/>
      <c r="F715" s="4"/>
      <c r="G715" s="4"/>
      <c r="H715" s="17"/>
      <c r="J715" s="9">
        <f>(I757+$B$4)*EXP(10*$J$22)</f>
        <v>0.48197886134465734</v>
      </c>
      <c r="K715" s="9">
        <f>(J757+$B$4)*EXP(10*$K$22)</f>
        <v>0.60780630929903601</v>
      </c>
      <c r="L715" s="87"/>
      <c r="M715" s="87"/>
      <c r="N715" s="87"/>
      <c r="O715" s="87"/>
      <c r="P715" s="87"/>
      <c r="Q715" s="87"/>
      <c r="R715" s="87"/>
      <c r="S715" s="87"/>
      <c r="T715" s="88">
        <f>MIN($B$8,AVERAGE(U631:U632)/(1+J715+$D$8/10000))+$B$7</f>
        <v>61.513862668653168</v>
      </c>
      <c r="U715" s="88">
        <f t="shared" si="27"/>
        <v>75.690699939983574</v>
      </c>
    </row>
    <row r="716" spans="1:21" x14ac:dyDescent="0.35">
      <c r="A716" s="30"/>
      <c r="B716" s="4"/>
      <c r="C716" s="4"/>
      <c r="D716" s="4"/>
      <c r="E716" s="4"/>
      <c r="F716" s="4"/>
      <c r="G716" s="4"/>
      <c r="H716" s="17"/>
      <c r="J716" s="8">
        <f>I757*EXP(10*J$22)</f>
        <v>0.47945914286575886</v>
      </c>
      <c r="K716" s="8">
        <f>J757*EXP(10*K$22)</f>
        <v>0.60533153999654887</v>
      </c>
      <c r="L716" s="87"/>
      <c r="M716" s="87"/>
      <c r="N716" s="87"/>
      <c r="O716" s="87"/>
      <c r="P716" s="87"/>
      <c r="Q716" s="87"/>
      <c r="R716" s="87"/>
      <c r="S716" s="87"/>
      <c r="T716" s="88">
        <f>MIN($B$8,AVERAGE(U633:U634)/(1+J716+$D$8/10000))+$B$7</f>
        <v>61.741887270148347</v>
      </c>
      <c r="U716" s="88">
        <f t="shared" si="27"/>
        <v>75.813209092601738</v>
      </c>
    </row>
    <row r="717" spans="1:21" x14ac:dyDescent="0.35">
      <c r="A717" s="30"/>
      <c r="B717" s="4"/>
      <c r="C717" s="4"/>
      <c r="D717" s="4"/>
      <c r="E717" s="4"/>
      <c r="F717" s="4"/>
      <c r="G717" s="4"/>
      <c r="H717" s="17"/>
      <c r="J717" s="9">
        <f>(I758+$B$4)*EXP(10*$J$22)</f>
        <v>0.47882966534970728</v>
      </c>
      <c r="K717" s="9">
        <f>(J758+$B$4)*EXP(10*$K$22)</f>
        <v>0.60468844832779212</v>
      </c>
      <c r="L717" s="87"/>
      <c r="M717" s="87"/>
      <c r="N717" s="87"/>
      <c r="O717" s="87"/>
      <c r="P717" s="87"/>
      <c r="Q717" s="87"/>
      <c r="R717" s="87"/>
      <c r="S717" s="87"/>
      <c r="T717" s="88">
        <f>MIN($B$8,AVERAGE(U635:U636)/(1+J717+$D$8/10000))+$B$7</f>
        <v>61.799068528604451</v>
      </c>
      <c r="U717" s="88">
        <f t="shared" si="27"/>
        <v>75.845112796750939</v>
      </c>
    </row>
    <row r="718" spans="1:21" x14ac:dyDescent="0.35">
      <c r="A718" s="30"/>
      <c r="B718" s="4"/>
      <c r="C718" s="4"/>
      <c r="D718" s="4"/>
      <c r="E718" s="4"/>
      <c r="F718" s="4"/>
      <c r="G718" s="4"/>
      <c r="H718" s="17"/>
      <c r="J718" s="8">
        <f>I758*EXP(10*J$22)</f>
        <v>0.47630994687080885</v>
      </c>
      <c r="K718" s="8">
        <f>J758*EXP(10*K$22)</f>
        <v>0.60221367902530498</v>
      </c>
      <c r="L718" s="87"/>
      <c r="M718" s="87"/>
      <c r="N718" s="87"/>
      <c r="O718" s="87"/>
      <c r="P718" s="87"/>
      <c r="Q718" s="87"/>
      <c r="R718" s="87"/>
      <c r="S718" s="87"/>
      <c r="T718" s="88">
        <f>MIN($B$8,AVERAGE(U637:U638)/(1+J718+$D$8/10000))+$B$7</f>
        <v>62.028827836425485</v>
      </c>
      <c r="U718" s="88">
        <f t="shared" si="27"/>
        <v>75.968150709547146</v>
      </c>
    </row>
    <row r="719" spans="1:21" x14ac:dyDescent="0.35">
      <c r="A719" s="30"/>
      <c r="B719" s="4"/>
      <c r="C719" s="4"/>
      <c r="D719" s="4"/>
      <c r="E719" s="4"/>
      <c r="F719" s="4"/>
      <c r="G719" s="4"/>
      <c r="H719" s="17"/>
      <c r="J719" s="9">
        <f>(I759+$B$4)*EXP(10*$J$22)</f>
        <v>0.47925136953251629</v>
      </c>
      <c r="K719" s="9">
        <f>(J759+$B$4)*EXP(10*$K$22)</f>
        <v>0.61292078896148949</v>
      </c>
      <c r="L719" s="87"/>
      <c r="M719" s="87"/>
      <c r="N719" s="87"/>
      <c r="O719" s="87"/>
      <c r="P719" s="87"/>
      <c r="Q719" s="87"/>
      <c r="R719" s="87"/>
      <c r="S719" s="87"/>
      <c r="T719" s="88">
        <f>MIN($B$8,AVERAGE(U639:U640)/(1+J719+$D$8/10000))+$B$7</f>
        <v>61.760751665512529</v>
      </c>
      <c r="U719" s="88">
        <f t="shared" si="27"/>
        <v>75.438836396395928</v>
      </c>
    </row>
    <row r="720" spans="1:21" x14ac:dyDescent="0.35">
      <c r="A720" s="30"/>
      <c r="B720" s="4"/>
      <c r="C720" s="4"/>
      <c r="D720" s="4"/>
      <c r="E720" s="4"/>
      <c r="F720" s="4"/>
      <c r="G720" s="4"/>
      <c r="H720" s="17"/>
      <c r="J720" s="8">
        <f>I759*EXP(10*J$22)</f>
        <v>0.47673165105361781</v>
      </c>
      <c r="K720" s="8">
        <f>J759*EXP(10*K$22)</f>
        <v>0.61044601965900225</v>
      </c>
      <c r="L720" s="87"/>
      <c r="M720" s="87"/>
      <c r="N720" s="87"/>
      <c r="O720" s="87"/>
      <c r="P720" s="87"/>
      <c r="Q720" s="87"/>
      <c r="R720" s="87"/>
      <c r="S720" s="87"/>
      <c r="T720" s="88">
        <f>MIN($B$8,AVERAGE(U641:U642)/(1+J720+$D$8/10000))+$B$7</f>
        <v>61.990277656995033</v>
      </c>
      <c r="U720" s="88">
        <f t="shared" si="27"/>
        <v>75.560485533216621</v>
      </c>
    </row>
    <row r="721" spans="1:21" x14ac:dyDescent="0.35">
      <c r="A721" s="30"/>
      <c r="B721" s="4"/>
      <c r="C721" s="4"/>
      <c r="D721" s="4"/>
      <c r="E721" s="4"/>
      <c r="F721" s="4"/>
      <c r="G721" s="4"/>
      <c r="H721" s="17"/>
      <c r="J721" s="9">
        <f>(I760+$B$4)*EXP(10*$J$22)</f>
        <v>0.47610217353756623</v>
      </c>
      <c r="K721" s="9">
        <f>(J760+$B$4)*EXP(10*$K$22)</f>
        <v>0.6098029279902456</v>
      </c>
      <c r="L721" s="87"/>
      <c r="M721" s="87"/>
      <c r="N721" s="87"/>
      <c r="O721" s="87"/>
      <c r="P721" s="87"/>
      <c r="Q721" s="87"/>
      <c r="R721" s="87"/>
      <c r="S721" s="87"/>
      <c r="T721" s="88">
        <f>MIN($B$8,AVERAGE(U643:U644)/(1+J721+$D$8/10000))+$B$7</f>
        <v>62.047835904913434</v>
      </c>
      <c r="U721" s="88">
        <f t="shared" si="27"/>
        <v>75.592165033241628</v>
      </c>
    </row>
    <row r="722" spans="1:21" x14ac:dyDescent="0.35">
      <c r="A722" s="30"/>
      <c r="B722" s="4"/>
      <c r="C722" s="4"/>
      <c r="D722" s="4"/>
      <c r="E722" s="4"/>
      <c r="F722" s="4"/>
      <c r="G722" s="4"/>
      <c r="H722" s="17"/>
      <c r="J722" s="8">
        <f>I760*EXP(10*J$22)</f>
        <v>0.47358245505866775</v>
      </c>
      <c r="K722" s="8">
        <f>J760*EXP(10*K$22)</f>
        <v>0.60732815868775836</v>
      </c>
      <c r="L722" s="87"/>
      <c r="M722" s="87"/>
      <c r="N722" s="87"/>
      <c r="O722" s="87"/>
      <c r="P722" s="87"/>
      <c r="Q722" s="87"/>
      <c r="R722" s="87"/>
      <c r="S722" s="87"/>
      <c r="T722" s="88">
        <f>MIN($B$8,AVERAGE(U645:U646)/(1+J722+$D$8/10000))+$B$7</f>
        <v>62.279111963369402</v>
      </c>
      <c r="U722" s="88">
        <f t="shared" si="27"/>
        <v>75.714337366216583</v>
      </c>
    </row>
    <row r="723" spans="1:21" x14ac:dyDescent="0.35">
      <c r="A723" s="30"/>
      <c r="B723" s="4"/>
      <c r="C723" s="4"/>
      <c r="D723" s="4"/>
      <c r="E723" s="4"/>
      <c r="F723" s="4"/>
      <c r="G723" s="4"/>
      <c r="H723" s="17"/>
      <c r="J723" s="9">
        <f>(I761+$B$4)*EXP(10*$J$22)</f>
        <v>0.48305686874034309</v>
      </c>
      <c r="K723" s="9">
        <f>(J761+$B$4)*EXP(10*$K$22)</f>
        <v>0.60902402217358043</v>
      </c>
      <c r="L723" s="87"/>
      <c r="M723" s="87"/>
      <c r="N723" s="87"/>
      <c r="O723" s="87"/>
      <c r="P723" s="87"/>
      <c r="Q723" s="87"/>
      <c r="R723" s="87"/>
      <c r="S723" s="87"/>
      <c r="T723" s="88">
        <f>MIN($B$8,AVERAGE(U647:U648)/(1+J723+$D$8/10000))+$B$7</f>
        <v>61.416727965026681</v>
      </c>
      <c r="U723" s="88">
        <f t="shared" si="27"/>
        <v>75.630572487863247</v>
      </c>
    </row>
    <row r="724" spans="1:21" x14ac:dyDescent="0.35">
      <c r="A724" s="30"/>
      <c r="B724" s="4"/>
      <c r="C724" s="4"/>
      <c r="D724" s="4"/>
      <c r="E724" s="4"/>
      <c r="F724" s="4"/>
      <c r="G724" s="4"/>
      <c r="H724" s="17"/>
      <c r="J724" s="8">
        <f>I761*EXP(10*J$22)</f>
        <v>0.48053715026144461</v>
      </c>
      <c r="K724" s="8">
        <f>J761*EXP(10*K$22)</f>
        <v>0.60654925287109318</v>
      </c>
      <c r="L724" s="87"/>
      <c r="M724" s="87"/>
      <c r="N724" s="87"/>
      <c r="O724" s="87"/>
      <c r="P724" s="87"/>
      <c r="Q724" s="87"/>
      <c r="R724" s="87"/>
      <c r="S724" s="87"/>
      <c r="T724" s="88">
        <f>MIN($B$8,AVERAGE(U649:U650)/(1+J724+$D$8/10000))+$B$7</f>
        <v>61.644162793536807</v>
      </c>
      <c r="U724" s="88">
        <f t="shared" si="27"/>
        <v>75.752876052936926</v>
      </c>
    </row>
    <row r="725" spans="1:21" x14ac:dyDescent="0.35">
      <c r="A725" s="30"/>
      <c r="B725" s="4"/>
      <c r="C725" s="4"/>
      <c r="D725" s="4"/>
      <c r="E725" s="4"/>
      <c r="F725" s="4"/>
      <c r="G725" s="4"/>
      <c r="H725" s="17"/>
      <c r="J725" s="9">
        <f>(I762+$B$4)*EXP(10*$J$22)</f>
        <v>0.47990767274539303</v>
      </c>
      <c r="K725" s="9">
        <f>(J762+$B$4)*EXP(10*$K$22)</f>
        <v>0.60590616120233654</v>
      </c>
      <c r="L725" s="87"/>
      <c r="M725" s="87"/>
      <c r="N725" s="87"/>
      <c r="O725" s="87"/>
      <c r="P725" s="87"/>
      <c r="Q725" s="87"/>
      <c r="R725" s="87"/>
      <c r="S725" s="87"/>
      <c r="T725" s="88">
        <f>MIN($B$8,AVERAGE(U651:U652)/(1+J725+$D$8/10000))+$B$7</f>
        <v>61.701195964927557</v>
      </c>
      <c r="U725" s="88">
        <f t="shared" si="27"/>
        <v>75.784726160658664</v>
      </c>
    </row>
    <row r="726" spans="1:21" x14ac:dyDescent="0.35">
      <c r="A726" s="30"/>
      <c r="B726" s="4"/>
      <c r="C726" s="4"/>
      <c r="D726" s="4"/>
      <c r="E726" s="4"/>
      <c r="F726" s="4"/>
      <c r="G726" s="4"/>
      <c r="H726" s="17"/>
      <c r="J726" s="8">
        <f>I762*EXP(10*J$22)</f>
        <v>0.47738795426649455</v>
      </c>
      <c r="K726" s="8">
        <f>J762*EXP(10*K$22)</f>
        <v>0.6034313918998494</v>
      </c>
      <c r="L726" s="87"/>
      <c r="M726" s="87"/>
      <c r="N726" s="87"/>
      <c r="O726" s="87"/>
      <c r="P726" s="87"/>
      <c r="Q726" s="87"/>
      <c r="R726" s="87"/>
      <c r="S726" s="87"/>
      <c r="T726" s="88">
        <f>MIN($B$8,AVERAGE(U653:U654)/(1+J726+$D$8/10000))+$B$7</f>
        <v>61.930359475299994</v>
      </c>
      <c r="U726" s="88">
        <f t="shared" si="27"/>
        <v>75.907557154035828</v>
      </c>
    </row>
    <row r="727" spans="1:21" x14ac:dyDescent="0.35">
      <c r="A727" s="30"/>
      <c r="B727" s="4"/>
      <c r="C727" s="4"/>
      <c r="D727" s="4"/>
      <c r="E727" s="4"/>
      <c r="F727" s="4"/>
      <c r="G727" s="4"/>
      <c r="H727" s="17"/>
      <c r="J727" s="9">
        <f>(I763+$B$4)*EXP(10*$J$22)</f>
        <v>0.48404097087327375</v>
      </c>
      <c r="K727" s="9">
        <f>(J763+$B$4)*EXP(10*$K$22)</f>
        <v>0.61762965527157399</v>
      </c>
      <c r="L727" s="87"/>
      <c r="M727" s="87"/>
      <c r="N727" s="87"/>
      <c r="O727" s="87"/>
      <c r="P727" s="87"/>
      <c r="Q727" s="87"/>
      <c r="R727" s="87"/>
      <c r="S727" s="87"/>
      <c r="T727" s="88">
        <f>MIN($B$8,AVERAGE(U655:U656)/(1+J727+$D$8/10000))+$B$7</f>
        <v>61.328273727051489</v>
      </c>
      <c r="U727" s="88">
        <f t="shared" si="27"/>
        <v>75.208507050733701</v>
      </c>
    </row>
    <row r="728" spans="1:21" x14ac:dyDescent="0.35">
      <c r="A728" s="30"/>
      <c r="B728" s="4"/>
      <c r="C728" s="4"/>
      <c r="D728" s="4"/>
      <c r="E728" s="4"/>
      <c r="F728" s="4"/>
      <c r="G728" s="4"/>
      <c r="H728" s="17"/>
      <c r="J728" s="8">
        <f>I763*EXP(10*J$22)</f>
        <v>0.48152125239437527</v>
      </c>
      <c r="K728" s="8">
        <f>J763*EXP(10*K$22)</f>
        <v>0.61515488596908674</v>
      </c>
      <c r="L728" s="87"/>
      <c r="M728" s="87"/>
      <c r="N728" s="87"/>
      <c r="O728" s="87"/>
      <c r="P728" s="87"/>
      <c r="Q728" s="87"/>
      <c r="R728" s="87"/>
      <c r="S728" s="87"/>
      <c r="T728" s="88">
        <f>MIN($B$8,AVERAGE(U657:U658)/(1+J728+$D$8/10000))+$B$7</f>
        <v>61.555171943217339</v>
      </c>
      <c r="U728" s="88">
        <f t="shared" si="27"/>
        <v>75.329372359015423</v>
      </c>
    </row>
    <row r="729" spans="1:21" x14ac:dyDescent="0.35">
      <c r="A729" s="30"/>
      <c r="B729" s="4"/>
      <c r="C729" s="4"/>
      <c r="D729" s="4"/>
      <c r="E729" s="4"/>
      <c r="F729" s="4"/>
      <c r="G729" s="4"/>
      <c r="H729" s="17"/>
      <c r="J729" s="9">
        <f>(I764+$B$4)*EXP(10*$J$22)</f>
        <v>0.4808917748783238</v>
      </c>
      <c r="K729" s="9">
        <f>(J764+$B$4)*EXP(10*$K$22)</f>
        <v>0.61451179430033021</v>
      </c>
      <c r="L729" s="87"/>
      <c r="M729" s="87"/>
      <c r="N729" s="87"/>
      <c r="O729" s="87"/>
      <c r="P729" s="87"/>
      <c r="Q729" s="87"/>
      <c r="R729" s="87"/>
      <c r="S729" s="87"/>
      <c r="T729" s="88">
        <f>MIN($B$8,AVERAGE(U659:U660)/(1+J729+$D$8/10000))+$B$7</f>
        <v>61.612070376312211</v>
      </c>
      <c r="U729" s="88">
        <f t="shared" si="27"/>
        <v>75.360847518977707</v>
      </c>
    </row>
    <row r="730" spans="1:21" x14ac:dyDescent="0.35">
      <c r="A730" s="30"/>
      <c r="B730" s="4"/>
      <c r="C730" s="4"/>
      <c r="D730" s="4"/>
      <c r="E730" s="4"/>
      <c r="F730" s="4"/>
      <c r="G730" s="4"/>
      <c r="H730" s="17"/>
      <c r="J730" s="8">
        <f>I764*EXP(10*J$22)</f>
        <v>0.47837205639942532</v>
      </c>
      <c r="K730" s="8">
        <f>J764*EXP(10*K$22)</f>
        <v>0.61203702499784296</v>
      </c>
      <c r="L730" s="87"/>
      <c r="M730" s="87"/>
      <c r="N730" s="87"/>
      <c r="O730" s="87"/>
      <c r="P730" s="87"/>
      <c r="Q730" s="87"/>
      <c r="R730" s="87"/>
      <c r="S730" s="87"/>
      <c r="T730" s="88">
        <f>MIN($B$8,AVERAGE(U661:U662)/(1+J730+$D$8/10000))+$B$7</f>
        <v>61.840691797561909</v>
      </c>
      <c r="U730" s="88">
        <f t="shared" si="27"/>
        <v>75.482230969469811</v>
      </c>
    </row>
    <row r="731" spans="1:21" x14ac:dyDescent="0.35">
      <c r="A731" s="30"/>
      <c r="B731" s="4"/>
      <c r="C731" s="4"/>
      <c r="D731" s="4"/>
      <c r="E731" s="4"/>
      <c r="F731" s="4"/>
      <c r="G731" s="4"/>
      <c r="H731" s="17"/>
      <c r="J731" s="9">
        <f>(I765+$B$4)*EXP(10*$J$22)</f>
        <v>0.4878464700811006</v>
      </c>
      <c r="K731" s="9">
        <f>(J765+$B$4)*EXP(10*$K$22)</f>
        <v>0.61373288848366503</v>
      </c>
      <c r="L731" s="87"/>
      <c r="M731" s="87"/>
      <c r="N731" s="87"/>
      <c r="O731" s="87"/>
      <c r="P731" s="87"/>
      <c r="Q731" s="87"/>
      <c r="R731" s="87"/>
      <c r="S731" s="87"/>
      <c r="T731" s="88">
        <f>MIN($B$8,AVERAGE(U663:U664)/(1+J731+$D$8/10000))+$B$7</f>
        <v>60.988178514770809</v>
      </c>
      <c r="U731" s="88">
        <f t="shared" si="27"/>
        <v>75.399007115978478</v>
      </c>
    </row>
    <row r="732" spans="1:21" x14ac:dyDescent="0.35">
      <c r="A732" s="30"/>
      <c r="B732" s="4"/>
      <c r="C732" s="4"/>
      <c r="D732" s="4"/>
      <c r="E732" s="4"/>
      <c r="F732" s="4"/>
      <c r="G732" s="4"/>
      <c r="H732" s="17"/>
      <c r="J732" s="8">
        <f>I765*EXP(10*J$22)</f>
        <v>0.48532675160220212</v>
      </c>
      <c r="K732" s="8">
        <f>J765*EXP(10*K$22)</f>
        <v>0.61125811918117778</v>
      </c>
      <c r="L732" s="87"/>
      <c r="M732" s="87"/>
      <c r="N732" s="87"/>
      <c r="O732" s="87"/>
      <c r="P732" s="87"/>
      <c r="Q732" s="87"/>
      <c r="R732" s="87"/>
      <c r="S732" s="87"/>
      <c r="T732" s="88">
        <f>MIN($B$8,AVERAGE(U665:U666)/(1+J732+$D$8/10000))+$B$7</f>
        <v>61.213017574752698</v>
      </c>
      <c r="U732" s="88">
        <f t="shared" si="27"/>
        <v>75.520520529210728</v>
      </c>
    </row>
    <row r="733" spans="1:21" x14ac:dyDescent="0.35">
      <c r="A733" s="30"/>
      <c r="B733" s="4"/>
      <c r="C733" s="4"/>
      <c r="D733" s="4"/>
      <c r="E733" s="4"/>
      <c r="F733" s="4"/>
      <c r="G733" s="4"/>
      <c r="H733" s="17"/>
      <c r="J733" s="9">
        <f>(I766+$B$4)*EXP(10*$J$22)</f>
        <v>0.48469727408615054</v>
      </c>
      <c r="K733" s="9">
        <f>(J766+$B$4)*EXP(10*$K$22)</f>
        <v>0.61061502751242114</v>
      </c>
      <c r="L733" s="87"/>
      <c r="M733" s="87"/>
      <c r="N733" s="87"/>
      <c r="O733" s="87"/>
      <c r="P733" s="87"/>
      <c r="Q733" s="87"/>
      <c r="R733" s="87"/>
      <c r="S733" s="87"/>
      <c r="T733" s="88">
        <f>MIN($B$8,AVERAGE(U667:U668)/(1+J733+$D$8/10000))+$B$7</f>
        <v>61.269398978279888</v>
      </c>
      <c r="U733" s="88">
        <f t="shared" si="27"/>
        <v>75.552164646643561</v>
      </c>
    </row>
    <row r="734" spans="1:21" x14ac:dyDescent="0.35">
      <c r="A734" s="30"/>
      <c r="B734" s="4"/>
      <c r="C734" s="4"/>
      <c r="D734" s="4"/>
      <c r="E734" s="4"/>
      <c r="F734" s="4"/>
      <c r="G734" s="4"/>
      <c r="H734" s="17"/>
      <c r="J734" s="8">
        <f>I766*EXP(10*J$22)</f>
        <v>0.48217755560725212</v>
      </c>
      <c r="K734" s="8">
        <f>J766*EXP(10*K$22)</f>
        <v>0.60814025820993389</v>
      </c>
      <c r="L734" s="87"/>
      <c r="M734" s="87"/>
      <c r="N734" s="87"/>
      <c r="O734" s="87"/>
      <c r="P734" s="87"/>
      <c r="Q734" s="87"/>
      <c r="R734" s="87"/>
      <c r="S734" s="87"/>
      <c r="T734" s="88">
        <f>MIN($B$8,AVERAGE(U669:U670)/(1+J734+$D$8/10000))+$B$7</f>
        <v>61.495940268458263</v>
      </c>
      <c r="U734" s="88">
        <f t="shared" si="27"/>
        <v>75.674200379742004</v>
      </c>
    </row>
    <row r="735" spans="1:21" x14ac:dyDescent="0.35">
      <c r="A735" s="30"/>
      <c r="B735" s="4"/>
      <c r="C735" s="4"/>
      <c r="D735" s="4"/>
      <c r="E735" s="4"/>
      <c r="F735" s="4"/>
      <c r="G735" s="4"/>
      <c r="H735" s="17"/>
      <c r="I735" s="9">
        <f>(H767+$B$4)*EXP(10*$I$22)</f>
        <v>0.31650904425116827</v>
      </c>
      <c r="J735" s="9">
        <f>(I767+$B$4)*EXP(10*$J$22)</f>
        <v>0.48267848714959916</v>
      </c>
      <c r="K735" s="9">
        <f>(J767+$B$4)*EXP(10*$K$22)</f>
        <v>0.59781035358814905</v>
      </c>
      <c r="L735" s="87"/>
      <c r="M735" s="87"/>
      <c r="N735" s="87"/>
      <c r="O735" s="87"/>
      <c r="P735" s="87"/>
      <c r="Q735" s="87"/>
      <c r="R735" s="87"/>
      <c r="S735" s="88">
        <f>MIN($B$8,AVERAGE(T671:T672)/(1+I735+$D$8/10000))+$B$7</f>
        <v>64.123831165083999</v>
      </c>
      <c r="T735" s="88">
        <f>MIN($B$8,AVERAGE(U671:U672)/(1+J735+$D$8/10000))+$B$7</f>
        <v>61.450793717734598</v>
      </c>
      <c r="U735" s="88">
        <f t="shared" ref="U735:U798" si="28">MIN($B$8,((100+$B$7)/(1+K735+$D$8/10000)))+$B$7</f>
        <v>76.188115664226487</v>
      </c>
    </row>
    <row r="736" spans="1:21" x14ac:dyDescent="0.35">
      <c r="A736" s="30"/>
      <c r="B736" s="4"/>
      <c r="C736" s="4"/>
      <c r="D736" s="4"/>
      <c r="E736" s="4"/>
      <c r="F736" s="4"/>
      <c r="G736" s="4"/>
      <c r="H736" s="17"/>
      <c r="I736" s="8">
        <f>H767*EXP(10*I$22)</f>
        <v>0.31400940310369629</v>
      </c>
      <c r="J736" s="8">
        <f>I767*EXP(10*J$22)</f>
        <v>0.48015876867070068</v>
      </c>
      <c r="K736" s="8">
        <f>J767*EXP(10*K$22)</f>
        <v>0.59533558428566191</v>
      </c>
      <c r="L736" s="87"/>
      <c r="M736" s="87"/>
      <c r="N736" s="87"/>
      <c r="O736" s="87"/>
      <c r="P736" s="87"/>
      <c r="Q736" s="87"/>
      <c r="R736" s="87"/>
      <c r="S736" s="88">
        <f>MIN($B$8,AVERAGE(T673:T674)/(1+I736+$D$8/10000))+$B$7</f>
        <v>64.556057151314818</v>
      </c>
      <c r="T736" s="88">
        <f>MIN($B$8,AVERAGE(U673:U674)/(1+J736+$D$8/10000))+$B$7</f>
        <v>61.678435323761434</v>
      </c>
      <c r="U736" s="88">
        <f t="shared" si="28"/>
        <v>76.31233221198724</v>
      </c>
    </row>
    <row r="737" spans="1:21" x14ac:dyDescent="0.35">
      <c r="A737" s="30"/>
      <c r="B737" s="4"/>
      <c r="C737" s="4"/>
      <c r="D737" s="4"/>
      <c r="E737" s="4"/>
      <c r="F737" s="4"/>
      <c r="G737" s="4"/>
      <c r="H737" s="17"/>
      <c r="I737" s="9">
        <f>(H768+$B$4)*EXP(10*$I$22)</f>
        <v>0.37087282225833879</v>
      </c>
      <c r="J737" s="9">
        <f>(I768+$B$4)*EXP(10*$J$22)</f>
        <v>0.4795292911546491</v>
      </c>
      <c r="K737" s="9">
        <f>(J768+$B$4)*EXP(10*$K$22)</f>
        <v>0.59469249261690527</v>
      </c>
      <c r="L737" s="87"/>
      <c r="M737" s="87"/>
      <c r="N737" s="87"/>
      <c r="O737" s="87"/>
      <c r="P737" s="87"/>
      <c r="Q737" s="87"/>
      <c r="R737" s="87"/>
      <c r="S737" s="88">
        <f>MIN($B$8,AVERAGE(T675:T676)/(1+I737+$D$8/10000))+$B$7</f>
        <v>55.699101527967244</v>
      </c>
      <c r="T737" s="88">
        <f>MIN($B$8,AVERAGE(U675:U676)/(1+J737+$D$8/10000))+$B$7</f>
        <v>61.735520415182187</v>
      </c>
      <c r="U737" s="88">
        <f t="shared" si="28"/>
        <v>76.344681037608893</v>
      </c>
    </row>
    <row r="738" spans="1:21" x14ac:dyDescent="0.35">
      <c r="A738" s="30"/>
      <c r="B738" s="4"/>
      <c r="C738" s="4"/>
      <c r="D738" s="4"/>
      <c r="E738" s="4"/>
      <c r="F738" s="4"/>
      <c r="G738" s="4"/>
      <c r="H738" s="17"/>
      <c r="I738" s="8">
        <f>H768*EXP(10*I$22)</f>
        <v>0.36837318111086681</v>
      </c>
      <c r="J738" s="8">
        <f>I768*EXP(10*J$22)</f>
        <v>0.47700957267575061</v>
      </c>
      <c r="K738" s="8">
        <f>J768*EXP(10*K$22)</f>
        <v>0.59221772331441802</v>
      </c>
      <c r="L738" s="87"/>
      <c r="M738" s="87"/>
      <c r="N738" s="87"/>
      <c r="O738" s="87"/>
      <c r="P738" s="87"/>
      <c r="Q738" s="87"/>
      <c r="R738" s="87"/>
      <c r="S738" s="88">
        <f>MIN($B$8,AVERAGE(T677:T678)/(1+I738+$D$8/10000))+$B$7</f>
        <v>56.049054440454526</v>
      </c>
      <c r="T738" s="88">
        <f>MIN($B$8,AVERAGE(U677:U678)/(1+J738+$D$8/10000))+$B$7</f>
        <v>61.964892814670499</v>
      </c>
      <c r="U738" s="88">
        <f t="shared" si="28"/>
        <v>76.469437450002005</v>
      </c>
    </row>
    <row r="739" spans="1:21" x14ac:dyDescent="0.35">
      <c r="A739" s="30"/>
      <c r="B739" s="4"/>
      <c r="C739" s="4"/>
      <c r="D739" s="4"/>
      <c r="E739" s="4"/>
      <c r="F739" s="4"/>
      <c r="G739" s="4"/>
      <c r="H739" s="17"/>
      <c r="I739" s="9">
        <f>(H769+$B$4)*EXP(10*$I$22)</f>
        <v>0.37165394295985527</v>
      </c>
      <c r="J739" s="9">
        <f>(I769+$B$4)*EXP(10*$J$22)</f>
        <v>0.4864839863574259</v>
      </c>
      <c r="K739" s="9">
        <f>(J769+$B$4)*EXP(10*$K$22)</f>
        <v>0.59391358680024009</v>
      </c>
      <c r="L739" s="87"/>
      <c r="M739" s="87"/>
      <c r="N739" s="87"/>
      <c r="O739" s="87"/>
      <c r="P739" s="87"/>
      <c r="Q739" s="87"/>
      <c r="R739" s="87"/>
      <c r="S739" s="88">
        <f>MIN($B$8,AVERAGE(T679:T680)/(1+I739+$D$8/10000))+$B$7</f>
        <v>55.590418871934766</v>
      </c>
      <c r="T739" s="88">
        <f>MIN($B$8,AVERAGE(U679:U680)/(1+J739+$D$8/10000))+$B$7</f>
        <v>61.109587131854042</v>
      </c>
      <c r="U739" s="88">
        <f t="shared" si="28"/>
        <v>76.383900369860925</v>
      </c>
    </row>
    <row r="740" spans="1:21" x14ac:dyDescent="0.35">
      <c r="A740" s="30"/>
      <c r="B740" s="4"/>
      <c r="C740" s="4"/>
      <c r="D740" s="4"/>
      <c r="E740" s="4"/>
      <c r="F740" s="4"/>
      <c r="G740" s="4"/>
      <c r="H740" s="17"/>
      <c r="I740" s="8">
        <f>H769*EXP(10*I$22)</f>
        <v>0.36915430181238329</v>
      </c>
      <c r="J740" s="8">
        <f>I769*EXP(10*J$22)</f>
        <v>0.48396426787852748</v>
      </c>
      <c r="K740" s="8">
        <f>J769*EXP(10*K$22)</f>
        <v>0.59143881749775296</v>
      </c>
      <c r="L740" s="87"/>
      <c r="M740" s="87"/>
      <c r="N740" s="87"/>
      <c r="O740" s="87"/>
      <c r="P740" s="87"/>
      <c r="Q740" s="87"/>
      <c r="R740" s="87"/>
      <c r="S740" s="88">
        <f>MIN($B$8,AVERAGE(T681:T682)/(1+I740+$D$8/10000))+$B$7</f>
        <v>55.939341449031744</v>
      </c>
      <c r="T740" s="88">
        <f>MIN($B$8,AVERAGE(U681:U682)/(1+J740+$D$8/10000))+$B$7</f>
        <v>61.335160539726495</v>
      </c>
      <c r="U740" s="88">
        <f t="shared" si="28"/>
        <v>76.508792200995401</v>
      </c>
    </row>
    <row r="741" spans="1:21" x14ac:dyDescent="0.35">
      <c r="A741" s="30"/>
      <c r="B741" s="4"/>
      <c r="C741" s="4"/>
      <c r="D741" s="4"/>
      <c r="E741" s="4"/>
      <c r="F741" s="4"/>
      <c r="G741" s="4"/>
      <c r="H741" s="17"/>
      <c r="I741" s="9">
        <f>(H770+$B$4)*EXP(10*$I$22)</f>
        <v>0.37467451786907324</v>
      </c>
      <c r="J741" s="9">
        <f>(I770+$B$4)*EXP(10*$J$22)</f>
        <v>0.4833347903624759</v>
      </c>
      <c r="K741" s="9">
        <f>(J770+$B$4)*EXP(10*$K$22)</f>
        <v>0.59079572582899631</v>
      </c>
      <c r="L741" s="87"/>
      <c r="M741" s="87"/>
      <c r="N741" s="87"/>
      <c r="O741" s="87"/>
      <c r="P741" s="87"/>
      <c r="Q741" s="87"/>
      <c r="R741" s="87"/>
      <c r="S741" s="88">
        <f>MIN($B$8,AVERAGE(T683:T684)/(1+I741+$D$8/10000))+$B$7</f>
        <v>55.173141130643501</v>
      </c>
      <c r="T741" s="88">
        <f>MIN($B$8,AVERAGE(U683:U684)/(1+J741+$D$8/10000))+$B$7</f>
        <v>61.391726328320452</v>
      </c>
      <c r="U741" s="88">
        <f t="shared" si="28"/>
        <v>76.541317077147468</v>
      </c>
    </row>
    <row r="742" spans="1:21" x14ac:dyDescent="0.35">
      <c r="A742" s="30"/>
      <c r="B742" s="4"/>
      <c r="C742" s="4"/>
      <c r="D742" s="4"/>
      <c r="E742" s="4"/>
      <c r="F742" s="4"/>
      <c r="G742" s="4"/>
      <c r="H742" s="17"/>
      <c r="I742" s="8">
        <f>H770*EXP(10*I$22)</f>
        <v>0.37217487672160127</v>
      </c>
      <c r="J742" s="8">
        <f>I770*EXP(10*J$22)</f>
        <v>0.48081507188357742</v>
      </c>
      <c r="K742" s="8">
        <f>J770*EXP(10*K$22)</f>
        <v>0.58832095652650918</v>
      </c>
      <c r="L742" s="87"/>
      <c r="M742" s="87"/>
      <c r="N742" s="87"/>
      <c r="O742" s="87"/>
      <c r="P742" s="87"/>
      <c r="Q742" s="87"/>
      <c r="R742" s="87"/>
      <c r="S742" s="88">
        <f>MIN($B$8,AVERAGE(T685:T686)/(1+I742+$D$8/10000))+$B$7</f>
        <v>55.518115438552073</v>
      </c>
      <c r="T742" s="88">
        <f>MIN($B$8,AVERAGE(U685:U686)/(1+J742+$D$8/10000))+$B$7</f>
        <v>61.619009439042557</v>
      </c>
      <c r="U742" s="88">
        <f t="shared" si="28"/>
        <v>76.666753186036971</v>
      </c>
    </row>
    <row r="743" spans="1:21" x14ac:dyDescent="0.35">
      <c r="A743" s="30"/>
      <c r="B743" s="4"/>
      <c r="C743" s="4"/>
      <c r="D743" s="4"/>
      <c r="E743" s="4"/>
      <c r="F743" s="4"/>
      <c r="G743" s="4"/>
      <c r="H743" s="17"/>
      <c r="I743" s="9">
        <f>(H771+$B$4)*EXP(10*$I$22)</f>
        <v>0.37250959997448896</v>
      </c>
      <c r="J743" s="9">
        <f>(I771+$B$4)*EXP(10*$J$22)</f>
        <v>0.48746808849035661</v>
      </c>
      <c r="K743" s="9">
        <f>(J771+$B$4)*EXP(10*$K$22)</f>
        <v>0.60251921989823365</v>
      </c>
      <c r="L743" s="87"/>
      <c r="M743" s="87"/>
      <c r="N743" s="87"/>
      <c r="O743" s="87"/>
      <c r="P743" s="87"/>
      <c r="Q743" s="87"/>
      <c r="R743" s="87"/>
      <c r="S743" s="88">
        <f>MIN($B$8,AVERAGE(T687:T688)/(1+I744+$D$8/10000))+$B$7</f>
        <v>55.577810867221039</v>
      </c>
      <c r="T743" s="88">
        <f>MIN($B$8,AVERAGE(U687:U688)/(1+J743+$D$8/10000))+$B$7</f>
        <v>61.021855805907386</v>
      </c>
      <c r="U743" s="88">
        <f t="shared" si="28"/>
        <v>75.952937359891465</v>
      </c>
    </row>
    <row r="744" spans="1:21" x14ac:dyDescent="0.35">
      <c r="A744" s="30"/>
      <c r="B744" s="4"/>
      <c r="C744" s="4"/>
      <c r="D744" s="4"/>
      <c r="E744" s="4"/>
      <c r="F744" s="4"/>
      <c r="G744" s="4"/>
      <c r="H744" s="17"/>
      <c r="I744" s="8">
        <f>H771*EXP(10*I$22)</f>
        <v>0.37000995882701704</v>
      </c>
      <c r="J744" s="8">
        <f>I771*EXP(10*J$22)</f>
        <v>0.48494837001145813</v>
      </c>
      <c r="K744" s="8">
        <f>J771*EXP(10*K$22)</f>
        <v>0.6000444505957464</v>
      </c>
      <c r="L744" s="87"/>
      <c r="M744" s="87"/>
      <c r="N744" s="87"/>
      <c r="O744" s="87"/>
      <c r="P744" s="87"/>
      <c r="Q744" s="87"/>
      <c r="R744" s="87"/>
      <c r="S744" s="88">
        <f>MIN($B$8,AVERAGE(T689:T690)/(1+I744+$D$8/10000))+$B$7</f>
        <v>55.819530395220767</v>
      </c>
      <c r="T744" s="88">
        <f>MIN($B$8,AVERAGE(U689:U690)/(1+J744+$D$8/10000))+$B$7</f>
        <v>61.246898482934519</v>
      </c>
      <c r="U744" s="88">
        <f t="shared" si="28"/>
        <v>76.076345175599826</v>
      </c>
    </row>
    <row r="745" spans="1:21" x14ac:dyDescent="0.35">
      <c r="A745" s="30"/>
      <c r="B745" s="4"/>
      <c r="C745" s="4"/>
      <c r="D745" s="4"/>
      <c r="E745" s="4"/>
      <c r="F745" s="4"/>
      <c r="G745" s="4"/>
      <c r="H745" s="17"/>
      <c r="I745" s="9">
        <f>(H772+$B$4)*EXP(10*$I$22)</f>
        <v>0.37553017488370699</v>
      </c>
      <c r="J745" s="9">
        <f>(I772+$B$4)*EXP(10*$J$22)</f>
        <v>0.48431889249540655</v>
      </c>
      <c r="K745" s="9">
        <f>(J772+$B$4)*EXP(10*$K$22)</f>
        <v>0.59940135892698976</v>
      </c>
      <c r="L745" s="87"/>
      <c r="M745" s="87"/>
      <c r="N745" s="87"/>
      <c r="O745" s="87"/>
      <c r="P745" s="87"/>
      <c r="Q745" s="87"/>
      <c r="R745" s="87"/>
      <c r="S745" s="88">
        <f>MIN($B$8,AVERAGE(T691:T692)/(1+I745+$D$8/10000))+$B$7</f>
        <v>55.055795069932707</v>
      </c>
      <c r="T745" s="88">
        <f>MIN($B$8,AVERAGE(U691:U692)/(1+J745+$D$8/10000))+$B$7</f>
        <v>61.303331011911503</v>
      </c>
      <c r="U745" s="88">
        <f t="shared" si="28"/>
        <v>76.10848316184628</v>
      </c>
    </row>
    <row r="746" spans="1:21" x14ac:dyDescent="0.35">
      <c r="A746" s="30"/>
      <c r="B746" s="4"/>
      <c r="C746" s="4"/>
      <c r="D746" s="4"/>
      <c r="E746" s="4"/>
      <c r="F746" s="4"/>
      <c r="G746" s="4"/>
      <c r="H746" s="17"/>
      <c r="I746" s="8">
        <f>H772*EXP(10*I$22)</f>
        <v>0.37303053373623501</v>
      </c>
      <c r="J746" s="8">
        <f>I772*EXP(10*J$22)</f>
        <v>0.48179917401650807</v>
      </c>
      <c r="K746" s="8">
        <f>J772*EXP(10*K$22)</f>
        <v>0.59692658962450262</v>
      </c>
      <c r="L746" s="87"/>
      <c r="M746" s="87"/>
      <c r="N746" s="87"/>
      <c r="O746" s="87"/>
      <c r="P746" s="87"/>
      <c r="Q746" s="87"/>
      <c r="R746" s="87"/>
      <c r="S746" s="88">
        <f>MIN($B$8,AVERAGE(T693:T694)/(1+I746+$D$8/10000))+$B$7</f>
        <v>55.399661235869992</v>
      </c>
      <c r="T746" s="88">
        <f>MIN($B$8,AVERAGE(U693:U694)/(1+J746+$D$8/10000))+$B$7</f>
        <v>61.530077990284603</v>
      </c>
      <c r="U746" s="88">
        <f t="shared" si="28"/>
        <v>76.232425572783924</v>
      </c>
    </row>
    <row r="747" spans="1:21" x14ac:dyDescent="0.35">
      <c r="A747" s="30"/>
      <c r="B747" s="4"/>
      <c r="C747" s="4"/>
      <c r="D747" s="4"/>
      <c r="E747" s="4"/>
      <c r="F747" s="4"/>
      <c r="G747" s="4"/>
      <c r="H747" s="17"/>
      <c r="I747" s="9">
        <f>(H773+$B$4)*EXP(10*$I$22)</f>
        <v>0.37631129558522353</v>
      </c>
      <c r="J747" s="9">
        <f>(I773+$B$4)*EXP(10*$J$22)</f>
        <v>0.49127358769818347</v>
      </c>
      <c r="K747" s="9">
        <f>(J773+$B$4)*EXP(10*$K$22)</f>
        <v>0.59862245311032458</v>
      </c>
      <c r="L747" s="87"/>
      <c r="M747" s="87"/>
      <c r="N747" s="87"/>
      <c r="O747" s="87"/>
      <c r="P747" s="87"/>
      <c r="Q747" s="87"/>
      <c r="R747" s="87"/>
      <c r="S747" s="88">
        <f>MIN($B$8,AVERAGE(T695:T696)/(1+I747+$D$8/10000))+$B$7</f>
        <v>54.948999633131365</v>
      </c>
      <c r="T747" s="88">
        <f>MIN($B$8,AVERAGE(U695:U696)/(1+J747+$D$8/10000))+$B$7</f>
        <v>60.684534694026638</v>
      </c>
      <c r="U747" s="88">
        <f t="shared" si="28"/>
        <v>76.147446749095366</v>
      </c>
    </row>
    <row r="748" spans="1:21" x14ac:dyDescent="0.35">
      <c r="A748" s="30"/>
      <c r="B748" s="4"/>
      <c r="C748" s="4"/>
      <c r="D748" s="4"/>
      <c r="E748" s="4"/>
      <c r="F748" s="4"/>
      <c r="G748" s="4"/>
      <c r="H748" s="17"/>
      <c r="I748" s="8">
        <f>H773*EXP(10*I$22)</f>
        <v>0.37381165443775155</v>
      </c>
      <c r="J748" s="8">
        <f>I773*EXP(10*J$22)</f>
        <v>0.48875386921928499</v>
      </c>
      <c r="K748" s="8">
        <f>J773*EXP(10*K$22)</f>
        <v>0.59614768380783745</v>
      </c>
      <c r="L748" s="87"/>
      <c r="M748" s="87"/>
      <c r="N748" s="87"/>
      <c r="O748" s="87"/>
      <c r="P748" s="87"/>
      <c r="Q748" s="87"/>
      <c r="R748" s="87"/>
      <c r="S748" s="88">
        <f>MIN($B$8,AVERAGE(T697:T698)/(1+I748+$D$8/10000))+$B$7</f>
        <v>55.291858125710775</v>
      </c>
      <c r="T748" s="88">
        <f>MIN($B$8,AVERAGE(U697:U698)/(1+J748+$D$8/10000))+$B$7</f>
        <v>60.90754074033417</v>
      </c>
      <c r="U748" s="88">
        <f t="shared" si="28"/>
        <v>76.271523255226299</v>
      </c>
    </row>
    <row r="749" spans="1:21" x14ac:dyDescent="0.35">
      <c r="A749" s="30"/>
      <c r="B749" s="4"/>
      <c r="C749" s="4"/>
      <c r="D749" s="4"/>
      <c r="E749" s="4"/>
      <c r="F749" s="4"/>
      <c r="G749" s="4"/>
      <c r="H749" s="17"/>
      <c r="I749" s="9">
        <f>(H774+$B$4)*EXP(10*$I$22)</f>
        <v>0.37933187049444145</v>
      </c>
      <c r="J749" s="9">
        <f>(I774+$B$4)*EXP(10*$J$22)</f>
        <v>0.48812439170323341</v>
      </c>
      <c r="K749" s="9">
        <f>(J774+$B$4)*EXP(10*$K$22)</f>
        <v>0.5955045921390808</v>
      </c>
      <c r="L749" s="87"/>
      <c r="M749" s="87"/>
      <c r="N749" s="87"/>
      <c r="O749" s="87"/>
      <c r="P749" s="87"/>
      <c r="Q749" s="87"/>
      <c r="R749" s="87"/>
      <c r="S749" s="88">
        <f>MIN($B$8,AVERAGE(T699:T700)/(1+I749+$D$8/10000))+$B$7</f>
        <v>54.538953993187704</v>
      </c>
      <c r="T749" s="88">
        <f>MIN($B$8,AVERAGE(U699:U700)/(1+J749+$D$8/10000))+$B$7</f>
        <v>60.963461902843314</v>
      </c>
      <c r="U749" s="88">
        <f t="shared" si="28"/>
        <v>76.303835571327937</v>
      </c>
    </row>
    <row r="750" spans="1:21" x14ac:dyDescent="0.35">
      <c r="A750" s="30"/>
      <c r="B750" s="4"/>
      <c r="C750" s="4"/>
      <c r="D750" s="4"/>
      <c r="E750" s="4"/>
      <c r="F750" s="4"/>
      <c r="G750" s="4"/>
      <c r="H750" s="17"/>
      <c r="I750" s="8">
        <f>H774*EXP(10*I$22)</f>
        <v>0.37683222934696947</v>
      </c>
      <c r="J750" s="8">
        <f>I774*EXP(10*J$22)</f>
        <v>0.48560467322433493</v>
      </c>
      <c r="K750" s="8">
        <f>J774*EXP(10*K$22)</f>
        <v>0.59302982283659356</v>
      </c>
      <c r="L750" s="87"/>
      <c r="M750" s="87"/>
      <c r="N750" s="87"/>
      <c r="O750" s="87"/>
      <c r="P750" s="87"/>
      <c r="Q750" s="87"/>
      <c r="R750" s="87"/>
      <c r="S750" s="88">
        <f>MIN($B$8,AVERAGE(T701:T702)/(1+I750+$D$8/10000))+$B$7</f>
        <v>54.877950895696351</v>
      </c>
      <c r="T750" s="88">
        <f>MIN($B$8,AVERAGE(U701:U702)/(1+J750+$D$8/10000))+$B$7</f>
        <v>61.188151563336461</v>
      </c>
      <c r="U750" s="88">
        <f t="shared" si="28"/>
        <v>76.428451028394107</v>
      </c>
    </row>
    <row r="751" spans="1:21" x14ac:dyDescent="0.35">
      <c r="A751" s="30"/>
      <c r="B751" s="4"/>
      <c r="C751" s="4"/>
      <c r="D751" s="4"/>
      <c r="E751" s="4"/>
      <c r="F751" s="4"/>
      <c r="G751" s="4"/>
      <c r="H751" s="17"/>
      <c r="I751" s="9">
        <f>(H775+$B$4)*EXP(10*$I$22)</f>
        <v>0.37374337352403014</v>
      </c>
      <c r="J751" s="9">
        <f>(I775+$B$4)*EXP(10*$J$22)</f>
        <v>0.48854609588604242</v>
      </c>
      <c r="K751" s="9">
        <f>(J775+$B$4)*EXP(10*$K$22)</f>
        <v>0.60373693277277807</v>
      </c>
      <c r="L751" s="87"/>
      <c r="M751" s="87"/>
      <c r="N751" s="87"/>
      <c r="O751" s="87"/>
      <c r="P751" s="87"/>
      <c r="Q751" s="87"/>
      <c r="R751" s="87"/>
      <c r="S751" s="88">
        <f>MIN($B$8,AVERAGE(T703:T704)/(1+I751+$D$8/10000))+$B$7</f>
        <v>55.301269002383158</v>
      </c>
      <c r="T751" s="88">
        <f>MIN($B$8,AVERAGE(U703:U704)/(1+J751+$D$8/10000))+$B$7</f>
        <v>60.925989494481335</v>
      </c>
      <c r="U751" s="88">
        <f t="shared" si="28"/>
        <v>75.892369408639851</v>
      </c>
    </row>
    <row r="752" spans="1:21" x14ac:dyDescent="0.35">
      <c r="A752" s="30"/>
      <c r="B752" s="4"/>
      <c r="C752" s="4"/>
      <c r="D752" s="4"/>
      <c r="E752" s="4"/>
      <c r="F752" s="4"/>
      <c r="G752" s="4"/>
      <c r="H752" s="17"/>
      <c r="I752" s="8">
        <f>H775*EXP(10*I$22)</f>
        <v>0.37124373237655817</v>
      </c>
      <c r="J752" s="8">
        <f>I775*EXP(10*J$22)</f>
        <v>0.48602637740714394</v>
      </c>
      <c r="K752" s="8">
        <f>J775*EXP(10*K$22)</f>
        <v>0.60126216347029082</v>
      </c>
      <c r="L752" s="87"/>
      <c r="M752" s="87"/>
      <c r="N752" s="87"/>
      <c r="O752" s="87"/>
      <c r="P752" s="87"/>
      <c r="Q752" s="87"/>
      <c r="R752" s="87"/>
      <c r="S752" s="88">
        <f>MIN($B$8,AVERAGE(T705:T706)/(1+I752+$D$8/10000))+$B$7</f>
        <v>55.647454364585187</v>
      </c>
      <c r="T752" s="88">
        <f>MIN($B$8,AVERAGE(U705:U706)/(1+J752+$D$8/10000))+$B$7</f>
        <v>61.15045271801646</v>
      </c>
      <c r="U752" s="88">
        <f t="shared" si="28"/>
        <v>76.015569371493697</v>
      </c>
    </row>
    <row r="753" spans="1:21" x14ac:dyDescent="0.35">
      <c r="A753" s="30"/>
      <c r="B753" s="4"/>
      <c r="C753" s="4"/>
      <c r="D753" s="4"/>
      <c r="E753" s="4"/>
      <c r="F753" s="4"/>
      <c r="G753" s="4"/>
      <c r="H753" s="17"/>
      <c r="I753" s="9">
        <f>(H776+$B$4)*EXP(10*$I$22)</f>
        <v>0.37676394843324812</v>
      </c>
      <c r="J753" s="9">
        <f>(I776+$B$4)*EXP(10*$J$22)</f>
        <v>0.48539689989109236</v>
      </c>
      <c r="K753" s="9">
        <f>(J776+$B$4)*EXP(10*$K$22)</f>
        <v>0.60061907180153418</v>
      </c>
      <c r="L753" s="87"/>
      <c r="M753" s="87"/>
      <c r="N753" s="87"/>
      <c r="O753" s="87"/>
      <c r="P753" s="87"/>
      <c r="Q753" s="87"/>
      <c r="R753" s="87"/>
      <c r="S753" s="88">
        <f>MIN($B$8,AVERAGE(T707:T708)/(1+I753+$D$8/10000))+$B$7</f>
        <v>54.887255642401577</v>
      </c>
      <c r="T753" s="88">
        <f>MIN($B$8,AVERAGE(U707:U708)/(1+J753+$D$8/10000))+$B$7</f>
        <v>61.206739754371668</v>
      </c>
      <c r="U753" s="88">
        <f t="shared" si="28"/>
        <v>76.047653170109356</v>
      </c>
    </row>
    <row r="754" spans="1:21" x14ac:dyDescent="0.35">
      <c r="A754" s="30"/>
      <c r="B754" s="4"/>
      <c r="C754" s="4"/>
      <c r="D754" s="4"/>
      <c r="E754" s="4"/>
      <c r="F754" s="4"/>
      <c r="G754" s="4"/>
      <c r="H754" s="17"/>
      <c r="I754" s="8">
        <f>H776*EXP(10*I$22)</f>
        <v>0.37426430728577614</v>
      </c>
      <c r="J754" s="8">
        <f>I776*EXP(10*J$22)</f>
        <v>0.48287718141219388</v>
      </c>
      <c r="K754" s="8">
        <f>J776*EXP(10*K$22)</f>
        <v>0.59814430249904704</v>
      </c>
      <c r="L754" s="87"/>
      <c r="M754" s="87"/>
      <c r="N754" s="87"/>
      <c r="O754" s="87"/>
      <c r="P754" s="87"/>
      <c r="Q754" s="87"/>
      <c r="R754" s="87"/>
      <c r="S754" s="88">
        <f>MIN($B$8,AVERAGE(T709:T710)/(1+I754+$D$8/10000))+$B$7</f>
        <v>55.229531910194211</v>
      </c>
      <c r="T754" s="88">
        <f>MIN($B$8,AVERAGE(U709:U710)/(1+J754+$D$8/10000))+$B$7</f>
        <v>61.432901386864735</v>
      </c>
      <c r="U754" s="88">
        <f t="shared" si="28"/>
        <v>76.171386376693349</v>
      </c>
    </row>
    <row r="755" spans="1:21" x14ac:dyDescent="0.35">
      <c r="A755" s="30"/>
      <c r="B755" s="4"/>
      <c r="C755" s="4"/>
      <c r="D755" s="4"/>
      <c r="E755" s="4"/>
      <c r="F755" s="4"/>
      <c r="G755" s="4"/>
      <c r="H755" s="17"/>
      <c r="I755" s="9">
        <f>(H777+$B$4)*EXP(10*$I$22)</f>
        <v>0.37754506913476465</v>
      </c>
      <c r="J755" s="9">
        <f>(I777+$B$4)*EXP(10*$J$22)</f>
        <v>0.49235159509386917</v>
      </c>
      <c r="K755" s="9">
        <f>(J777+$B$4)*EXP(10*$K$22)</f>
        <v>0.599840165984869</v>
      </c>
      <c r="L755" s="87"/>
      <c r="M755" s="87"/>
      <c r="N755" s="87"/>
      <c r="O755" s="87"/>
      <c r="P755" s="87"/>
      <c r="Q755" s="87"/>
      <c r="R755" s="87"/>
      <c r="S755" s="88">
        <f>MIN($B$8,AVERAGE(T711:T712)/(1+I755+$D$8/10000))+$B$7</f>
        <v>54.780953171017217</v>
      </c>
      <c r="T755" s="88">
        <f>MIN($B$8,AVERAGE(U711:U712)/(1+J755+$D$8/10000))+$B$7</f>
        <v>60.589534703386683</v>
      </c>
      <c r="U755" s="88">
        <f t="shared" si="28"/>
        <v>76.086551028774508</v>
      </c>
    </row>
    <row r="756" spans="1:21" x14ac:dyDescent="0.35">
      <c r="A756" s="30"/>
      <c r="B756" s="4"/>
      <c r="C756" s="4"/>
      <c r="D756" s="4"/>
      <c r="E756" s="4"/>
      <c r="F756" s="4"/>
      <c r="G756" s="4"/>
      <c r="H756" s="17"/>
      <c r="I756" s="8">
        <f>H777*EXP(10*I$22)</f>
        <v>0.37504542798729268</v>
      </c>
      <c r="J756" s="8">
        <f>I777*EXP(10*J$22)</f>
        <v>0.48983187661497074</v>
      </c>
      <c r="K756" s="8">
        <f>J777*EXP(10*K$22)</f>
        <v>0.59736539668238187</v>
      </c>
      <c r="L756" s="87"/>
      <c r="M756" s="87"/>
      <c r="N756" s="87"/>
      <c r="O756" s="87"/>
      <c r="P756" s="87"/>
      <c r="Q756" s="87"/>
      <c r="R756" s="87"/>
      <c r="S756" s="88">
        <f>MIN($B$8,AVERAGE(T713:T714)/(1+I756+$D$8/10000))+$B$7</f>
        <v>55.122227667542624</v>
      </c>
      <c r="T756" s="88">
        <f>MIN($B$8,AVERAGE(U713:U714)/(1+J756+$D$8/10000))+$B$7</f>
        <v>60.811968317681327</v>
      </c>
      <c r="U756" s="88">
        <f t="shared" si="28"/>
        <v>76.210417991091305</v>
      </c>
    </row>
    <row r="757" spans="1:21" x14ac:dyDescent="0.35">
      <c r="A757" s="30"/>
      <c r="B757" s="4"/>
      <c r="C757" s="4"/>
      <c r="D757" s="4"/>
      <c r="E757" s="4"/>
      <c r="F757" s="4"/>
      <c r="G757" s="4"/>
      <c r="H757" s="17"/>
      <c r="I757" s="9">
        <f>(H778+$B$4)*EXP(10*$I$22)</f>
        <v>0.38056564404398263</v>
      </c>
      <c r="J757" s="9">
        <f>(I778+$B$4)*EXP(10*$J$22)</f>
        <v>0.48920239909891916</v>
      </c>
      <c r="K757" s="9">
        <f>(J778+$B$4)*EXP(10*$K$22)</f>
        <v>0.59672230501362522</v>
      </c>
      <c r="L757" s="87"/>
      <c r="M757" s="87"/>
      <c r="N757" s="87"/>
      <c r="O757" s="87"/>
      <c r="P757" s="87"/>
      <c r="Q757" s="87"/>
      <c r="R757" s="87"/>
      <c r="S757" s="88">
        <f>MIN($B$8,AVERAGE(T715:T716)/(1+I757+$D$8/10000))+$B$7</f>
        <v>54.372796697089882</v>
      </c>
      <c r="T757" s="88">
        <f>MIN($B$8,AVERAGE(U715:U716)/(1+J757+$D$8/10000))+$B$7</f>
        <v>60.867745752809753</v>
      </c>
      <c r="U757" s="88">
        <f t="shared" si="28"/>
        <v>76.242675678247451</v>
      </c>
    </row>
    <row r="758" spans="1:21" x14ac:dyDescent="0.35">
      <c r="A758" s="30"/>
      <c r="B758" s="4"/>
      <c r="C758" s="4"/>
      <c r="D758" s="4"/>
      <c r="E758" s="4"/>
      <c r="F758" s="4"/>
      <c r="G758" s="4"/>
      <c r="H758" s="17"/>
      <c r="I758" s="8">
        <f>H778*EXP(10*I$22)</f>
        <v>0.37806600289651066</v>
      </c>
      <c r="J758" s="8">
        <f>I778*EXP(10*J$22)</f>
        <v>0.48668268062002068</v>
      </c>
      <c r="K758" s="8">
        <f>J778*EXP(10*K$22)</f>
        <v>0.59424753571113798</v>
      </c>
      <c r="L758" s="87"/>
      <c r="M758" s="87"/>
      <c r="N758" s="87"/>
      <c r="O758" s="87"/>
      <c r="P758" s="87"/>
      <c r="Q758" s="87"/>
      <c r="R758" s="87"/>
      <c r="S758" s="88">
        <f>MIN($B$8,AVERAGE(T717:T718)/(1+I758+$D$8/10000))+$B$7</f>
        <v>54.710232178944878</v>
      </c>
      <c r="T758" s="88">
        <f>MIN($B$8,AVERAGE(U717:U718)/(1+J758+$D$8/10000))+$B$7</f>
        <v>61.091857178424036</v>
      </c>
      <c r="U758" s="88">
        <f t="shared" si="28"/>
        <v>76.367080225304619</v>
      </c>
    </row>
    <row r="759" spans="1:21" x14ac:dyDescent="0.35">
      <c r="A759" s="30"/>
      <c r="B759" s="4"/>
      <c r="C759" s="4"/>
      <c r="D759" s="4"/>
      <c r="E759" s="4"/>
      <c r="F759" s="4"/>
      <c r="G759" s="4"/>
      <c r="H759" s="17"/>
      <c r="I759" s="9">
        <f>(H779+$B$4)*EXP(10*$I$22)</f>
        <v>0.37840072614939829</v>
      </c>
      <c r="J759" s="9">
        <f>(I779+$B$4)*EXP(10*$J$22)</f>
        <v>0.49333569722679982</v>
      </c>
      <c r="K759" s="9">
        <f>(J779+$B$4)*EXP(10*$K$22)</f>
        <v>0.60844579908286267</v>
      </c>
      <c r="L759" s="87"/>
      <c r="M759" s="87"/>
      <c r="N759" s="87"/>
      <c r="O759" s="87"/>
      <c r="P759" s="87"/>
      <c r="Q759" s="87"/>
      <c r="R759" s="87"/>
      <c r="S759" s="88">
        <f>MIN($B$8,AVERAGE(T719:T720)/(1+I759+$D$8/10000))+$B$7</f>
        <v>54.664863519937136</v>
      </c>
      <c r="T759" s="88">
        <f>MIN($B$8,AVERAGE(U719:U720)/(1+J759+$D$8/10000))+$B$7</f>
        <v>60.503022791700758</v>
      </c>
      <c r="U759" s="88">
        <f t="shared" si="28"/>
        <v>75.659111039596795</v>
      </c>
    </row>
    <row r="760" spans="1:21" x14ac:dyDescent="0.35">
      <c r="A760" s="30"/>
      <c r="B760" s="4"/>
      <c r="C760" s="4"/>
      <c r="D760" s="4"/>
      <c r="E760" s="4"/>
      <c r="F760" s="4"/>
      <c r="G760" s="4"/>
      <c r="H760" s="17"/>
      <c r="I760" s="8">
        <f>H779*EXP(10*I$22)</f>
        <v>0.37590108500192632</v>
      </c>
      <c r="J760" s="8">
        <f>I779*EXP(10*J$22)</f>
        <v>0.49081597874790134</v>
      </c>
      <c r="K760" s="8">
        <f>J779*EXP(10*K$22)</f>
        <v>0.60597102978037543</v>
      </c>
      <c r="L760" s="87"/>
      <c r="M760" s="87"/>
      <c r="N760" s="87"/>
      <c r="O760" s="87"/>
      <c r="P760" s="87"/>
      <c r="Q760" s="87"/>
      <c r="R760" s="87"/>
      <c r="S760" s="88">
        <f>MIN($B$8,AVERAGE(T721:T722)/(1+I760+$D$8/10000))+$B$7</f>
        <v>55.005044917063465</v>
      </c>
      <c r="T760" s="88">
        <f>MIN($B$8,AVERAGE(U721:U722)/(1+J760+$D$8/10000))+$B$7</f>
        <v>60.72493555848456</v>
      </c>
      <c r="U760" s="88">
        <f t="shared" si="28"/>
        <v>75.781512162010614</v>
      </c>
    </row>
    <row r="761" spans="1:21" x14ac:dyDescent="0.35">
      <c r="A761" s="30"/>
      <c r="B761" s="4"/>
      <c r="C761" s="4"/>
      <c r="D761" s="4"/>
      <c r="E761" s="4"/>
      <c r="F761" s="4"/>
      <c r="G761" s="4"/>
      <c r="H761" s="17"/>
      <c r="I761" s="9">
        <f>(H780+$B$4)*EXP(10*$I$22)</f>
        <v>0.38142130105861627</v>
      </c>
      <c r="J761" s="9">
        <f>(I780+$B$4)*EXP(10*$J$22)</f>
        <v>0.49018650123184976</v>
      </c>
      <c r="K761" s="9">
        <f>(J780+$B$4)*EXP(10*$K$22)</f>
        <v>0.60532793811161878</v>
      </c>
      <c r="L761" s="87"/>
      <c r="M761" s="87"/>
      <c r="N761" s="87"/>
      <c r="O761" s="87"/>
      <c r="P761" s="87"/>
      <c r="Q761" s="87"/>
      <c r="R761" s="87"/>
      <c r="S761" s="88">
        <f>MIN($B$8,AVERAGE(T723:T724)/(1+I761+$D$8/10000))+$B$7</f>
        <v>54.258010757797429</v>
      </c>
      <c r="T761" s="88">
        <f>MIN($B$8,AVERAGE(U723:U724)/(1+J761+$D$8/10000))+$B$7</f>
        <v>60.780582218724362</v>
      </c>
      <c r="U761" s="88">
        <f t="shared" si="28"/>
        <v>75.813387702796376</v>
      </c>
    </row>
    <row r="762" spans="1:21" x14ac:dyDescent="0.35">
      <c r="A762" s="30"/>
      <c r="B762" s="4"/>
      <c r="C762" s="4"/>
      <c r="D762" s="4"/>
      <c r="E762" s="4"/>
      <c r="F762" s="4"/>
      <c r="G762" s="4"/>
      <c r="H762" s="17"/>
      <c r="I762" s="8">
        <f>H780*EXP(10*I$22)</f>
        <v>0.37892165991114429</v>
      </c>
      <c r="J762" s="8">
        <f>I780*EXP(10*J$22)</f>
        <v>0.48766678275295128</v>
      </c>
      <c r="K762" s="8">
        <f>J780*EXP(10*K$22)</f>
        <v>0.60285316880913153</v>
      </c>
      <c r="L762" s="87"/>
      <c r="M762" s="87"/>
      <c r="N762" s="87"/>
      <c r="O762" s="87"/>
      <c r="P762" s="87"/>
      <c r="Q762" s="87"/>
      <c r="R762" s="87"/>
      <c r="S762" s="88">
        <f>MIN($B$8,AVERAGE(T725:T726)/(1+I762+$D$8/10000))+$B$7</f>
        <v>54.594368703261054</v>
      </c>
      <c r="T762" s="88">
        <f>MIN($B$8,AVERAGE(U725:U726)/(1+J762+$D$8/10000))+$B$7</f>
        <v>61.004167521334921</v>
      </c>
      <c r="U762" s="88">
        <f t="shared" si="28"/>
        <v>75.936316885387313</v>
      </c>
    </row>
    <row r="763" spans="1:21" x14ac:dyDescent="0.35">
      <c r="A763" s="30"/>
      <c r="B763" s="4"/>
      <c r="C763" s="4"/>
      <c r="D763" s="4"/>
      <c r="E763" s="4"/>
      <c r="F763" s="4"/>
      <c r="G763" s="4"/>
      <c r="H763" s="17"/>
      <c r="I763" s="9">
        <f>(H781+$B$4)*EXP(10*$I$22)</f>
        <v>0.3822024217601328</v>
      </c>
      <c r="J763" s="9">
        <f>(I781+$B$4)*EXP(10*$J$22)</f>
        <v>0.49714119643462656</v>
      </c>
      <c r="K763" s="9">
        <f>(J781+$B$4)*EXP(10*$K$22)</f>
        <v>0.6045490322949536</v>
      </c>
      <c r="L763" s="87"/>
      <c r="M763" s="87"/>
      <c r="N763" s="87"/>
      <c r="O763" s="87"/>
      <c r="P763" s="87"/>
      <c r="Q763" s="87"/>
      <c r="R763" s="87"/>
      <c r="S763" s="88">
        <f>MIN($B$8,AVERAGE(T727:T728)/(1+I763+$D$8/10000))+$B$7</f>
        <v>54.153543369181001</v>
      </c>
      <c r="T763" s="88">
        <f>MIN($B$8,AVERAGE(U727:U728)/(1+J763+$D$8/10000))+$B$7</f>
        <v>60.170381191696706</v>
      </c>
      <c r="U763" s="88">
        <f t="shared" si="28"/>
        <v>75.85203294936845</v>
      </c>
    </row>
    <row r="764" spans="1:21" x14ac:dyDescent="0.35">
      <c r="A764" s="30"/>
      <c r="B764" s="4"/>
      <c r="C764" s="4"/>
      <c r="D764" s="4"/>
      <c r="E764" s="4"/>
      <c r="F764" s="4"/>
      <c r="G764" s="4"/>
      <c r="H764" s="17"/>
      <c r="I764" s="8">
        <f>H781*EXP(10*I$22)</f>
        <v>0.37970278061266088</v>
      </c>
      <c r="J764" s="8">
        <f>I781*EXP(10*J$22)</f>
        <v>0.49462147795572814</v>
      </c>
      <c r="K764" s="8">
        <f>J781*EXP(10*K$22)</f>
        <v>0.60207426299246636</v>
      </c>
      <c r="L764" s="87"/>
      <c r="M764" s="87"/>
      <c r="N764" s="87"/>
      <c r="O764" s="87"/>
      <c r="P764" s="87"/>
      <c r="Q764" s="87"/>
      <c r="R764" s="87"/>
      <c r="S764" s="88">
        <f>MIN($B$8,AVERAGE(T729:T730)/(1+I764+$D$8/10000))+$B$7</f>
        <v>54.488921449735265</v>
      </c>
      <c r="T764" s="88">
        <f>MIN($B$8,AVERAGE(U729:U730)/(1+J764+$D$8/10000))+$B$7</f>
        <v>60.390295181170693</v>
      </c>
      <c r="U764" s="88">
        <f t="shared" si="28"/>
        <v>75.975094585736443</v>
      </c>
    </row>
    <row r="765" spans="1:21" x14ac:dyDescent="0.35">
      <c r="A765" s="30"/>
      <c r="B765" s="4"/>
      <c r="C765" s="4"/>
      <c r="D765" s="4"/>
      <c r="E765" s="4"/>
      <c r="F765" s="4"/>
      <c r="G765" s="4"/>
      <c r="H765" s="17"/>
      <c r="I765" s="9">
        <f>(H782+$B$4)*EXP(10*$I$22)</f>
        <v>0.38522299666935084</v>
      </c>
      <c r="J765" s="9">
        <f>(I782+$B$4)*EXP(10*$J$22)</f>
        <v>0.49399200043967656</v>
      </c>
      <c r="K765" s="9">
        <f>(J782+$B$4)*EXP(10*$K$22)</f>
        <v>0.60143117132370971</v>
      </c>
      <c r="L765" s="87"/>
      <c r="M765" s="87"/>
      <c r="N765" s="87"/>
      <c r="O765" s="87"/>
      <c r="P765" s="87"/>
      <c r="Q765" s="87"/>
      <c r="R765" s="87"/>
      <c r="S765" s="88">
        <f>MIN($B$8,AVERAGE(T731:T732)/(1+I765+$D$8/10000))+$B$7</f>
        <v>53.752419572841475</v>
      </c>
      <c r="T765" s="88">
        <f>MIN($B$8,AVERAGE(U731:U732)/(1+J765+$D$8/10000))+$B$7</f>
        <v>60.445439991395418</v>
      </c>
      <c r="U765" s="88">
        <f t="shared" si="28"/>
        <v>76.007142322458577</v>
      </c>
    </row>
    <row r="766" spans="1:21" x14ac:dyDescent="0.35">
      <c r="A766" s="30"/>
      <c r="B766" s="4"/>
      <c r="C766" s="4"/>
      <c r="D766" s="4"/>
      <c r="E766" s="4"/>
      <c r="F766" s="4"/>
      <c r="G766" s="4"/>
      <c r="H766" s="17"/>
      <c r="I766" s="8">
        <f>H782*EXP(10*I$22)</f>
        <v>0.38272335552187886</v>
      </c>
      <c r="J766" s="8">
        <f>I782*EXP(10*J$22)</f>
        <v>0.49147228196077808</v>
      </c>
      <c r="K766" s="8">
        <f>J782*EXP(10*K$22)</f>
        <v>0.59895640202122258</v>
      </c>
      <c r="L766" s="87"/>
      <c r="M766" s="87"/>
      <c r="N766" s="87"/>
      <c r="O766" s="87"/>
      <c r="P766" s="87"/>
      <c r="Q766" s="87"/>
      <c r="R766" s="87"/>
      <c r="S766" s="88">
        <f>MIN($B$8,AVERAGE(T733:T734)/(1+I766+$D$8/10000))+$B$7</f>
        <v>54.084042432843695</v>
      </c>
      <c r="T766" s="88">
        <f>MIN($B$8,AVERAGE(U733:U734)/(1+J766+$D$8/10000))+$B$7</f>
        <v>60.667006311215253</v>
      </c>
      <c r="U766" s="88">
        <f t="shared" si="28"/>
        <v>76.130736303765644</v>
      </c>
    </row>
    <row r="767" spans="1:21" x14ac:dyDescent="0.35">
      <c r="A767" s="30"/>
      <c r="B767" s="4"/>
      <c r="C767" s="4"/>
      <c r="D767" s="4"/>
      <c r="E767" s="4"/>
      <c r="F767" s="4"/>
      <c r="G767" s="4"/>
      <c r="H767" s="8">
        <f>G783*EXP(2*$H$22)</f>
        <v>0.25124358624138687</v>
      </c>
      <c r="I767" s="9">
        <f>(H783+$B$4)*EXP(10*$I$22)</f>
        <v>0.3811209646568216</v>
      </c>
      <c r="J767" s="9">
        <f>(I783+$B$4)*EXP(10*$J$22)</f>
        <v>0.48112410614382167</v>
      </c>
      <c r="K767" s="9">
        <f>(J783+$B$4)*EXP(10*$K$22)</f>
        <v>0.59647644378280029</v>
      </c>
      <c r="L767" s="87"/>
      <c r="M767" s="87"/>
      <c r="N767" s="87"/>
      <c r="O767" s="87"/>
      <c r="P767" s="87"/>
      <c r="Q767" s="87"/>
      <c r="R767" s="88">
        <f>MIN($B$8,AVERAGE(S735:S736)/(1+H767+$D$8/10000))+$B$7</f>
        <v>62.805543562644807</v>
      </c>
      <c r="S767" s="88">
        <f>MIN($B$8,AVERAGE(T735:T736)/(1+I767+$D$8/10000))+$B$7</f>
        <v>54.298258972858747</v>
      </c>
      <c r="T767" s="88">
        <f>MIN($B$8,AVERAGE(U735:U736)/(1+J767+$D$8/10000))+$B$7</f>
        <v>61.591059948286528</v>
      </c>
      <c r="U767" s="88">
        <f t="shared" si="28"/>
        <v>76.255015774154899</v>
      </c>
    </row>
    <row r="768" spans="1:21" x14ac:dyDescent="0.35">
      <c r="A768" s="30"/>
      <c r="B768" s="4"/>
      <c r="C768" s="4"/>
      <c r="D768" s="4"/>
      <c r="E768" s="4"/>
      <c r="F768" s="4"/>
      <c r="G768" s="4"/>
      <c r="H768" s="9">
        <f>(G783+$B$4)*EXP(10*$H$22)</f>
        <v>0.29474085228867669</v>
      </c>
      <c r="I768" s="8">
        <f>H783*EXP(10*I$22)</f>
        <v>0.37862132350934963</v>
      </c>
      <c r="J768" s="8">
        <f>I783*EXP(10*J$22)</f>
        <v>0.47860438766492319</v>
      </c>
      <c r="K768" s="8">
        <f>J783*EXP(10*K$22)</f>
        <v>0.59400167448031305</v>
      </c>
      <c r="L768" s="87"/>
      <c r="M768" s="87"/>
      <c r="N768" s="87"/>
      <c r="O768" s="87"/>
      <c r="P768" s="87"/>
      <c r="Q768" s="87"/>
      <c r="R768" s="88">
        <f>MIN($B$8,AVERAGE(S737:S738)/(1+H768+$D$8/10000))+$B$7</f>
        <v>53.115282147495236</v>
      </c>
      <c r="S768" s="88">
        <f>MIN($B$8,AVERAGE(T737:T738)/(1+I768+$D$8/10000))+$B$7</f>
        <v>54.63499463690863</v>
      </c>
      <c r="T768" s="88">
        <f>MIN($B$8,AVERAGE(U737:U738)/(1+J768+$D$8/10000))+$B$7</f>
        <v>61.819553641761118</v>
      </c>
      <c r="U768" s="88">
        <f t="shared" si="28"/>
        <v>76.379462861646758</v>
      </c>
    </row>
    <row r="769" spans="1:21" x14ac:dyDescent="0.35">
      <c r="A769" s="30"/>
      <c r="B769" s="4"/>
      <c r="C769" s="4"/>
      <c r="D769" s="4"/>
      <c r="E769" s="4"/>
      <c r="F769" s="4"/>
      <c r="G769" s="4"/>
      <c r="H769" s="8">
        <f>G784*EXP(10*$H$22)</f>
        <v>0.29536583856105142</v>
      </c>
      <c r="I769" s="9">
        <f>(H784+$B$4)*EXP(10*$I$22)</f>
        <v>0.38414153956603958</v>
      </c>
      <c r="J769" s="9">
        <f>(I784+$B$4)*EXP(10*$J$22)</f>
        <v>0.47797491014887167</v>
      </c>
      <c r="K769" s="9">
        <f>(J784+$B$4)*EXP(10*$K$22)</f>
        <v>0.5933585828115564</v>
      </c>
      <c r="L769" s="87"/>
      <c r="M769" s="87"/>
      <c r="N769" s="87"/>
      <c r="O769" s="87"/>
      <c r="P769" s="87"/>
      <c r="Q769" s="87"/>
      <c r="R769" s="88">
        <f>MIN($B$8,AVERAGE(S739:S740)/(1+H769+$D$8/10000))+$B$7</f>
        <v>52.992377740434506</v>
      </c>
      <c r="S769" s="88">
        <f>MIN($B$8,AVERAGE(T739:T740)/(1+I769+$D$8/10000))+$B$7</f>
        <v>53.895515943919278</v>
      </c>
      <c r="T769" s="88">
        <f>MIN($B$8,AVERAGE(U739:U740)/(1+J769+$D$8/10000))+$B$7</f>
        <v>61.876852685764547</v>
      </c>
      <c r="U769" s="88">
        <f t="shared" si="28"/>
        <v>76.411871790220147</v>
      </c>
    </row>
    <row r="770" spans="1:21" x14ac:dyDescent="0.35">
      <c r="A770" s="30"/>
      <c r="B770" s="4"/>
      <c r="C770" s="4"/>
      <c r="D770" s="4"/>
      <c r="E770" s="4"/>
      <c r="F770" s="4"/>
      <c r="G770" s="4"/>
      <c r="H770" s="9">
        <f>(G784+$B$4)*EXP(10*$H$22)</f>
        <v>0.29778264539932325</v>
      </c>
      <c r="I770" s="8">
        <f>H784*EXP(10*I$22)</f>
        <v>0.3816418984185676</v>
      </c>
      <c r="J770" s="8">
        <f>I784*EXP(10*J$22)</f>
        <v>0.47545519166997324</v>
      </c>
      <c r="K770" s="8">
        <f>J784*EXP(10*K$22)</f>
        <v>0.59088381350906927</v>
      </c>
      <c r="L770" s="87"/>
      <c r="M770" s="87"/>
      <c r="N770" s="87"/>
      <c r="O770" s="87"/>
      <c r="P770" s="87"/>
      <c r="Q770" s="87"/>
      <c r="R770" s="88">
        <f>MIN($B$8,AVERAGE(S741:S742)/(1+H770+$D$8/10000))+$B$7</f>
        <v>52.521018653511483</v>
      </c>
      <c r="S770" s="88">
        <f>MIN($B$8,AVERAGE(T741:T742)/(1+I770+$D$8/10000))+$B$7</f>
        <v>54.228477128817154</v>
      </c>
      <c r="T770" s="88">
        <f>MIN($B$8,AVERAGE(U741:U742)/(1+J770+$D$8/10000))+$B$7</f>
        <v>62.107085881105661</v>
      </c>
      <c r="U770" s="88">
        <f t="shared" si="28"/>
        <v>76.536860247620282</v>
      </c>
    </row>
    <row r="771" spans="1:21" x14ac:dyDescent="0.35">
      <c r="A771" s="30"/>
      <c r="B771" s="4"/>
      <c r="C771" s="4"/>
      <c r="D771" s="4"/>
      <c r="E771" s="4"/>
      <c r="F771" s="4"/>
      <c r="G771" s="4"/>
      <c r="H771" s="8">
        <f>G785*EXP(10*$H$22)</f>
        <v>0.29605046244436289</v>
      </c>
      <c r="I771" s="9">
        <f>(H785+$B$4)*EXP(10*$I$22)</f>
        <v>0.38492266026755612</v>
      </c>
      <c r="J771" s="9">
        <f>(I785+$B$4)*EXP(10*$J$22)</f>
        <v>0.48492960535164847</v>
      </c>
      <c r="K771" s="9">
        <f>(J785+$B$4)*EXP(10*$K$22)</f>
        <v>0.59257967699489134</v>
      </c>
      <c r="L771" s="87"/>
      <c r="M771" s="87"/>
      <c r="N771" s="87"/>
      <c r="O771" s="87"/>
      <c r="P771" s="87"/>
      <c r="Q771" s="87"/>
      <c r="R771" s="88">
        <f>MIN($B$8,AVERAGE(S743:S744)/(1+H771+$D$8/10000))+$B$7</f>
        <v>52.904794028970066</v>
      </c>
      <c r="S771" s="88">
        <f>MIN($B$8,AVERAGE(T743:T744)/(1+I771+$D$8/10000))+$B$7</f>
        <v>53.792101812287072</v>
      </c>
      <c r="T771" s="88">
        <f>MIN($B$8,AVERAGE(U743:U744)/(1+J771+$D$8/10000))+$B$7</f>
        <v>61.248579500529573</v>
      </c>
      <c r="U771" s="88">
        <f t="shared" si="28"/>
        <v>76.451164026678811</v>
      </c>
    </row>
    <row r="772" spans="1:21" x14ac:dyDescent="0.35">
      <c r="A772" s="30"/>
      <c r="B772" s="4"/>
      <c r="C772" s="4"/>
      <c r="D772" s="4"/>
      <c r="E772" s="4"/>
      <c r="F772" s="4"/>
      <c r="G772" s="4"/>
      <c r="H772" s="9">
        <f>(G785+$B$4)*EXP(10*$H$22)</f>
        <v>0.29846726928263478</v>
      </c>
      <c r="I772" s="8">
        <f>H785*EXP(10*I$22)</f>
        <v>0.38242301912008414</v>
      </c>
      <c r="J772" s="8">
        <f>I785*EXP(10*J$22)</f>
        <v>0.48240988687274999</v>
      </c>
      <c r="K772" s="8">
        <f>J785*EXP(10*K$22)</f>
        <v>0.59010490769240409</v>
      </c>
      <c r="L772" s="87"/>
      <c r="M772" s="87"/>
      <c r="N772" s="87"/>
      <c r="O772" s="87"/>
      <c r="P772" s="87"/>
      <c r="Q772" s="87"/>
      <c r="R772" s="88">
        <f>MIN($B$8,AVERAGE(S745:S746)/(1+H772+$D$8/10000))+$B$7</f>
        <v>52.388613637065973</v>
      </c>
      <c r="S772" s="88">
        <f>MIN($B$8,AVERAGE(T745:T746)/(1+I772+$D$8/10000))+$B$7</f>
        <v>54.124095659341172</v>
      </c>
      <c r="T772" s="88">
        <f>MIN($B$8,AVERAGE(U745:U746)/(1+J772+$D$8/10000))+$B$7</f>
        <v>61.474994619479041</v>
      </c>
      <c r="U772" s="88">
        <f t="shared" si="28"/>
        <v>76.576288280913971</v>
      </c>
    </row>
    <row r="773" spans="1:21" x14ac:dyDescent="0.35">
      <c r="A773" s="30"/>
      <c r="B773" s="4"/>
      <c r="C773" s="4"/>
      <c r="D773" s="4"/>
      <c r="E773" s="4"/>
      <c r="F773" s="4"/>
      <c r="G773" s="4"/>
      <c r="H773" s="8">
        <f>G786*EXP(10*$H$22)</f>
        <v>0.29909225555500951</v>
      </c>
      <c r="I773" s="9">
        <f>(H786+$B$4)*EXP(10*$I$22)</f>
        <v>0.38794323517677415</v>
      </c>
      <c r="J773" s="9">
        <f>(I786+$B$4)*EXP(10*$J$22)</f>
        <v>0.48178040935669841</v>
      </c>
      <c r="K773" s="9">
        <f>(J786+$B$4)*EXP(10*$K$22)</f>
        <v>0.58946181602364744</v>
      </c>
      <c r="L773" s="87"/>
      <c r="M773" s="87"/>
      <c r="N773" s="87"/>
      <c r="O773" s="87"/>
      <c r="P773" s="87"/>
      <c r="Q773" s="87"/>
      <c r="R773" s="88">
        <f>MIN($B$8,AVERAGE(S747:S748)/(1+H773+$D$8/10000))+$B$7</f>
        <v>52.268170520777659</v>
      </c>
      <c r="S773" s="88">
        <f>MIN($B$8,AVERAGE(T747:T748)/(1+I773+$D$8/10000))+$B$7</f>
        <v>53.395014596547327</v>
      </c>
      <c r="T773" s="88">
        <f>MIN($B$8,AVERAGE(U747:U748)/(1+J773+$D$8/10000))+$B$7</f>
        <v>61.53177175189272</v>
      </c>
      <c r="U773" s="88">
        <f t="shared" si="28"/>
        <v>76.608873751557439</v>
      </c>
    </row>
    <row r="774" spans="1:21" x14ac:dyDescent="0.35">
      <c r="A774" s="30"/>
      <c r="B774" s="4"/>
      <c r="C774" s="4"/>
      <c r="D774" s="4"/>
      <c r="E774" s="4"/>
      <c r="F774" s="4"/>
      <c r="G774" s="4"/>
      <c r="H774" s="9">
        <f>(G786+$B$4)*EXP(10*$H$22)</f>
        <v>0.30150906239328135</v>
      </c>
      <c r="I774" s="8">
        <f>H786*EXP(10*I$22)</f>
        <v>0.38544359402930217</v>
      </c>
      <c r="J774" s="8">
        <f>I786*EXP(10*J$22)</f>
        <v>0.47926069087779993</v>
      </c>
      <c r="K774" s="8">
        <f>J786*EXP(10*K$22)</f>
        <v>0.5869870467211602</v>
      </c>
      <c r="L774" s="87"/>
      <c r="M774" s="87"/>
      <c r="N774" s="87"/>
      <c r="O774" s="87"/>
      <c r="P774" s="87"/>
      <c r="Q774" s="87"/>
      <c r="R774" s="88">
        <f>MIN($B$8,AVERAGE(S749:S750)/(1+H774+$D$8/10000))+$B$7</f>
        <v>51.806233303524671</v>
      </c>
      <c r="S774" s="88">
        <f>MIN($B$8,AVERAGE(T749:T750)/(1+I774+$D$8/10000))+$B$7</f>
        <v>53.723301142291916</v>
      </c>
      <c r="T774" s="88">
        <f>MIN($B$8,AVERAGE(U749:U750)/(1+J774+$D$8/10000))+$B$7</f>
        <v>61.759905149134227</v>
      </c>
      <c r="U774" s="88">
        <f t="shared" si="28"/>
        <v>76.73454380526006</v>
      </c>
    </row>
    <row r="775" spans="1:21" x14ac:dyDescent="0.35">
      <c r="A775" s="30"/>
      <c r="B775" s="4"/>
      <c r="C775" s="4"/>
      <c r="D775" s="4"/>
      <c r="E775" s="4"/>
      <c r="F775" s="4"/>
      <c r="G775" s="4"/>
      <c r="H775" s="8">
        <f>G787*EXP(10*$H$22)</f>
        <v>0.29703762298201764</v>
      </c>
      <c r="I775" s="9">
        <f>(H787+$B$4)*EXP(10*$I$22)</f>
        <v>0.38577831728218981</v>
      </c>
      <c r="J775" s="9">
        <f>(I787+$B$4)*EXP(10*$J$22)</f>
        <v>0.48591370748457907</v>
      </c>
      <c r="K775" s="9">
        <f>(J787+$B$4)*EXP(10*$K$22)</f>
        <v>0.60118531009288489</v>
      </c>
      <c r="L775" s="87"/>
      <c r="M775" s="87"/>
      <c r="N775" s="87"/>
      <c r="O775" s="87"/>
      <c r="P775" s="87"/>
      <c r="Q775" s="87"/>
      <c r="R775" s="88">
        <f>MIN($B$8,AVERAGE(S751:S752)/(1+H775+$D$8/10000))+$B$7</f>
        <v>52.665664274059608</v>
      </c>
      <c r="S775" s="88">
        <f>MIN($B$8,AVERAGE(T751:T752)/(1+I775+$D$8/10000))+$B$7</f>
        <v>53.679163880895906</v>
      </c>
      <c r="T775" s="88">
        <f>MIN($B$8,AVERAGE(U751:U752)/(1+J775+$D$8/10000))+$B$7</f>
        <v>61.16052128141272</v>
      </c>
      <c r="U775" s="88">
        <f t="shared" si="28"/>
        <v>76.019402077688071</v>
      </c>
    </row>
    <row r="776" spans="1:21" x14ac:dyDescent="0.35">
      <c r="A776" s="30"/>
      <c r="B776" s="4"/>
      <c r="C776" s="4"/>
      <c r="D776" s="4"/>
      <c r="E776" s="4"/>
      <c r="F776" s="4"/>
      <c r="G776" s="4"/>
      <c r="H776" s="9">
        <f>(G787+$B$4)*EXP(10*$H$22)</f>
        <v>0.29945442982028947</v>
      </c>
      <c r="I776" s="8">
        <f>H787*EXP(10*I$22)</f>
        <v>0.38327867613471783</v>
      </c>
      <c r="J776" s="8">
        <f>I787*EXP(10*J$22)</f>
        <v>0.48339398900568059</v>
      </c>
      <c r="K776" s="8">
        <f>J787*EXP(10*K$22)</f>
        <v>0.59871054079039765</v>
      </c>
      <c r="L776" s="87"/>
      <c r="M776" s="87"/>
      <c r="N776" s="87"/>
      <c r="O776" s="87"/>
      <c r="P776" s="87"/>
      <c r="Q776" s="87"/>
      <c r="R776" s="88">
        <f>MIN($B$8,AVERAGE(S753:S754)/(1+H776+$D$8/10000))+$B$7</f>
        <v>52.198561055863685</v>
      </c>
      <c r="S776" s="88">
        <f>MIN($B$8,AVERAGE(T753:T754)/(1+I776+$D$8/10000))+$B$7</f>
        <v>54.010102171232091</v>
      </c>
      <c r="T776" s="88">
        <f>MIN($B$8,AVERAGE(U753:U754)/(1+J776+$D$8/10000))+$B$7</f>
        <v>61.38640301201405</v>
      </c>
      <c r="U776" s="88">
        <f t="shared" si="28"/>
        <v>76.143038184310058</v>
      </c>
    </row>
    <row r="777" spans="1:21" x14ac:dyDescent="0.35">
      <c r="A777" s="30"/>
      <c r="B777" s="4"/>
      <c r="C777" s="4"/>
      <c r="D777" s="4"/>
      <c r="E777" s="4"/>
      <c r="F777" s="4"/>
      <c r="G777" s="4"/>
      <c r="H777" s="8">
        <f>G788*EXP(10*$H$22)</f>
        <v>0.30007941609266425</v>
      </c>
      <c r="I777" s="9">
        <f>(H788+$B$4)*EXP(10*$I$22)</f>
        <v>0.38879889219140779</v>
      </c>
      <c r="J777" s="9">
        <f>(I788+$B$4)*EXP(10*$J$22)</f>
        <v>0.48276451148962901</v>
      </c>
      <c r="K777" s="9">
        <f>(J788+$B$4)*EXP(10*$K$22)</f>
        <v>0.598067449121641</v>
      </c>
      <c r="L777" s="87"/>
      <c r="M777" s="87"/>
      <c r="N777" s="87"/>
      <c r="O777" s="87"/>
      <c r="P777" s="87"/>
      <c r="Q777" s="87"/>
      <c r="R777" s="88">
        <f>MIN($B$8,AVERAGE(S755:S756)/(1+H777+$D$8/10000))+$B$7</f>
        <v>52.07875978198561</v>
      </c>
      <c r="S777" s="88">
        <f>MIN($B$8,AVERAGE(T755:T756)/(1+I777+$D$8/10000))+$B$7</f>
        <v>53.283335720636835</v>
      </c>
      <c r="T777" s="88">
        <f>MIN($B$8,AVERAGE(U755:U756)/(1+J777+$D$8/10000))+$B$7</f>
        <v>61.443046216686128</v>
      </c>
      <c r="U777" s="88">
        <f t="shared" si="28"/>
        <v>76.175235686598171</v>
      </c>
    </row>
    <row r="778" spans="1:21" x14ac:dyDescent="0.35">
      <c r="A778" s="30"/>
      <c r="B778" s="4"/>
      <c r="C778" s="4"/>
      <c r="D778" s="4"/>
      <c r="E778" s="4"/>
      <c r="F778" s="4"/>
      <c r="G778" s="4"/>
      <c r="H778" s="9">
        <f>(G788+$B$4)*EXP(10*$H$22)</f>
        <v>0.30249622293093609</v>
      </c>
      <c r="I778" s="8">
        <f>H788*EXP(10*I$22)</f>
        <v>0.38629925104393581</v>
      </c>
      <c r="J778" s="8">
        <f>I788*EXP(10*J$22)</f>
        <v>0.48024479301073053</v>
      </c>
      <c r="K778" s="8">
        <f>J788*EXP(10*K$22)</f>
        <v>0.59559267981915376</v>
      </c>
      <c r="L778" s="87"/>
      <c r="M778" s="87"/>
      <c r="N778" s="87"/>
      <c r="O778" s="87"/>
      <c r="P778" s="87"/>
      <c r="Q778" s="87"/>
      <c r="R778" s="88">
        <f>MIN($B$8,AVERAGE(S757:S758)/(1+H778+$D$8/10000))+$B$7</f>
        <v>51.619279620843294</v>
      </c>
      <c r="S778" s="88">
        <f>MIN($B$8,AVERAGE(T757:T758)/(1+I778+$D$8/10000))+$B$7</f>
        <v>53.610581629687395</v>
      </c>
      <c r="T778" s="88">
        <f>MIN($B$8,AVERAGE(U757:U758)/(1+J778+$D$8/10000))+$B$7</f>
        <v>61.670640790089934</v>
      </c>
      <c r="U778" s="88">
        <f t="shared" si="28"/>
        <v>76.299407874158462</v>
      </c>
    </row>
    <row r="779" spans="1:21" x14ac:dyDescent="0.35">
      <c r="A779" s="30"/>
      <c r="B779" s="4"/>
      <c r="C779" s="4"/>
      <c r="D779" s="4"/>
      <c r="E779" s="4"/>
      <c r="F779" s="4"/>
      <c r="G779" s="4"/>
      <c r="H779" s="8">
        <f>G789*EXP(10*$H$22)</f>
        <v>0.30076403997597567</v>
      </c>
      <c r="I779" s="9">
        <f>(H789+$B$4)*EXP(10*$I$22)</f>
        <v>0.38958001289292427</v>
      </c>
      <c r="J779" s="9">
        <f>(I789+$B$4)*EXP(10*$J$22)</f>
        <v>0.48971920669240587</v>
      </c>
      <c r="K779" s="9">
        <f>(J789+$B$4)*EXP(10*$K$22)</f>
        <v>0.59728854330497583</v>
      </c>
      <c r="L779" s="87"/>
      <c r="M779" s="87"/>
      <c r="N779" s="87"/>
      <c r="O779" s="87"/>
      <c r="P779" s="87"/>
      <c r="Q779" s="87"/>
      <c r="R779" s="88">
        <f>MIN($B$8,AVERAGE(S759:S760)/(1+H779+$D$8/10000))+$B$7</f>
        <v>51.947990617393849</v>
      </c>
      <c r="S779" s="88">
        <f>MIN($B$8,AVERAGE(T759:T760)/(1+I779+$D$8/10000))+$B$7</f>
        <v>53.18169381394523</v>
      </c>
      <c r="T779" s="88">
        <f>MIN($B$8,AVERAGE(U759:U760)/(1+J779+$D$8/10000))+$B$7</f>
        <v>60.821945743315482</v>
      </c>
      <c r="U779" s="88">
        <f t="shared" si="28"/>
        <v>76.214271465788457</v>
      </c>
    </row>
    <row r="780" spans="1:21" x14ac:dyDescent="0.35">
      <c r="A780" s="30"/>
      <c r="B780" s="4"/>
      <c r="C780" s="4"/>
      <c r="D780" s="4"/>
      <c r="E780" s="4"/>
      <c r="F780" s="4"/>
      <c r="G780" s="4"/>
      <c r="H780" s="9">
        <f>(G789+$B$4)*EXP(10*$H$22)</f>
        <v>0.30318084681424751</v>
      </c>
      <c r="I780" s="8">
        <f>H789*EXP(10*I$22)</f>
        <v>0.38708037174545229</v>
      </c>
      <c r="J780" s="8">
        <f>I789*EXP(10*J$22)</f>
        <v>0.48719948821350739</v>
      </c>
      <c r="K780" s="8">
        <f>J789*EXP(10*K$22)</f>
        <v>0.59481377400248869</v>
      </c>
      <c r="L780" s="87"/>
      <c r="M780" s="87"/>
      <c r="N780" s="87"/>
      <c r="O780" s="87"/>
      <c r="P780" s="87"/>
      <c r="Q780" s="87"/>
      <c r="R780" s="88">
        <f>MIN($B$8,AVERAGE(S761:S762)/(1+H780+$D$8/10000))+$B$7</f>
        <v>51.490205065352285</v>
      </c>
      <c r="S780" s="88">
        <f>MIN($B$8,AVERAGE(T761:T762)/(1+I780+$D$8/10000))+$B$7</f>
        <v>53.507993386445179</v>
      </c>
      <c r="T780" s="88">
        <f>MIN($B$8,AVERAGE(U761:U762)/(1+J780+$D$8/10000))+$B$7</f>
        <v>61.045780665191948</v>
      </c>
      <c r="U780" s="88">
        <f t="shared" si="28"/>
        <v>76.338578121714249</v>
      </c>
    </row>
    <row r="781" spans="1:21" x14ac:dyDescent="0.35">
      <c r="A781" s="30"/>
      <c r="B781" s="4"/>
      <c r="C781" s="4"/>
      <c r="D781" s="4"/>
      <c r="E781" s="4"/>
      <c r="F781" s="4"/>
      <c r="G781" s="4"/>
      <c r="H781" s="8">
        <f>G790*EXP(10*$H$22)</f>
        <v>0.30380583308662229</v>
      </c>
      <c r="I781" s="9">
        <f>(H790+$B$4)*EXP(10*$I$22)</f>
        <v>0.39260058780214224</v>
      </c>
      <c r="J781" s="9">
        <f>(I790+$B$4)*EXP(10*$J$22)</f>
        <v>0.48657001069745581</v>
      </c>
      <c r="K781" s="9">
        <f>(J790+$B$4)*EXP(10*$K$22)</f>
        <v>0.59417068233373205</v>
      </c>
      <c r="L781" s="87"/>
      <c r="M781" s="87"/>
      <c r="N781" s="87"/>
      <c r="O781" s="87"/>
      <c r="P781" s="87"/>
      <c r="Q781" s="87"/>
      <c r="R781" s="88">
        <f>MIN($B$8,AVERAGE(S763:S764)/(1+H781+$D$8/10000))+$B$7</f>
        <v>51.372789102248916</v>
      </c>
      <c r="S781" s="88">
        <f>MIN($B$8,AVERAGE(T763:T764)/(1+I781+$D$8/10000))+$B$7</f>
        <v>52.791398825341723</v>
      </c>
      <c r="T781" s="88">
        <f>MIN($B$8,AVERAGE(U763:U764)/(1+J781+$D$8/10000))+$B$7</f>
        <v>61.101909944568611</v>
      </c>
      <c r="U781" s="88">
        <f t="shared" si="28"/>
        <v>76.370950438999117</v>
      </c>
    </row>
    <row r="782" spans="1:21" x14ac:dyDescent="0.35">
      <c r="A782" s="30"/>
      <c r="B782" s="4"/>
      <c r="C782" s="4"/>
      <c r="D782" s="4"/>
      <c r="E782" s="4"/>
      <c r="F782" s="4"/>
      <c r="G782" s="4"/>
      <c r="H782" s="9">
        <f>(G790+$B$4)*EXP(10*$H$22)</f>
        <v>0.30622263992489418</v>
      </c>
      <c r="I782" s="8">
        <f>H790*EXP(10*I$22)</f>
        <v>0.39010094665467027</v>
      </c>
      <c r="J782" s="8">
        <f>I790*EXP(10*J$22)</f>
        <v>0.48405029221855733</v>
      </c>
      <c r="K782" s="8">
        <f>J790*EXP(10*K$22)</f>
        <v>0.5916959130312448</v>
      </c>
      <c r="L782" s="87"/>
      <c r="M782" s="87"/>
      <c r="N782" s="87"/>
      <c r="O782" s="87"/>
      <c r="P782" s="87"/>
      <c r="Q782" s="87"/>
      <c r="R782" s="88">
        <f>MIN($B$8,AVERAGE(S765:S766)/(1+H782+$D$8/10000))+$B$7</f>
        <v>50.922440479965772</v>
      </c>
      <c r="S782" s="88">
        <f>MIN($B$8,AVERAGE(T765:T766)/(1+I782+$D$8/10000))+$B$7</f>
        <v>53.114071435022936</v>
      </c>
      <c r="T782" s="88">
        <f>MIN($B$8,AVERAGE(U765:U766)/(1+J782+$D$8/10000))+$B$7</f>
        <v>61.327436892179797</v>
      </c>
      <c r="U782" s="88">
        <f t="shared" si="28"/>
        <v>76.495797547738661</v>
      </c>
    </row>
    <row r="783" spans="1:21" x14ac:dyDescent="0.35">
      <c r="A783" s="30"/>
      <c r="B783" s="4"/>
      <c r="C783" s="4"/>
      <c r="D783" s="4"/>
      <c r="E783" s="4"/>
      <c r="F783" s="4"/>
      <c r="G783" s="8">
        <f>F791*EXP(10*$G$22)</f>
        <v>0.24190931672423799</v>
      </c>
      <c r="H783" s="8">
        <f>G791*EXP(10*$H$22)</f>
        <v>0.3029405431993879</v>
      </c>
      <c r="I783" s="9">
        <f>(H791+$B$4)*EXP(10*$I$22)</f>
        <v>0.37988719110728048</v>
      </c>
      <c r="J783" s="9">
        <f>(I791+$B$4)*EXP(10*$J$22)</f>
        <v>0.48004609874813581</v>
      </c>
      <c r="K783" s="9">
        <f>(J791+$B$4)*EXP(10*$K$22)</f>
        <v>0.59525873090825587</v>
      </c>
      <c r="L783" s="89"/>
      <c r="M783" s="87"/>
      <c r="N783" s="87"/>
      <c r="O783" s="87"/>
      <c r="P783" s="87"/>
      <c r="Q783" s="88">
        <f>MIN($B$8,AVERAGE(R767:R768)/(1+G783+$D$8/10000))+$B$7</f>
        <v>57.430602853026322</v>
      </c>
      <c r="R783" s="88">
        <f>MIN($B$8,AVERAGE(S767:S768)/(1+H783+$D$8/10000))+$B$7</f>
        <v>51.535456125931013</v>
      </c>
      <c r="S783" s="88">
        <f>MIN($B$8,AVERAGE(T767:T768)/(1+I783+$D$8/10000))+$B$7</f>
        <v>54.464071889158909</v>
      </c>
      <c r="T783" s="88">
        <f>MIN($B$8,AVERAGE(U767:U768)/(1+J783+$D$8/10000))+$B$7</f>
        <v>61.688646611919815</v>
      </c>
      <c r="U783" s="88">
        <f t="shared" si="28"/>
        <v>76.316196571859308</v>
      </c>
    </row>
    <row r="784" spans="1:21" x14ac:dyDescent="0.35">
      <c r="A784" s="30"/>
      <c r="B784" s="4"/>
      <c r="C784" s="4"/>
      <c r="D784" s="4"/>
      <c r="E784" s="4"/>
      <c r="F784" s="4"/>
      <c r="G784" s="9">
        <f>(F791+$B$4)*EXP(10*$G$22)</f>
        <v>0.24442651674409693</v>
      </c>
      <c r="H784" s="9">
        <f>(G791+$B$4)*EXP(10*$H$22)</f>
        <v>0.30535735003765974</v>
      </c>
      <c r="I784" s="8">
        <f>H791*EXP(10*I$22)</f>
        <v>0.37738754995980855</v>
      </c>
      <c r="J784" s="8">
        <f>I791*EXP(10*J$22)</f>
        <v>0.47752638026923733</v>
      </c>
      <c r="K784" s="8">
        <f>J791*EXP(10*K$22)</f>
        <v>0.59278396160576874</v>
      </c>
      <c r="L784" s="89"/>
      <c r="M784" s="87"/>
      <c r="N784" s="87"/>
      <c r="O784" s="87"/>
      <c r="P784" s="87"/>
      <c r="Q784" s="88">
        <f>MIN($B$8,AVERAGE(R769:R770)/(1+G784+$D$8/10000))+$B$7</f>
        <v>52.520985200019418</v>
      </c>
      <c r="R784" s="88">
        <f>MIN($B$8,AVERAGE(S769:S770)/(1+H784+$D$8/10000))+$B$7</f>
        <v>51.083007154110277</v>
      </c>
      <c r="S784" s="88">
        <f>MIN($B$8,AVERAGE(T769:T770)/(1+I784+$D$8/10000))+$B$7</f>
        <v>54.80236486590632</v>
      </c>
      <c r="T784" s="88">
        <f>MIN($B$8,AVERAGE(U769:U770)/(1+J784+$D$8/10000))+$B$7</f>
        <v>61.917733766678914</v>
      </c>
      <c r="U784" s="88">
        <f t="shared" si="28"/>
        <v>76.440854677597059</v>
      </c>
    </row>
    <row r="785" spans="1:21" x14ac:dyDescent="0.35">
      <c r="A785" s="30"/>
      <c r="B785" s="4"/>
      <c r="C785" s="4"/>
      <c r="D785" s="4"/>
      <c r="E785" s="4"/>
      <c r="F785" s="4"/>
      <c r="G785" s="8">
        <f>F792*EXP(10*$G$22)</f>
        <v>0.24499306916563926</v>
      </c>
      <c r="H785" s="8">
        <f>G792*EXP(10*$H$22)</f>
        <v>0.30598233631003452</v>
      </c>
      <c r="I785" s="9">
        <f>(H792+$B$4)*EXP(10*$I$22)</f>
        <v>0.38290776601649845</v>
      </c>
      <c r="J785" s="9">
        <f>(I792+$B$4)*EXP(10*$J$22)</f>
        <v>0.47689690275318575</v>
      </c>
      <c r="K785" s="9">
        <f>(J792+$B$4)*EXP(10*$K$22)</f>
        <v>0.59214086993701209</v>
      </c>
      <c r="L785" s="89"/>
      <c r="M785" s="87"/>
      <c r="N785" s="87"/>
      <c r="O785" s="87"/>
      <c r="P785" s="87"/>
      <c r="Q785" s="88">
        <f>MIN($B$8,AVERAGE(R771:R772)/(1+G785+$D$8/10000))+$B$7</f>
        <v>52.394605281891387</v>
      </c>
      <c r="R785" s="88">
        <f>MIN($B$8,AVERAGE(S771:S772)/(1+H785+$D$8/10000))+$B$7</f>
        <v>50.966957397780618</v>
      </c>
      <c r="S785" s="88">
        <f>MIN($B$8,AVERAGE(T771:T772)/(1+I785+$D$8/10000))+$B$7</f>
        <v>54.059471432098398</v>
      </c>
      <c r="T785" s="88">
        <f>MIN($B$8,AVERAGE(U771:U772)/(1+J785+$D$8/10000))+$B$7</f>
        <v>61.975181825048011</v>
      </c>
      <c r="U785" s="88">
        <f t="shared" si="28"/>
        <v>76.473318619924427</v>
      </c>
    </row>
    <row r="786" spans="1:21" x14ac:dyDescent="0.35">
      <c r="A786" s="30"/>
      <c r="B786" s="4"/>
      <c r="C786" s="4"/>
      <c r="D786" s="4"/>
      <c r="E786" s="4"/>
      <c r="F786" s="4"/>
      <c r="G786" s="9">
        <f>(F792+$B$4)*EXP(10*$G$22)</f>
        <v>0.24751026918549823</v>
      </c>
      <c r="H786" s="9">
        <f>(G792+$B$4)*EXP(10*$H$22)</f>
        <v>0.30839914314830641</v>
      </c>
      <c r="I786" s="8">
        <f>H792*EXP(10*I$22)</f>
        <v>0.38040812486902648</v>
      </c>
      <c r="J786" s="8">
        <f>I792*EXP(10*J$22)</f>
        <v>0.47437718427428727</v>
      </c>
      <c r="K786" s="8">
        <f>J792*EXP(10*K$22)</f>
        <v>0.58966610063452485</v>
      </c>
      <c r="L786" s="89"/>
      <c r="M786" s="87"/>
      <c r="N786" s="87"/>
      <c r="O786" s="87"/>
      <c r="P786" s="87"/>
      <c r="Q786" s="88">
        <f>MIN($B$8,AVERAGE(R773:R774)/(1+G786+$D$8/10000))+$B$7</f>
        <v>51.723902736264996</v>
      </c>
      <c r="R786" s="88">
        <f>MIN($B$8,AVERAGE(S773:S774)/(1+H786+$D$8/10000))+$B$7</f>
        <v>50.521839126995637</v>
      </c>
      <c r="S786" s="88">
        <f>MIN($B$8,AVERAGE(T773:T774)/(1+I786+$D$8/10000))+$B$7</f>
        <v>54.393967812604956</v>
      </c>
      <c r="T786" s="88">
        <f>MIN($B$8,AVERAGE(U773:U774)/(1+J786+$D$8/10000))+$B$7</f>
        <v>62.206014553486852</v>
      </c>
      <c r="U786" s="88">
        <f t="shared" si="28"/>
        <v>76.598519474611791</v>
      </c>
    </row>
    <row r="787" spans="1:21" x14ac:dyDescent="0.35">
      <c r="A787" s="30"/>
      <c r="B787" s="4"/>
      <c r="C787" s="4"/>
      <c r="D787" s="4"/>
      <c r="E787" s="4"/>
      <c r="F787" s="4"/>
      <c r="G787" s="8">
        <f>F793*EXP(10*$G$22)</f>
        <v>0.2458099822279679</v>
      </c>
      <c r="H787" s="8">
        <f>G793*EXP(10*$H$22)</f>
        <v>0.30666696019334599</v>
      </c>
      <c r="I787" s="9">
        <f>(H793+$B$4)*EXP(10*$I$22)</f>
        <v>0.38368888671801493</v>
      </c>
      <c r="J787" s="9">
        <f>(I793+$B$4)*EXP(10*$J$22)</f>
        <v>0.48385159795596261</v>
      </c>
      <c r="K787" s="9">
        <f>(J793+$B$4)*EXP(10*$K$22)</f>
        <v>0.59136196412034692</v>
      </c>
      <c r="L787" s="89"/>
      <c r="M787" s="87"/>
      <c r="N787" s="87"/>
      <c r="O787" s="87"/>
      <c r="P787" s="87"/>
      <c r="Q787" s="88">
        <f>MIN($B$8,AVERAGE(R775:R776)/(1+G787+$D$8/10000))+$B$7</f>
        <v>52.161180072090694</v>
      </c>
      <c r="R787" s="88">
        <f>MIN($B$8,AVERAGE(S775:S776)/(1+H787+$D$8/10000))+$B$7</f>
        <v>50.840279948030222</v>
      </c>
      <c r="S787" s="88">
        <f>MIN($B$8,AVERAGE(T775:T776)/(1+I787+$D$8/10000))+$B$7</f>
        <v>53.955581269046824</v>
      </c>
      <c r="T787" s="88">
        <f>MIN($B$8,AVERAGE(U775:U776)/(1+J787+$D$8/10000))+$B$7</f>
        <v>61.345278955445487</v>
      </c>
      <c r="U787" s="88">
        <f t="shared" si="28"/>
        <v>76.512677587537937</v>
      </c>
    </row>
    <row r="788" spans="1:21" x14ac:dyDescent="0.35">
      <c r="A788" s="30"/>
      <c r="B788" s="4"/>
      <c r="C788" s="4"/>
      <c r="D788" s="4"/>
      <c r="E788" s="4"/>
      <c r="F788" s="4"/>
      <c r="G788" s="9">
        <f>(F793+$B$4)*EXP(10*$G$22)</f>
        <v>0.24832718224782688</v>
      </c>
      <c r="H788" s="9">
        <f>(G793+$B$4)*EXP(10*$H$22)</f>
        <v>0.30908376703161783</v>
      </c>
      <c r="I788" s="8">
        <f>H793*EXP(10*I$22)</f>
        <v>0.38118924557054296</v>
      </c>
      <c r="J788" s="8">
        <f>I793*EXP(10*J$22)</f>
        <v>0.48133187947706413</v>
      </c>
      <c r="K788" s="8">
        <f>J793*EXP(10*K$22)</f>
        <v>0.58888719481785967</v>
      </c>
      <c r="L788" s="89"/>
      <c r="M788" s="87"/>
      <c r="N788" s="87"/>
      <c r="O788" s="87"/>
      <c r="P788" s="87"/>
      <c r="Q788" s="88">
        <f>MIN($B$8,AVERAGE(R777:R778)/(1+G788+$D$8/10000))+$B$7</f>
        <v>51.515719931211095</v>
      </c>
      <c r="R788" s="88">
        <f>MIN($B$8,AVERAGE(S777:S778)/(1+H788+$D$8/10000))+$B$7</f>
        <v>50.396791437980646</v>
      </c>
      <c r="S788" s="88">
        <f>MIN($B$8,AVERAGE(T777:T778)/(1+I788+$D$8/10000))+$B$7</f>
        <v>54.289104654159068</v>
      </c>
      <c r="T788" s="88">
        <f>MIN($B$8,AVERAGE(U777:U778)/(1+J788+$D$8/10000))+$B$7</f>
        <v>61.572280301010402</v>
      </c>
      <c r="U788" s="88">
        <f t="shared" si="28"/>
        <v>76.638014585448133</v>
      </c>
    </row>
    <row r="789" spans="1:21" x14ac:dyDescent="0.35">
      <c r="A789" s="30"/>
      <c r="B789" s="4"/>
      <c r="C789" s="4"/>
      <c r="D789" s="4"/>
      <c r="E789" s="4"/>
      <c r="F789" s="4"/>
      <c r="G789" s="8">
        <f>F794*EXP(10*$G$22)</f>
        <v>0.24889373466936918</v>
      </c>
      <c r="H789" s="8">
        <f>G794*EXP(10*$H$22)</f>
        <v>0.30970875330399256</v>
      </c>
      <c r="I789" s="9">
        <f>(H794+$B$4)*EXP(10*$I$22)</f>
        <v>0.38670946162723291</v>
      </c>
      <c r="J789" s="9">
        <f>(I794+$B$4)*EXP(10*$J$22)</f>
        <v>0.48070240196101255</v>
      </c>
      <c r="K789" s="9">
        <f>(J794+$B$4)*EXP(10*$K$22)</f>
        <v>0.58824410314910303</v>
      </c>
      <c r="L789" s="89"/>
      <c r="M789" s="87"/>
      <c r="N789" s="87"/>
      <c r="O789" s="87"/>
      <c r="P789" s="87"/>
      <c r="Q789" s="88">
        <f>MIN($B$8,AVERAGE(R779:R780)/(1+G789+$D$8/10000))+$B$7</f>
        <v>51.372060638225662</v>
      </c>
      <c r="R789" s="88">
        <f>MIN($B$8,AVERAGE(S779:S780)/(1+H789+$D$8/10000))+$B$7</f>
        <v>50.28303571211633</v>
      </c>
      <c r="S789" s="88">
        <f>MIN($B$8,AVERAGE(T779:T780)/(1+I789+$D$8/10000))+$B$7</f>
        <v>53.556669662986621</v>
      </c>
      <c r="T789" s="88">
        <f>MIN($B$8,AVERAGE(U779:U780)/(1+J789+$D$8/10000))+$B$7</f>
        <v>61.629204628881475</v>
      </c>
      <c r="U789" s="88">
        <f t="shared" si="28"/>
        <v>76.67065552016615</v>
      </c>
    </row>
    <row r="790" spans="1:21" x14ac:dyDescent="0.35">
      <c r="A790" s="30"/>
      <c r="B790" s="4"/>
      <c r="C790" s="4"/>
      <c r="D790" s="4"/>
      <c r="E790" s="4"/>
      <c r="F790" s="4"/>
      <c r="G790" s="9">
        <f>(F794+$B$4)*EXP(10*$G$22)</f>
        <v>0.25141093468922815</v>
      </c>
      <c r="H790" s="9">
        <f>(G794+$B$4)*EXP(10*$H$22)</f>
        <v>0.31212556014226439</v>
      </c>
      <c r="I790" s="8">
        <f>H794*EXP(10*I$22)</f>
        <v>0.38420982047976093</v>
      </c>
      <c r="J790" s="8">
        <f>I794*EXP(10*J$22)</f>
        <v>0.47818268348211407</v>
      </c>
      <c r="K790" s="8">
        <f>J794*EXP(10*K$22)</f>
        <v>0.58576933384661578</v>
      </c>
      <c r="L790" s="90"/>
      <c r="M790" s="87"/>
      <c r="N790" s="87"/>
      <c r="O790" s="87"/>
      <c r="P790" s="87"/>
      <c r="Q790" s="88">
        <f>MIN($B$8,AVERAGE(R781:R782)/(1+G790+$D$8/10000))+$B$7</f>
        <v>50.740844302138079</v>
      </c>
      <c r="R790" s="88">
        <f>MIN($B$8,AVERAGE(S781:S782)/(1+H790+$D$8/10000))+$B$7</f>
        <v>49.846700158449082</v>
      </c>
      <c r="S790" s="88">
        <f>MIN($B$8,AVERAGE(T781:T782)/(1+I790+$D$8/10000))+$B$7</f>
        <v>53.886464105033227</v>
      </c>
      <c r="T790" s="88">
        <f>MIN($B$8,AVERAGE(U781:U782)/(1+J790+$D$8/10000))+$B$7</f>
        <v>61.857930231745925</v>
      </c>
      <c r="U790" s="88">
        <f t="shared" si="28"/>
        <v>76.796539711656749</v>
      </c>
    </row>
    <row r="791" spans="1:21" x14ac:dyDescent="0.35">
      <c r="A791" s="30"/>
      <c r="B791" s="4"/>
      <c r="C791" s="4"/>
      <c r="D791" s="4"/>
      <c r="E791" s="4"/>
      <c r="F791" s="8">
        <f>E795*EXP(10*$F$22)</f>
        <v>0.19220508089602883</v>
      </c>
      <c r="G791" s="8">
        <f>F795*EXP(10*$G$22)</f>
        <v>0.25069487424655484</v>
      </c>
      <c r="H791" s="8">
        <f>G795*EXP(10*$H$22)</f>
        <v>0.30195338266173322</v>
      </c>
      <c r="I791" s="9">
        <f>(H795+$B$4)*EXP(10*$I$22)</f>
        <v>0.37903153409264673</v>
      </c>
      <c r="J791" s="9">
        <f>(I795+$B$4)*EXP(10*$J$22)</f>
        <v>0.47906199661520521</v>
      </c>
      <c r="K791" s="9">
        <f>(J795+$B$4)*EXP(10*$K$22)</f>
        <v>0.59054986459817138</v>
      </c>
      <c r="L791" s="87"/>
      <c r="M791" s="87"/>
      <c r="N791" s="87"/>
      <c r="O791" s="87"/>
      <c r="P791" s="88">
        <f>MIN($B$8,AVERAGE(Q783:Q784)/(1+F791+$D$8/10000))+$B$7</f>
        <v>57.1128562953445</v>
      </c>
      <c r="Q791" s="88">
        <f>MIN($B$8,AVERAGE(R783:R784)/(1+G791+$D$8/10000))+$B$7</f>
        <v>50.919238948097806</v>
      </c>
      <c r="R791" s="88">
        <f>MIN($B$8,AVERAGE(S783:S784)/(1+H791+$D$8/10000))+$B$7</f>
        <v>51.721962361136868</v>
      </c>
      <c r="S791" s="88">
        <f>MIN($B$8,AVERAGE(T783:T784)/(1+I791+$D$8/10000))+$B$7</f>
        <v>54.579517632894095</v>
      </c>
      <c r="T791" s="88">
        <f>MIN($B$8,AVERAGE(U783:U784)/(1+J791+$D$8/10000))+$B$7</f>
        <v>61.777953646855288</v>
      </c>
      <c r="U791" s="88">
        <f t="shared" si="28"/>
        <v>76.553759417275941</v>
      </c>
    </row>
    <row r="792" spans="1:21" x14ac:dyDescent="0.35">
      <c r="A792" s="30"/>
      <c r="B792" s="4"/>
      <c r="C792" s="4"/>
      <c r="D792" s="4"/>
      <c r="E792" s="4"/>
      <c r="F792" s="9">
        <f>(E795+$B$4)*EXP(10*$F$22)</f>
        <v>0.19465522583252384</v>
      </c>
      <c r="G792" s="9">
        <f>(F795+$B$4)*EXP(10*$G$22)</f>
        <v>0.25321207426641384</v>
      </c>
      <c r="H792" s="9">
        <f>(G795+$B$4)*EXP(10*$H$22)</f>
        <v>0.30437018950000505</v>
      </c>
      <c r="I792" s="8">
        <f>H795*EXP(10*I$22)</f>
        <v>0.37653189294517475</v>
      </c>
      <c r="J792" s="8">
        <f>I795*EXP(10*J$22)</f>
        <v>0.47654227813630673</v>
      </c>
      <c r="K792" s="8">
        <f>J795*EXP(10*K$22)</f>
        <v>0.58807509529568414</v>
      </c>
      <c r="L792" s="87"/>
      <c r="M792" s="87"/>
      <c r="N792" s="87"/>
      <c r="O792" s="87"/>
      <c r="P792" s="88">
        <f>MIN($B$8,AVERAGE(Q785:Q786)/(1+F792+$D$8/10000))+$B$7</f>
        <v>54.176374234472384</v>
      </c>
      <c r="Q792" s="88">
        <f>MIN($B$8,AVERAGE(R785:R786)/(1+G792+$D$8/10000))+$B$7</f>
        <v>50.296166549708751</v>
      </c>
      <c r="R792" s="88">
        <f>MIN($B$8,AVERAGE(S785:S786)/(1+H792+$D$8/10000))+$B$7</f>
        <v>51.267102494016527</v>
      </c>
      <c r="S792" s="88">
        <f>MIN($B$8,AVERAGE(T785:T786)/(1+I792+$D$8/10000))+$B$7</f>
        <v>54.918896016556438</v>
      </c>
      <c r="T792" s="88">
        <f>MIN($B$8,AVERAGE(U785:U786)/(1+J792+$D$8/10000))+$B$7</f>
        <v>62.007584373382109</v>
      </c>
      <c r="U792" s="88">
        <f t="shared" si="28"/>
        <v>76.67923859685888</v>
      </c>
    </row>
    <row r="793" spans="1:21" x14ac:dyDescent="0.35">
      <c r="A793" s="30"/>
      <c r="B793" s="4"/>
      <c r="C793" s="4"/>
      <c r="D793" s="4"/>
      <c r="E793" s="4"/>
      <c r="F793" s="8">
        <f>E796*EXP(10*$F$22)</f>
        <v>0.19530429071086786</v>
      </c>
      <c r="G793" s="8">
        <f>F796*EXP(10*$G$22)</f>
        <v>0.25377862668795614</v>
      </c>
      <c r="H793" s="8">
        <f>G796*EXP(10*$H$22)</f>
        <v>0.30499517577237978</v>
      </c>
      <c r="I793" s="9">
        <f>(H796+$B$4)*EXP(10*$I$22)</f>
        <v>0.3820521090018647</v>
      </c>
      <c r="J793" s="9">
        <f>(I796+$B$4)*EXP(10*$J$22)</f>
        <v>0.47591280062025515</v>
      </c>
      <c r="K793" s="9">
        <f>(J796+$B$4)*EXP(10*$K$22)</f>
        <v>0.58743200362692749</v>
      </c>
      <c r="L793" s="87"/>
      <c r="M793" s="87"/>
      <c r="N793" s="87"/>
      <c r="O793" s="87"/>
      <c r="P793" s="88">
        <f>MIN($B$8,AVERAGE(Q787:Q788)/(1+F793+$D$8/10000))+$B$7</f>
        <v>53.93231913511903</v>
      </c>
      <c r="Q793" s="88">
        <f>MIN($B$8,AVERAGE(R787:R788)/(1+G793+$D$8/10000))+$B$7</f>
        <v>50.157478759519378</v>
      </c>
      <c r="R793" s="88">
        <f>MIN($B$8,AVERAGE(S787:S788)/(1+H793+$D$8/10000))+$B$7</f>
        <v>51.150435524960422</v>
      </c>
      <c r="S793" s="88">
        <f>MIN($B$8,AVERAGE(T787:T788)/(1+I793+$D$8/10000))+$B$7</f>
        <v>54.173622613692558</v>
      </c>
      <c r="T793" s="88">
        <f>MIN($B$8,AVERAGE(U787:U788)/(1+J793+$D$8/10000))+$B$7</f>
        <v>62.06516891976284</v>
      </c>
      <c r="U793" s="88">
        <f t="shared" si="28"/>
        <v>76.711916599626619</v>
      </c>
    </row>
    <row r="794" spans="1:21" x14ac:dyDescent="0.35">
      <c r="A794" s="30"/>
      <c r="B794" s="4"/>
      <c r="C794" s="4"/>
      <c r="D794" s="4"/>
      <c r="E794" s="4"/>
      <c r="F794" s="9">
        <f>(E796+$B$4)*EXP(10*$F$22)</f>
        <v>0.19775443564736286</v>
      </c>
      <c r="G794" s="9">
        <f>(F796+$B$4)*EXP(10*$G$22)</f>
        <v>0.25629582670781509</v>
      </c>
      <c r="H794" s="9">
        <f>(G796+$B$4)*EXP(10*$H$22)</f>
        <v>0.30741198261065161</v>
      </c>
      <c r="I794" s="8">
        <f>H796*EXP(10*I$22)</f>
        <v>0.37955246785439273</v>
      </c>
      <c r="J794" s="8">
        <f>I796*EXP(10*J$22)</f>
        <v>0.47339308214135667</v>
      </c>
      <c r="K794" s="8">
        <f>J796*EXP(10*K$22)</f>
        <v>0.58495723432444025</v>
      </c>
      <c r="L794" s="87"/>
      <c r="M794" s="87"/>
      <c r="N794" s="87"/>
      <c r="O794" s="87"/>
      <c r="P794" s="88">
        <f>MIN($B$8,AVERAGE(Q789:Q790)/(1+F794+$D$8/10000))+$B$7</f>
        <v>53.063284237045728</v>
      </c>
      <c r="Q794" s="88">
        <f>MIN($B$8,AVERAGE(R789:R790)/(1+G794+$D$8/10000))+$B$7</f>
        <v>49.548057189182579</v>
      </c>
      <c r="R794" s="88">
        <f>MIN($B$8,AVERAGE(S789:S790)/(1+H794+$D$8/10000))+$B$7</f>
        <v>50.70295431567552</v>
      </c>
      <c r="S794" s="88">
        <f>MIN($B$8,AVERAGE(T789:T790)/(1+I794+$D$8/10000))+$B$7</f>
        <v>54.509188970231044</v>
      </c>
      <c r="T794" s="88">
        <f>MIN($B$8,AVERAGE(U789:U790)/(1+J794+$D$8/10000))+$B$7</f>
        <v>62.296550786091899</v>
      </c>
      <c r="U794" s="88">
        <f t="shared" si="28"/>
        <v>76.837943905171684</v>
      </c>
    </row>
    <row r="795" spans="1:21" x14ac:dyDescent="0.35">
      <c r="A795" s="30"/>
      <c r="B795" s="4"/>
      <c r="C795" s="4"/>
      <c r="D795" s="4"/>
      <c r="E795" s="8">
        <f>D796*EXP(10*$E$22)</f>
        <v>0.15689282542687752</v>
      </c>
      <c r="F795" s="8">
        <f>E797*EXP(10*$F$22)</f>
        <v>0.19918550156423553</v>
      </c>
      <c r="G795" s="8">
        <f>F797*EXP(10*$G$22)</f>
        <v>0.24987796118422623</v>
      </c>
      <c r="H795" s="8">
        <f>G797*EXP(10*$H$22)</f>
        <v>0.30126875877842169</v>
      </c>
      <c r="I795" s="9">
        <f>(H797+$B$4)*EXP(10*$I$22)</f>
        <v>0.37825041339113025</v>
      </c>
      <c r="J795" s="9">
        <f>(I797+$B$4)*EXP(10*$J$22)</f>
        <v>0.47525649740737841</v>
      </c>
      <c r="K795" s="9">
        <f>(J797+$B$4)*EXP(10*$K$22)</f>
        <v>0.58665309781026231</v>
      </c>
      <c r="L795" s="87"/>
      <c r="M795" s="87"/>
      <c r="N795" s="87"/>
      <c r="O795" s="88">
        <f t="shared" ref="O795:T795" si="29">MIN($B$8,AVERAGE(P791:P792)/(1+E795+$D$8/10000))+$B$7</f>
        <v>59.657815883631564</v>
      </c>
      <c r="P795" s="88">
        <f t="shared" si="29"/>
        <v>52.565266123479766</v>
      </c>
      <c r="Q795" s="88">
        <f t="shared" si="29"/>
        <v>51.123887901626794</v>
      </c>
      <c r="R795" s="88">
        <f t="shared" si="29"/>
        <v>51.851894190858545</v>
      </c>
      <c r="S795" s="88">
        <f t="shared" si="29"/>
        <v>54.685229999749559</v>
      </c>
      <c r="T795" s="88">
        <f t="shared" si="29"/>
        <v>62.125300688336303</v>
      </c>
      <c r="U795" s="88">
        <f t="shared" si="28"/>
        <v>76.751535221296379</v>
      </c>
    </row>
    <row r="796" spans="1:21" x14ac:dyDescent="0.35">
      <c r="A796" s="30"/>
      <c r="B796" s="4"/>
      <c r="C796" s="4"/>
      <c r="D796" s="8">
        <f>C798*EXP(10*$D$22)</f>
        <v>0.12403489429837945</v>
      </c>
      <c r="E796" s="9">
        <f>(D796+$B$4)*EXP(10*$E$22)</f>
        <v>0.1594226429643433</v>
      </c>
      <c r="F796" s="9">
        <f>(E797+$B$4)*EXP(10*$F$22)</f>
        <v>0.20163564650073054</v>
      </c>
      <c r="G796" s="9">
        <f>(F797+$B$4)*EXP(10*$G$22)</f>
        <v>0.25239516120408517</v>
      </c>
      <c r="H796" s="9">
        <f>(G797+$B$4)*EXP(10*$H$22)</f>
        <v>0.30368556561669352</v>
      </c>
      <c r="I796" s="8">
        <f>H797*EXP(10*I$22)</f>
        <v>0.37575077224365827</v>
      </c>
      <c r="J796" s="8">
        <f>I797*EXP(10*J$22)</f>
        <v>0.47273677892847993</v>
      </c>
      <c r="K796" s="8">
        <f>J797*EXP(10*K$22)</f>
        <v>0.58417832850777507</v>
      </c>
      <c r="L796" s="87"/>
      <c r="M796" s="87"/>
      <c r="N796" s="87"/>
      <c r="O796" s="88">
        <f>MIN($B$8,AVERAGE(P793:P794)/(1+E796+$D$8/10000))+$B$7</f>
        <v>57.375430880006547</v>
      </c>
      <c r="P796" s="88">
        <f>MIN($B$8,AVERAGE(Q793:Q794)/(1+F796+$D$8/10000))+$B$7</f>
        <v>51.728576806995861</v>
      </c>
      <c r="Q796" s="88">
        <f>MIN($B$8,AVERAGE(R793:R794)/(1+G796+$D$8/10000))+$B$7</f>
        <v>50.497137610340367</v>
      </c>
      <c r="R796" s="88">
        <f>MIN($B$8,AVERAGE(S793:S794)/(1+H545*+$D$8/10000))+$B$7</f>
        <v>58.341405791961805</v>
      </c>
      <c r="S796" s="88">
        <f>MIN($B$8,AVERAGE(T793:T794)/(1+I796+$D$8/10000))+$B$7</f>
        <v>55.025603099185112</v>
      </c>
      <c r="T796" s="88">
        <f>MIN($B$8,AVERAGE(U793:U794)/(1+J796+$D$8/10000))+$B$7</f>
        <v>62.357049752305088</v>
      </c>
      <c r="U796" s="88">
        <f t="shared" si="28"/>
        <v>76.87770002067829</v>
      </c>
    </row>
    <row r="797" spans="1:21" x14ac:dyDescent="0.35">
      <c r="A797" s="30"/>
      <c r="B797" s="4"/>
      <c r="C797" s="4"/>
      <c r="D797" s="9">
        <f>(C798+$B$4)*EXP(10*$D$22)</f>
        <v>0.12653953973076318</v>
      </c>
      <c r="E797" s="9">
        <f>(D797+$B$4)*EXP(10*$E$22)</f>
        <v>0.16259079093433226</v>
      </c>
      <c r="F797" s="9">
        <f>(E798+$B$4)*EXP(10*$F$22)</f>
        <v>0.19853643668589152</v>
      </c>
      <c r="G797" s="9">
        <f>(F798+$B$4)*EXP(10*$G$22)</f>
        <v>0.2493114087626839</v>
      </c>
      <c r="H797" s="9">
        <f>(G798+$B$4)*EXP(10*$H$22)</f>
        <v>0.30064377250604696</v>
      </c>
      <c r="I797" s="9">
        <f>(H798+$B$4)*EXP(10*$I$22)</f>
        <v>0.37522983848191227</v>
      </c>
      <c r="J797" s="9">
        <f>(I798+$B$4)*EXP(10*$J$22)</f>
        <v>0.47210730141242835</v>
      </c>
      <c r="K797" s="9">
        <f>(J798+$B$4)*EXP(10*$K$22)</f>
        <v>0.58353523683901842</v>
      </c>
      <c r="L797" s="81"/>
      <c r="M797" s="87"/>
      <c r="N797" s="88">
        <f>MIN($B$8,AVERAGE(O795:O796)/(1+D796+$D$8/10000))+$B$7</f>
        <v>64.519523405950693</v>
      </c>
      <c r="O797" s="88">
        <f t="shared" ref="O797:T797" si="30">MIN($B$8,AVERAGE(P795:P796)/(1+E797+$D$8/10000))+$B$7</f>
        <v>55.86370461724308</v>
      </c>
      <c r="P797" s="88">
        <f t="shared" si="30"/>
        <v>52.790281071893375</v>
      </c>
      <c r="Q797" s="88">
        <f t="shared" si="30"/>
        <v>54.446427259578009</v>
      </c>
      <c r="R797" s="88">
        <f t="shared" si="30"/>
        <v>51.970927739024901</v>
      </c>
      <c r="S797" s="88">
        <f t="shared" si="30"/>
        <v>55.096940705525689</v>
      </c>
      <c r="T797" s="88">
        <f t="shared" si="30"/>
        <v>62.415166207416732</v>
      </c>
      <c r="U797" s="88">
        <f t="shared" si="28"/>
        <v>76.910556771698992</v>
      </c>
    </row>
    <row r="798" spans="1:21" x14ac:dyDescent="0.35">
      <c r="A798" s="30"/>
      <c r="B798" s="4"/>
      <c r="C798" s="9">
        <f>(B799+$B$4)*EXP(10*$C$22)</f>
        <v>9.9043874789360969E-2</v>
      </c>
      <c r="D798" s="4"/>
      <c r="E798" s="8">
        <f>D797*EXP(10*$E$22)</f>
        <v>0.16006097339686648</v>
      </c>
      <c r="F798" s="8">
        <f>E798*EXP(10*$F$22)</f>
        <v>0.19608629174939651</v>
      </c>
      <c r="G798" s="8">
        <f>F798*EXP(10*$G$22)</f>
        <v>0.24679420874282493</v>
      </c>
      <c r="H798" s="8">
        <f>G798*EXP(10*$H$22)</f>
        <v>0.29822696566777512</v>
      </c>
      <c r="I798" s="8">
        <f>H798*EXP(10*I$22)</f>
        <v>0.37273019733444029</v>
      </c>
      <c r="J798" s="8">
        <f>I798*EXP(10*J$22)</f>
        <v>0.46958758293352987</v>
      </c>
      <c r="K798" s="8">
        <f>J798*EXP(10*K$22)</f>
        <v>0.58106046753653129</v>
      </c>
      <c r="L798" s="89"/>
      <c r="M798" s="88">
        <f t="shared" ref="M798:T798" si="31">MIN($B$8,AVERAGE(N797:N798)/(1+C798+$D$8/10000))+$B$7</f>
        <v>76.173926746903902</v>
      </c>
      <c r="N798" s="88">
        <f t="shared" si="31"/>
        <v>71.443722595928804</v>
      </c>
      <c r="O798" s="88">
        <f t="shared" si="31"/>
        <v>57.828876311617947</v>
      </c>
      <c r="P798" s="88">
        <f t="shared" si="31"/>
        <v>55.183013560247659</v>
      </c>
      <c r="Q798" s="88">
        <f t="shared" si="31"/>
        <v>51.907400678649942</v>
      </c>
      <c r="R798" s="88">
        <f t="shared" si="31"/>
        <v>52.435031967828237</v>
      </c>
      <c r="S798" s="88">
        <f t="shared" si="31"/>
        <v>55.4411953154953</v>
      </c>
      <c r="T798" s="88">
        <f t="shared" si="31"/>
        <v>62.648688145854429</v>
      </c>
      <c r="U798" s="88">
        <f t="shared" si="28"/>
        <v>77.037274200561953</v>
      </c>
    </row>
    <row r="799" spans="1:21" x14ac:dyDescent="0.35">
      <c r="A799" s="30"/>
      <c r="B799" s="8">
        <f>B541*EXP(10*B540)</f>
        <v>7.6348195059928153E-2</v>
      </c>
      <c r="C799" s="14"/>
      <c r="D799" s="4"/>
      <c r="E799" s="4"/>
      <c r="F799" s="4"/>
      <c r="G799" s="4"/>
      <c r="H799" s="15"/>
      <c r="L799" s="91">
        <f>AVERAGE(M798:M800)/(1+F799+$D$8/10000)</f>
        <v>97.299419945280306</v>
      </c>
      <c r="M799" s="87"/>
      <c r="N799" s="87"/>
      <c r="O799" s="87"/>
      <c r="P799" s="87"/>
      <c r="Q799" s="87"/>
      <c r="R799" s="87"/>
      <c r="S799" s="87"/>
      <c r="T799" s="87"/>
      <c r="U799" s="87"/>
    </row>
    <row r="800" spans="1:21" x14ac:dyDescent="0.35">
      <c r="A800" s="30"/>
      <c r="B800" s="4"/>
      <c r="C800" s="40">
        <f>(B799-$B$4)*EXP(10*$C$22)</f>
        <v>9.3987274584922162E-2</v>
      </c>
      <c r="D800" s="4"/>
      <c r="E800" s="8">
        <f>D801*EXP(10*$E$22)</f>
        <v>0.14571464862051928</v>
      </c>
      <c r="F800" s="8">
        <f>E800*EXP(10*$F$22)</f>
        <v>0.1785110042453566</v>
      </c>
      <c r="G800" s="8">
        <f>F800*EXP(10*$G$22)</f>
        <v>0.22467395171572688</v>
      </c>
      <c r="H800" s="8">
        <f>G800*EXP(10*H$22)</f>
        <v>0.27149677144406431</v>
      </c>
      <c r="I800" s="8">
        <f>H800*EXP(10*I$22)</f>
        <v>0.33932225065368776</v>
      </c>
      <c r="J800" s="8">
        <f>I800*EXP(10*J$22)</f>
        <v>0.42749827263675655</v>
      </c>
      <c r="K800" s="8">
        <f>J800*EXP(10*K$22)</f>
        <v>0.52897980099387476</v>
      </c>
      <c r="L800" s="89"/>
      <c r="M800" s="88">
        <f t="shared" ref="M800:T800" si="32">MIN($B$8,AVERAGE(N800:N801)/(1+C800+$D$8/10000))+$B$7</f>
        <v>87.847597431652929</v>
      </c>
      <c r="N800" s="88">
        <f t="shared" si="32"/>
        <v>84.360628127360258</v>
      </c>
      <c r="O800" s="88">
        <f t="shared" si="32"/>
        <v>66.890546545642337</v>
      </c>
      <c r="P800" s="88">
        <f t="shared" si="32"/>
        <v>61.594337501896867</v>
      </c>
      <c r="Q800" s="88">
        <f t="shared" si="32"/>
        <v>58.437174437883343</v>
      </c>
      <c r="R800" s="88">
        <f t="shared" si="32"/>
        <v>57.842038890707748</v>
      </c>
      <c r="S800" s="88">
        <f t="shared" si="32"/>
        <v>60.195102816145159</v>
      </c>
      <c r="T800" s="88">
        <f t="shared" si="32"/>
        <v>66.562876257572299</v>
      </c>
      <c r="U800" s="88">
        <f t="shared" ref="U800:U863" si="33">MIN($B$8,((100+$B$7)/(1+K800+$D$8/10000)))+$B$7</f>
        <v>79.810048537860553</v>
      </c>
    </row>
    <row r="801" spans="1:21" x14ac:dyDescent="0.35">
      <c r="A801" s="30"/>
      <c r="B801" s="4"/>
      <c r="C801" s="4"/>
      <c r="D801" s="40">
        <f>(C800-$B$4)*EXP(10*$D$22)</f>
        <v>0.11519775356327658</v>
      </c>
      <c r="E801" s="40">
        <f>(D801-$B$4)*EXP(10*$E$22)</f>
        <v>0.14318483108305347</v>
      </c>
      <c r="F801" s="40">
        <f>(E800-$B$4)*EXP(10*$F$22)</f>
        <v>0.17606085930886159</v>
      </c>
      <c r="G801" s="40">
        <f>(F800-$B$4)*EXP(10*$G$22)</f>
        <v>0.2221567516958679</v>
      </c>
      <c r="H801" s="40">
        <f>(G800-$B$4)*EXP(10*H$22)</f>
        <v>0.26907996460579248</v>
      </c>
      <c r="I801" s="40">
        <f>(H800+$B$4)*EXP(10*$I$22)</f>
        <v>0.34182189180115974</v>
      </c>
      <c r="J801" s="40">
        <f>(I800+$B$4)*EXP(10*$J$22)</f>
        <v>0.43001799111565497</v>
      </c>
      <c r="K801" s="40">
        <f>(J800+$B$4)*EXP(10*$J$22)</f>
        <v>0.54110736710890273</v>
      </c>
      <c r="L801" s="89"/>
      <c r="M801" s="87"/>
      <c r="N801" s="88">
        <f t="shared" ref="N801:T801" si="34">MIN($B$8,AVERAGE(O802:O803)/(1+D801+$D$8/10000))+$B$7</f>
        <v>72.745835093263921</v>
      </c>
      <c r="O801" s="88">
        <f t="shared" si="34"/>
        <v>68.576578713773955</v>
      </c>
      <c r="P801" s="88">
        <f t="shared" si="34"/>
        <v>62.750920214855611</v>
      </c>
      <c r="Q801" s="88">
        <f t="shared" si="34"/>
        <v>59.214350115183507</v>
      </c>
      <c r="R801" s="88">
        <f t="shared" si="34"/>
        <v>58.386113748604927</v>
      </c>
      <c r="S801" s="88">
        <f t="shared" si="34"/>
        <v>59.804455277062338</v>
      </c>
      <c r="T801" s="88">
        <f t="shared" si="34"/>
        <v>66.303953890295759</v>
      </c>
      <c r="U801" s="88">
        <f t="shared" si="33"/>
        <v>79.145737547177987</v>
      </c>
    </row>
    <row r="802" spans="1:21" x14ac:dyDescent="0.35">
      <c r="A802" s="30"/>
      <c r="B802" s="4"/>
      <c r="C802" s="4"/>
      <c r="D802" s="8">
        <f>C800*EXP(10*$D$22)</f>
        <v>0.1177023989956603</v>
      </c>
      <c r="E802" s="40">
        <f>(D802-$B$4)*EXP(10*$E$22)</f>
        <v>0.14635297905304243</v>
      </c>
      <c r="F802" s="40">
        <f>(E801-$B$4)*EXP(10*$F$22)</f>
        <v>0.17296164949402254</v>
      </c>
      <c r="G802" s="40">
        <f>(F801-$B$4)*EXP(10*$G$22)</f>
        <v>0.21907299925446663</v>
      </c>
      <c r="H802" s="40">
        <f>(G801-$B$4)*EXP(10*H$22)</f>
        <v>0.26603817149514586</v>
      </c>
      <c r="I802" s="8">
        <f>H801*EXP(10*I$22)</f>
        <v>0.33630167574446984</v>
      </c>
      <c r="J802" s="8">
        <f>I801*EXP(10*J$22)</f>
        <v>0.43064746863170655</v>
      </c>
      <c r="K802" s="8">
        <f>J801*EXP(10*K$22)</f>
        <v>0.53209766196511854</v>
      </c>
      <c r="L802" s="89"/>
      <c r="M802" s="87"/>
      <c r="N802" s="87"/>
      <c r="O802" s="88">
        <f t="shared" ref="O802:T802" si="35">MIN($B$8,AVERAGE(P804:P805)/(1+E802+$D$8/10000))+$B$7</f>
        <v>66.618295663216742</v>
      </c>
      <c r="P802" s="88">
        <f t="shared" si="35"/>
        <v>64.22012411903512</v>
      </c>
      <c r="Q802" s="88">
        <f t="shared" si="35"/>
        <v>60.157273615369661</v>
      </c>
      <c r="R802" s="88">
        <f t="shared" si="35"/>
        <v>59.08149995642772</v>
      </c>
      <c r="S802" s="88">
        <f t="shared" si="35"/>
        <v>60.672278622064027</v>
      </c>
      <c r="T802" s="88">
        <f t="shared" si="35"/>
        <v>66.239525684135927</v>
      </c>
      <c r="U802" s="88">
        <f t="shared" si="33"/>
        <v>79.638142537375813</v>
      </c>
    </row>
    <row r="803" spans="1:21" x14ac:dyDescent="0.35">
      <c r="A803" s="30"/>
      <c r="B803" s="4"/>
      <c r="C803" s="4"/>
      <c r="D803" s="4"/>
      <c r="E803" s="8">
        <f>D802*EXP(10*$E$22)</f>
        <v>0.14888279659050824</v>
      </c>
      <c r="F803" s="8">
        <f>E801*EXP(10*$F$22)</f>
        <v>0.17541179443051755</v>
      </c>
      <c r="G803" s="8">
        <f>F801*EXP(10*$G$22)</f>
        <v>0.22159019927432561</v>
      </c>
      <c r="H803" s="8">
        <f>G801*EXP(10*H$22)</f>
        <v>0.26845497833341775</v>
      </c>
      <c r="I803" s="40">
        <f>(H801+$B$4)*EXP(10*$I$22)</f>
        <v>0.33880131689194176</v>
      </c>
      <c r="J803" s="40">
        <f>(I801+$B$4)*EXP(10*$J$22)</f>
        <v>0.43316718711060503</v>
      </c>
      <c r="K803" s="40">
        <f>(J801+$B$4)*EXP(10*$J$22)</f>
        <v>0.54428185771535387</v>
      </c>
      <c r="L803" s="89"/>
      <c r="M803" s="87"/>
      <c r="N803" s="87"/>
      <c r="O803" s="88">
        <f t="shared" ref="O803:T803" si="36">MIN($B$8,AVERAGE(P806:P807)/(1+E803+$D$8/10000))+$B$7</f>
        <v>65.108039926052925</v>
      </c>
      <c r="P803" s="88">
        <f t="shared" si="36"/>
        <v>63.13197071202864</v>
      </c>
      <c r="Q803" s="88">
        <f t="shared" si="36"/>
        <v>59.568977624048728</v>
      </c>
      <c r="R803" s="88">
        <f t="shared" si="36"/>
        <v>58.528019943916782</v>
      </c>
      <c r="S803" s="88">
        <f t="shared" si="36"/>
        <v>60.276995893551671</v>
      </c>
      <c r="T803" s="88">
        <f t="shared" si="36"/>
        <v>65.982645702096448</v>
      </c>
      <c r="U803" s="88">
        <f t="shared" si="33"/>
        <v>78.973766874586119</v>
      </c>
    </row>
    <row r="804" spans="1:21" x14ac:dyDescent="0.35">
      <c r="A804" s="30"/>
      <c r="B804" s="4"/>
      <c r="C804" s="4"/>
      <c r="D804" s="4"/>
      <c r="E804" s="4"/>
      <c r="F804" s="40">
        <f>(E802-$B$4)*EXP(10*$F$22)</f>
        <v>0.17684286034739022</v>
      </c>
      <c r="G804" s="40">
        <f>(F802-$B$4)*EXP(10*$G$22)</f>
        <v>0.21517233375073669</v>
      </c>
      <c r="H804" s="40">
        <f>(G802-$B$4)*EXP(10*H$22)</f>
        <v>0.26231175450118782</v>
      </c>
      <c r="I804" s="8">
        <f>H802*EXP(10*I$22)</f>
        <v>0.33249998013373527</v>
      </c>
      <c r="J804" s="8">
        <f>I802*EXP(10*J$22)</f>
        <v>0.4236927734289298</v>
      </c>
      <c r="K804" s="8">
        <f>J802*EXP(10*K$22)</f>
        <v>0.53287656778178372</v>
      </c>
      <c r="L804" s="90"/>
      <c r="M804" s="87"/>
      <c r="N804" s="87"/>
      <c r="O804" s="87"/>
      <c r="P804" s="88">
        <f>MIN($B$8,AVERAGE(Q808:Q809)/(1+F804+$D$8/10000))+$B$7</f>
        <v>62.474726349721067</v>
      </c>
      <c r="Q804" s="88">
        <f>MIN($B$8,AVERAGE(R808:R809)/(1+G804+$D$8/10000))+$B$7</f>
        <v>61.540712821913026</v>
      </c>
      <c r="R804" s="88">
        <f>MIN($B$8,AVERAGE(S808:S809)/(1+H804+$D$8/10000))+$B$7</f>
        <v>59.847083065530327</v>
      </c>
      <c r="S804" s="88">
        <f>MIN($B$8,AVERAGE(T808:T809)/(1+I804+$D$8/10000))+$B$7</f>
        <v>61.280933478511329</v>
      </c>
      <c r="T804" s="88">
        <f>MIN($B$8,AVERAGE(U808:U809)/(1+J804+$D$8/10000))+$B$7</f>
        <v>66.95705553613567</v>
      </c>
      <c r="U804" s="88">
        <f t="shared" si="33"/>
        <v>79.595318524171759</v>
      </c>
    </row>
    <row r="805" spans="1:21" x14ac:dyDescent="0.35">
      <c r="A805" s="30"/>
      <c r="B805" s="4"/>
      <c r="C805" s="4"/>
      <c r="D805" s="4"/>
      <c r="E805" s="4"/>
      <c r="F805" s="8">
        <f>E802*EXP(10*$F$22)</f>
        <v>0.17929300528388523</v>
      </c>
      <c r="G805" s="8">
        <f>F802*EXP(10*$G$22)</f>
        <v>0.21768953377059563</v>
      </c>
      <c r="H805" s="8">
        <f>G802*EXP(10*H$22)</f>
        <v>0.26472856133945966</v>
      </c>
      <c r="I805" s="40">
        <f>(H802+$B$4)*EXP(10*$I$22)</f>
        <v>0.33499962128120725</v>
      </c>
      <c r="J805" s="40">
        <f>(I802+$B$4)*EXP(10*$J$22)</f>
        <v>0.42621249190782828</v>
      </c>
      <c r="K805" s="40">
        <f>(J802+$B$4)*EXP(10*$J$22)</f>
        <v>0.54507491077997705</v>
      </c>
      <c r="L805" s="87"/>
      <c r="M805" s="87"/>
      <c r="N805" s="87"/>
      <c r="O805" s="87"/>
      <c r="P805" s="88">
        <f>MIN($B$8,AVERAGE(Q810:Q811)/(1+F805+$D$8/10000))+$B$7</f>
        <v>61.412187608661888</v>
      </c>
      <c r="Q805" s="88">
        <f>MIN($B$8,AVERAGE(R810:R811)/(1+G805+$D$8/10000))+$B$7</f>
        <v>60.806303211235395</v>
      </c>
      <c r="R805" s="88">
        <f>MIN($B$8,AVERAGE(S810:S811)/(1+H805+$D$8/10000))+$B$7</f>
        <v>59.424564080588439</v>
      </c>
      <c r="S805" s="88">
        <f>MIN($B$8,AVERAGE(T810:T811)/(1+I805+$D$8/10000))+$B$7</f>
        <v>60.879717321273105</v>
      </c>
      <c r="T805" s="88">
        <f>MIN($B$8,AVERAGE(U810:U811)/(1+J805+$D$8/10000))+$B$7</f>
        <v>66.695635965937797</v>
      </c>
      <c r="U805" s="88">
        <f t="shared" si="33"/>
        <v>78.93092787202599</v>
      </c>
    </row>
    <row r="806" spans="1:21" x14ac:dyDescent="0.35">
      <c r="A806" s="30"/>
      <c r="B806" s="4"/>
      <c r="C806" s="4"/>
      <c r="D806" s="4"/>
      <c r="E806" s="4"/>
      <c r="F806" s="40">
        <f>(E803-$B$4)*EXP(10*$F$22)</f>
        <v>0.17994207016222927</v>
      </c>
      <c r="G806" s="40">
        <f>(F803-$B$4)*EXP(10*$G$22)</f>
        <v>0.21825608619213796</v>
      </c>
      <c r="H806" s="40">
        <f>(G803-$B$4)*EXP(10*H$22)</f>
        <v>0.26535354761183444</v>
      </c>
      <c r="I806" s="8">
        <f>H803*EXP(10*I$22)</f>
        <v>0.33552055504295331</v>
      </c>
      <c r="J806" s="8">
        <f>I803*EXP(10*J$22)</f>
        <v>0.42684196942387981</v>
      </c>
      <c r="K806" s="8">
        <f>J803*EXP(10*K$22)</f>
        <v>0.5359944287530275</v>
      </c>
      <c r="L806" s="87"/>
      <c r="M806" s="87"/>
      <c r="N806" s="87"/>
      <c r="O806" s="87"/>
      <c r="P806" s="88">
        <f>MIN($B$8,AVERAGE(Q812:Q813)/(1+F806+$D$8/10000))+$B$7</f>
        <v>61.121104905794645</v>
      </c>
      <c r="Q806" s="88">
        <f>MIN($B$8,AVERAGE(R812:R813)/(1+G806+$D$8/10000))+$B$7</f>
        <v>60.60483765073127</v>
      </c>
      <c r="R806" s="88">
        <f>MIN($B$8,AVERAGE(S812:S813)/(1+H806+$D$8/10000))+$B$7</f>
        <v>59.419926371129073</v>
      </c>
      <c r="S806" s="88">
        <f>MIN($B$8,AVERAGE(T812:T813)/(1+I806+$D$8/10000))+$B$7</f>
        <v>60.796596943250137</v>
      </c>
      <c r="T806" s="88">
        <f>MIN($B$8,AVERAGE(U812:U813)/(1+J806+$D$8/10000))+$B$7</f>
        <v>66.630587222519921</v>
      </c>
      <c r="U806" s="88">
        <f t="shared" si="33"/>
        <v>79.424383885261392</v>
      </c>
    </row>
    <row r="807" spans="1:21" x14ac:dyDescent="0.35">
      <c r="A807" s="30"/>
      <c r="B807" s="4"/>
      <c r="C807" s="4"/>
      <c r="D807" s="4"/>
      <c r="E807" s="4"/>
      <c r="F807" s="8">
        <f>E803*EXP(10*$F$22)</f>
        <v>0.18239221509872428</v>
      </c>
      <c r="G807" s="8">
        <f>F803*EXP(10*$G$22)</f>
        <v>0.22077328621199691</v>
      </c>
      <c r="H807" s="8">
        <f>G803*EXP(10*H540)</f>
        <v>0.26777035445010627</v>
      </c>
      <c r="I807" s="40">
        <f>(H803+$B$4)*EXP(10*$I$22)</f>
        <v>0.33802019619042528</v>
      </c>
      <c r="J807" s="40">
        <f>(I803+$B$4)*EXP(10*$J$22)</f>
        <v>0.42936168790277823</v>
      </c>
      <c r="K807" s="40">
        <f>(J803+$B$4)*EXP(10*$J$22)</f>
        <v>0.54824940138642819</v>
      </c>
      <c r="L807" s="87"/>
      <c r="M807" s="87"/>
      <c r="N807" s="87"/>
      <c r="O807" s="87"/>
      <c r="P807" s="88">
        <f>MIN($B$8,AVERAGE(Q814:Q815)/(1+F807+$D$8/10000))+$B$7</f>
        <v>60.087034075860203</v>
      </c>
      <c r="Q807" s="88">
        <f>MIN($B$8,AVERAGE(R814:R815)/(1+G807+$D$8/10000))+$B$7</f>
        <v>59.821180838983388</v>
      </c>
      <c r="R807" s="88">
        <f>MIN($B$8,AVERAGE(S814:S815)/(1+H807+$D$8/10000))+$B$7</f>
        <v>58.882003619201825</v>
      </c>
      <c r="S807" s="88">
        <f>MIN($B$8,AVERAGE(T814:T815)/(1+I807+$D$8/10000))+$B$7</f>
        <v>60.400104222224854</v>
      </c>
      <c r="T807" s="88">
        <f>MIN($B$8,AVERAGE(U814:U815)/(1+J807+$D$8/10000))+$B$7</f>
        <v>66.371236473991274</v>
      </c>
      <c r="U807" s="88">
        <f t="shared" si="33"/>
        <v>78.759937857491394</v>
      </c>
    </row>
    <row r="808" spans="1:21" x14ac:dyDescent="0.35">
      <c r="A808" s="30"/>
      <c r="B808" s="4"/>
      <c r="C808" s="4"/>
      <c r="D808" s="4"/>
      <c r="E808" s="4"/>
      <c r="F808" s="4"/>
      <c r="G808" s="40">
        <f>(F804-$B$4)*EXP(10*$G$22)</f>
        <v>0.22005722576932363</v>
      </c>
      <c r="H808" s="40">
        <f>(G804-$B$4)*EXP(10*H$22)</f>
        <v>0.25759817696957499</v>
      </c>
      <c r="I808" s="8">
        <f>H804*EXP(10*I$22)</f>
        <v>0.32784262750836712</v>
      </c>
      <c r="J808" s="8">
        <f>I804*EXP(10*J$22)</f>
        <v>0.41890317208817229</v>
      </c>
      <c r="K808" s="8">
        <f>J804*EXP(10*K$22)</f>
        <v>0.52427093468379016</v>
      </c>
      <c r="L808" s="87"/>
      <c r="M808" s="87"/>
      <c r="N808" s="87"/>
      <c r="O808" s="87"/>
      <c r="P808" s="87"/>
      <c r="Q808" s="88">
        <f>MIN($B$8,AVERAGE(R816:R817)/(1+G808+$D$8/10000))+$B$7</f>
        <v>59.998505473678762</v>
      </c>
      <c r="R808" s="88">
        <f>MIN($B$8,AVERAGE(S816:S817)/(1+H808+$D$8/10000))+$B$7</f>
        <v>61.063948096586095</v>
      </c>
      <c r="S808" s="88">
        <f>MIN($B$8,AVERAGE(T816:T817)/(1+I808+$D$8/10000))+$B$7</f>
        <v>61.737726427456437</v>
      </c>
      <c r="T808" s="88">
        <f>MIN($B$8,AVERAGE(U816:U817)/(1+J808+$D$8/10000))+$B$7</f>
        <v>67.458593992605472</v>
      </c>
      <c r="U808" s="88">
        <f t="shared" si="33"/>
        <v>80.071162351710612</v>
      </c>
    </row>
    <row r="809" spans="1:21" x14ac:dyDescent="0.35">
      <c r="A809" s="30"/>
      <c r="B809" s="4"/>
      <c r="C809" s="4"/>
      <c r="D809" s="4"/>
      <c r="E809" s="4"/>
      <c r="F809" s="4"/>
      <c r="G809" s="8">
        <f>F804*EXP(10*$G$22)</f>
        <v>0.2225744257891826</v>
      </c>
      <c r="H809" s="8">
        <f>G804*EXP(10*H$22)</f>
        <v>0.26001498380784682</v>
      </c>
      <c r="I809" s="40">
        <f>(H804+$B$4)*EXP(10*$I$22)</f>
        <v>0.3303422686558391</v>
      </c>
      <c r="J809" s="40">
        <f>(I804+$B$4)*EXP(10*$J$22)</f>
        <v>0.42142289056707072</v>
      </c>
      <c r="K809" s="40">
        <f>(J804+$B$4)*EXP(10*$J$22)</f>
        <v>0.53631297377120546</v>
      </c>
      <c r="L809" s="87"/>
      <c r="M809" s="87"/>
      <c r="N809" s="87"/>
      <c r="O809" s="87"/>
      <c r="P809" s="87"/>
      <c r="Q809" s="88">
        <f>MIN($B$8,AVERAGE(R818:R819)/(1+G809+$D$8/10000))+$B$7</f>
        <v>59.256355454531196</v>
      </c>
      <c r="R809" s="88">
        <f>MIN($B$8,AVERAGE(S818:S819)/(1+H809+$D$8/10000))+$B$7</f>
        <v>60.697072062969504</v>
      </c>
      <c r="S809" s="88">
        <f>MIN($B$8,AVERAGE(T818:T819)/(1+I809+$D$8/10000))+$B$7</f>
        <v>61.704628064816312</v>
      </c>
      <c r="T809" s="88">
        <f>MIN($B$8,AVERAGE(U818:U819)/(1+J809+$D$8/10000))+$B$7</f>
        <v>67.19398529675388</v>
      </c>
      <c r="U809" s="88">
        <f t="shared" si="33"/>
        <v>79.406963381823687</v>
      </c>
    </row>
    <row r="810" spans="1:21" x14ac:dyDescent="0.35">
      <c r="A810" s="30"/>
      <c r="B810" s="4"/>
      <c r="C810" s="4"/>
      <c r="D810" s="4"/>
      <c r="E810" s="4"/>
      <c r="F810" s="4"/>
      <c r="G810" s="40">
        <f>(F805-$B$4)*EXP(10*G$22)</f>
        <v>0.2231409782107249</v>
      </c>
      <c r="H810" s="40">
        <f>(G805-$B$4)*EXP(10*H$22)</f>
        <v>0.26063997008022155</v>
      </c>
      <c r="I810" s="8">
        <f>H805*EXP(10*I$22)</f>
        <v>0.3308632024175851</v>
      </c>
      <c r="J810" s="8">
        <f>I805*EXP(10*J$22)</f>
        <v>0.4220523680831223</v>
      </c>
      <c r="K810" s="8">
        <f>J805*EXP(10*K$22)</f>
        <v>0.52738879565503405</v>
      </c>
      <c r="L810" s="87"/>
      <c r="M810" s="87"/>
      <c r="N810" s="87"/>
      <c r="O810" s="87"/>
      <c r="P810" s="87"/>
      <c r="Q810" s="88">
        <f>MIN($B$8,AVERAGE(R820:R821)/(1+G810+$D$8/10000))+$B$7</f>
        <v>59.062271208892476</v>
      </c>
      <c r="R810" s="88">
        <f>MIN($B$8,AVERAGE(S820:S821)/(1+H810+$D$8/10000))+$B$7</f>
        <v>60.517280403132638</v>
      </c>
      <c r="S810" s="88">
        <f>MIN($B$8,AVERAGE(T820:T821)/(1+I810+$D$8/10000))+$B$7</f>
        <v>61.561092137530522</v>
      </c>
      <c r="T810" s="88">
        <f>MIN($B$8,AVERAGE(U820:U821)/(1+J810+$D$8/10000))+$B$7</f>
        <v>67.128144093865586</v>
      </c>
      <c r="U810" s="88">
        <f t="shared" si="33"/>
        <v>79.898071466335068</v>
      </c>
    </row>
    <row r="811" spans="1:21" x14ac:dyDescent="0.35">
      <c r="A811" s="30"/>
      <c r="B811" s="4"/>
      <c r="C811" s="4"/>
      <c r="D811" s="4"/>
      <c r="E811" s="4"/>
      <c r="F811" s="4"/>
      <c r="G811" s="8">
        <f>F805*EXP(10*$G$22)</f>
        <v>0.22565817823058387</v>
      </c>
      <c r="H811" s="8">
        <f>G805*EXP(10*H$22)</f>
        <v>0.26305677691849338</v>
      </c>
      <c r="I811" s="40">
        <f>(H805+$B$4)*EXP(10*$I$22)</f>
        <v>0.33336284356505708</v>
      </c>
      <c r="J811" s="40">
        <f>(I805+$B$4)*EXP(10*$J$22)</f>
        <v>0.42457208656202078</v>
      </c>
      <c r="K811" s="40">
        <f>(J805+$B$4)*EXP(10*$J$22)</f>
        <v>0.53948746437765671</v>
      </c>
      <c r="L811" s="89"/>
      <c r="M811" s="87"/>
      <c r="N811" s="87"/>
      <c r="O811" s="87"/>
      <c r="P811" s="87"/>
      <c r="Q811" s="88">
        <f>MIN($B$8,AVERAGE(R822:R823)/(1+G811+$D$8/10000))+$B$7</f>
        <v>58.306957243091666</v>
      </c>
      <c r="R811" s="88">
        <f>MIN($B$8,AVERAGE(S822:S823)/(1+H811+$D$8/10000))+$B$7</f>
        <v>59.975652494745177</v>
      </c>
      <c r="S811" s="88">
        <f>MIN($B$8,AVERAGE(T822:T823)/(1+I811+$D$8/10000))+$B$7</f>
        <v>61.215242739522367</v>
      </c>
      <c r="T811" s="88">
        <f>MIN($B$8,AVERAGE(U822:U823)/(1+J811+$D$8/10000))+$B$7</f>
        <v>66.865638105714567</v>
      </c>
      <c r="U811" s="88">
        <f t="shared" si="33"/>
        <v>79.233796380461726</v>
      </c>
    </row>
    <row r="812" spans="1:21" x14ac:dyDescent="0.35">
      <c r="A812" s="30"/>
      <c r="B812" s="4"/>
      <c r="C812" s="4"/>
      <c r="D812" s="4"/>
      <c r="E812" s="4"/>
      <c r="F812" s="4"/>
      <c r="G812" s="40">
        <f>(F806-$B$4)*EXP(10*G$22)</f>
        <v>0.2239578912730536</v>
      </c>
      <c r="H812" s="40">
        <f>(G806-$B$4)*EXP(10*H$22)</f>
        <v>0.26132459396353303</v>
      </c>
      <c r="I812" s="8">
        <f>H806*EXP(10*I$22)</f>
        <v>0.33164432311910164</v>
      </c>
      <c r="J812" s="8">
        <f>I806*EXP(10*J$22)</f>
        <v>0.42270867129599915</v>
      </c>
      <c r="K812" s="8">
        <f>J806*EXP(10*K$22)</f>
        <v>0.52816770147169911</v>
      </c>
      <c r="L812" s="89"/>
      <c r="M812" s="87"/>
      <c r="N812" s="87"/>
      <c r="O812" s="87"/>
      <c r="P812" s="87"/>
      <c r="Q812" s="88">
        <f>MIN($B$8,AVERAGE(R824:R825)/(1+G812+$D$8/10000))+$B$7</f>
        <v>58.789188950123481</v>
      </c>
      <c r="R812" s="88">
        <f>MIN($B$8,AVERAGE(S824:S825)/(1+H812+$D$8/10000))+$B$7</f>
        <v>60.314749508322848</v>
      </c>
      <c r="S812" s="88">
        <f>MIN($B$8,AVERAGE(T824:T825)/(1+I812+$D$8/10000))+$B$7</f>
        <v>61.56911841006977</v>
      </c>
      <c r="T812" s="88">
        <f>MIN($B$8,AVERAGE(U824:U825)/(1+J812+$D$8/10000))+$B$7</f>
        <v>67.05960869745337</v>
      </c>
      <c r="U812" s="88">
        <f t="shared" si="33"/>
        <v>79.854952703608603</v>
      </c>
    </row>
    <row r="813" spans="1:21" x14ac:dyDescent="0.35">
      <c r="A813" s="30"/>
      <c r="B813" s="4"/>
      <c r="C813" s="4"/>
      <c r="D813" s="4"/>
      <c r="E813" s="4"/>
      <c r="F813" s="4"/>
      <c r="G813" s="8">
        <f>F806*EXP(10*$G$22)</f>
        <v>0.22647509129291254</v>
      </c>
      <c r="H813" s="8">
        <f>G806*EXP(10*H$22)</f>
        <v>0.26374140080180491</v>
      </c>
      <c r="I813" s="40">
        <f>(H806+$B$4)*EXP(10*$I$22)</f>
        <v>0.33414396426657361</v>
      </c>
      <c r="J813" s="40">
        <f>(I806+$B$4)*EXP(10*$J$22)</f>
        <v>0.42522838977489757</v>
      </c>
      <c r="K813" s="40">
        <f>(J806+$B$4)*EXP(10*$J$22)</f>
        <v>0.54028051744227978</v>
      </c>
      <c r="L813" s="89"/>
      <c r="M813" s="87"/>
      <c r="N813" s="87"/>
      <c r="O813" s="87"/>
      <c r="P813" s="87"/>
      <c r="Q813" s="88">
        <f>MIN($B$8,AVERAGE(R826:R827)/(1+G813+$D$8/10000))+$B$7</f>
        <v>58.059122167175886</v>
      </c>
      <c r="R813" s="88">
        <f>MIN($B$8,AVERAGE(S826:S827)/(1+H813+$D$8/10000))+$B$7</f>
        <v>59.814990163400836</v>
      </c>
      <c r="S813" s="88">
        <f>MIN($B$8,AVERAGE(T826:T827)/(1+I813+$D$8/10000))+$B$7</f>
        <v>61.266216412728873</v>
      </c>
      <c r="T813" s="88">
        <f>MIN($B$8,AVERAGE(U826:U827)/(1+J813+$D$8/10000))+$B$7</f>
        <v>66.797538095561492</v>
      </c>
      <c r="U813" s="88">
        <f t="shared" si="33"/>
        <v>79.190659793351102</v>
      </c>
    </row>
    <row r="814" spans="1:21" x14ac:dyDescent="0.35">
      <c r="A814" s="30"/>
      <c r="B814" s="4"/>
      <c r="C814" s="4"/>
      <c r="D814" s="4"/>
      <c r="E814" s="4"/>
      <c r="F814" s="4"/>
      <c r="G814" s="40">
        <f>(F807-$B$4)*EXP(10*G$22)</f>
        <v>0.22704164371445487</v>
      </c>
      <c r="H814" s="40">
        <f>(G807-$B$4)*EXP(10*H$22)</f>
        <v>0.26436638707417959</v>
      </c>
      <c r="I814" s="8">
        <f>H807*EXP(10*I$22)</f>
        <v>0.33466489802831961</v>
      </c>
      <c r="J814" s="8">
        <f>I807*EXP(10*J$22)</f>
        <v>0.42585786729094915</v>
      </c>
      <c r="K814" s="8">
        <f>J807*EXP(10*K$22)</f>
        <v>0.53128556244294289</v>
      </c>
      <c r="L814" s="89"/>
      <c r="M814" s="87"/>
      <c r="N814" s="87"/>
      <c r="O814" s="87"/>
      <c r="P814" s="87"/>
      <c r="Q814" s="88">
        <f>MIN($B$8,AVERAGE(R828:R829)/(1+G814+$D$8/10000))+$B$7</f>
        <v>57.870699495328545</v>
      </c>
      <c r="R814" s="88">
        <f>MIN($B$8,AVERAGE(S828:S829)/(1+H814+$D$8/10000))+$B$7</f>
        <v>59.639006748780346</v>
      </c>
      <c r="S814" s="88">
        <f>MIN($B$8,AVERAGE(T828:T829)/(1+I814+$D$8/10000))+$B$7</f>
        <v>61.12487008095799</v>
      </c>
      <c r="T814" s="88">
        <f>MIN($B$8,AVERAGE(U828:U829)/(1+J814+$D$8/10000))+$B$7</f>
        <v>66.732327577150983</v>
      </c>
      <c r="U814" s="88">
        <f t="shared" si="33"/>
        <v>79.682843225632425</v>
      </c>
    </row>
    <row r="815" spans="1:21" x14ac:dyDescent="0.35">
      <c r="A815" s="30"/>
      <c r="B815" s="4"/>
      <c r="C815" s="4"/>
      <c r="D815" s="4"/>
      <c r="E815" s="4"/>
      <c r="F815" s="4"/>
      <c r="G815" s="8">
        <f>F807*EXP(10*$G$22)</f>
        <v>0.22955884373431384</v>
      </c>
      <c r="H815" s="8">
        <f>G807*EXP(10*H$22)</f>
        <v>0.26678319391245148</v>
      </c>
      <c r="I815" s="40">
        <f>(H807+$B$4)*EXP(10*$I$22)</f>
        <v>0.33716453917579159</v>
      </c>
      <c r="J815" s="40">
        <f>(I807+$B$4)*EXP(10*$J$22)</f>
        <v>0.42837758576984764</v>
      </c>
      <c r="K815" s="40">
        <f>(J807+$B$4)*EXP(10*$J$22)</f>
        <v>0.54345500804873093</v>
      </c>
      <c r="L815" s="89"/>
      <c r="M815" s="87"/>
      <c r="N815" s="87"/>
      <c r="O815" s="87"/>
      <c r="P815" s="87"/>
      <c r="Q815" s="88">
        <f>MIN($B$8,AVERAGE(R830:R831)/(1+G815+$D$8/10000))+$B$7</f>
        <v>57.137134094539583</v>
      </c>
      <c r="R815" s="88">
        <f>MIN($B$8,AVERAGE(S830:S831)/(1+H815+$D$8/10000))+$B$7</f>
        <v>59.108641706840551</v>
      </c>
      <c r="S815" s="88">
        <f>MIN($B$8,AVERAGE(T830:T831)/(1+I815+$D$8/10000))+$B$7</f>
        <v>60.783465824166676</v>
      </c>
      <c r="T815" s="88">
        <f>MIN($B$8,AVERAGE(U830:U831)/(1+J815+$D$8/10000))+$B$7</f>
        <v>66.47233270313609</v>
      </c>
      <c r="U815" s="88">
        <f t="shared" si="33"/>
        <v>79.018483686146041</v>
      </c>
    </row>
    <row r="816" spans="1:21" x14ac:dyDescent="0.35">
      <c r="A816" s="30"/>
      <c r="B816" s="4"/>
      <c r="C816" s="4"/>
      <c r="D816" s="4"/>
      <c r="E816" s="4"/>
      <c r="F816" s="4"/>
      <c r="G816" s="4"/>
      <c r="H816" s="40">
        <f>(G808-$B$4)*EXP(10*H$22)</f>
        <v>0.26350109718694525</v>
      </c>
      <c r="I816" s="8">
        <f>H808*EXP(10*I$22)</f>
        <v>0.32195150133345773</v>
      </c>
      <c r="J816" s="8">
        <f>I808*EXP(10*J$22)</f>
        <v>0.41303556335172908</v>
      </c>
      <c r="K816" s="8">
        <f>J808*EXP(10*K$22)</f>
        <v>0.51834435549916114</v>
      </c>
      <c r="L816" s="87"/>
      <c r="M816" s="87"/>
      <c r="N816" s="87"/>
      <c r="O816" s="87"/>
      <c r="P816" s="87"/>
      <c r="Q816" s="87"/>
      <c r="R816" s="88">
        <f>MIN($B$8,AVERAGE(S832:S833)/(1+H816+$D$8/10000))+$B$7</f>
        <v>59.736331583085452</v>
      </c>
      <c r="S816" s="88">
        <f>MIN($B$8,AVERAGE(T832:T833)/(1+I816+$D$8/10000))+$B$7</f>
        <v>62.739529984697938</v>
      </c>
      <c r="T816" s="88">
        <f>MIN($B$8,AVERAGE(U830:U831)/(1+J816+$D$8/10000))+$B$7</f>
        <v>67.235488753090806</v>
      </c>
      <c r="U816" s="88">
        <f t="shared" si="33"/>
        <v>80.402367914980516</v>
      </c>
    </row>
    <row r="817" spans="1:21" x14ac:dyDescent="0.35">
      <c r="A817" s="30"/>
      <c r="B817" s="4"/>
      <c r="C817" s="4"/>
      <c r="D817" s="4"/>
      <c r="E817" s="4"/>
      <c r="F817" s="4"/>
      <c r="G817" s="4"/>
      <c r="H817" s="8">
        <f>G808*EXP(10*H$22)</f>
        <v>0.26591790402521709</v>
      </c>
      <c r="I817" s="40">
        <f>(H808+$B$4)*EXP(10*$I$22)</f>
        <v>0.32445114248092971</v>
      </c>
      <c r="J817" s="40">
        <f>(I808+$B$4)*EXP(10*$J$22)</f>
        <v>0.41555528183062751</v>
      </c>
      <c r="K817" s="40">
        <f>(J808+$B$4)*EXP(10*$J$22)</f>
        <v>0.53027875026877369</v>
      </c>
      <c r="L817" s="87"/>
      <c r="M817" s="87"/>
      <c r="N817" s="87"/>
      <c r="O817" s="87"/>
      <c r="P817" s="87"/>
      <c r="Q817" s="87"/>
      <c r="R817" s="88">
        <f>MIN($B$8,AVERAGE(S834:S835)/(1+H817+$D$8/10000))+$B$7</f>
        <v>59.308340557645856</v>
      </c>
      <c r="S817" s="88">
        <f>MIN($B$8,AVERAGE(T834:T835)/(1+I817+$D$8/10000))+$B$7</f>
        <v>62.854587880375163</v>
      </c>
      <c r="T817" s="88">
        <f>MIN($B$8,AVERAGE(U832:U833)/(1+J817+$D$8/10000))+$B$7</f>
        <v>67.953082071402804</v>
      </c>
      <c r="U817" s="88">
        <f t="shared" si="33"/>
        <v>79.738334961629988</v>
      </c>
    </row>
    <row r="818" spans="1:21" x14ac:dyDescent="0.35">
      <c r="A818" s="30"/>
      <c r="B818" s="4"/>
      <c r="C818" s="4"/>
      <c r="D818" s="4"/>
      <c r="E818" s="4"/>
      <c r="F818" s="4"/>
      <c r="G818" s="4"/>
      <c r="H818" s="40">
        <f>(G809-$B$4)*EXP(10*H$22)</f>
        <v>0.26654289029759182</v>
      </c>
      <c r="I818" s="8">
        <f>H809*EXP(10*I$22)</f>
        <v>0.32497207624267571</v>
      </c>
      <c r="J818" s="8">
        <f>I809*EXP(10*J$22)</f>
        <v>0.41618475934667915</v>
      </c>
      <c r="K818" s="8">
        <f>J809*EXP(10*K$22)</f>
        <v>0.52146221647040492</v>
      </c>
      <c r="L818" s="87"/>
      <c r="M818" s="87"/>
      <c r="N818" s="87"/>
      <c r="O818" s="87"/>
      <c r="P818" s="87"/>
      <c r="Q818" s="87"/>
      <c r="R818" s="88">
        <f>MIN($B$8,AVERAGE(S836:S837)/(1+H818+$D$8/10000))+$B$7</f>
        <v>59.134535776597296</v>
      </c>
      <c r="S818" s="88">
        <f>MIN($B$8,AVERAGE(T836:T837)/(1+I818+$D$8/10000))+$B$7</f>
        <v>62.707619773046915</v>
      </c>
      <c r="T818" s="88">
        <f>MIN($B$8,AVERAGE(U834:U835)/(1+J818+$D$8/10000))+$B$7</f>
        <v>67.780899860613999</v>
      </c>
      <c r="U818" s="88">
        <f t="shared" si="33"/>
        <v>80.227768240387348</v>
      </c>
    </row>
    <row r="819" spans="1:21" x14ac:dyDescent="0.35">
      <c r="A819" s="30"/>
      <c r="B819" s="4"/>
      <c r="C819" s="4"/>
      <c r="D819" s="4"/>
      <c r="E819" s="4"/>
      <c r="F819" s="4"/>
      <c r="G819" s="4"/>
      <c r="H819" s="8">
        <f>G809*EXP(10*H$22)</f>
        <v>0.26895969713586371</v>
      </c>
      <c r="I819" s="40">
        <f>(H809+$B$4)*EXP(10*$I$22)</f>
        <v>0.32747171739014769</v>
      </c>
      <c r="J819" s="40">
        <f>(I809+$B$4)*EXP(10*$J$22)</f>
        <v>0.41870447782557757</v>
      </c>
      <c r="K819" s="40">
        <f>(J809+$B$4)*EXP(10*$J$22)</f>
        <v>0.53345324087522483</v>
      </c>
      <c r="L819" s="87"/>
      <c r="M819" s="87"/>
      <c r="N819" s="87"/>
      <c r="O819" s="87"/>
      <c r="P819" s="87"/>
      <c r="Q819" s="87"/>
      <c r="R819" s="88">
        <f>MIN($B$8,AVERAGE(S838:S839)/(1+H819+$D$8/10000))+$B$7</f>
        <v>58.610616040314611</v>
      </c>
      <c r="S819" s="88">
        <f>MIN($B$8,AVERAGE(T838:T839)/(1+I819+$D$8/10000))+$B$7</f>
        <v>62.353079035193979</v>
      </c>
      <c r="T819" s="88">
        <f>MIN($B$8,AVERAGE(U836:U837)/(1+J819+$D$8/10000))+$B$7</f>
        <v>67.618655347115094</v>
      </c>
      <c r="U819" s="88">
        <f t="shared" si="33"/>
        <v>79.563644434184525</v>
      </c>
    </row>
    <row r="820" spans="1:21" x14ac:dyDescent="0.35">
      <c r="A820" s="30"/>
      <c r="B820" s="4"/>
      <c r="C820" s="4"/>
      <c r="D820" s="4"/>
      <c r="E820" s="4"/>
      <c r="F820" s="4"/>
      <c r="G820" s="4"/>
      <c r="H820" s="40">
        <f>(G810-$B$4)*EXP(10*H$22)</f>
        <v>0.26722751418090329</v>
      </c>
      <c r="I820" s="8">
        <f>H810*EXP(10*I$22)</f>
        <v>0.32575319694419219</v>
      </c>
      <c r="J820" s="8">
        <f>I810*EXP(10*J$22)</f>
        <v>0.41684106255955589</v>
      </c>
      <c r="K820" s="8">
        <f>J810*EXP(10*K$22)</f>
        <v>0.52224112228707009</v>
      </c>
      <c r="L820" s="87"/>
      <c r="M820" s="87"/>
      <c r="N820" s="87"/>
      <c r="O820" s="87"/>
      <c r="P820" s="87"/>
      <c r="Q820" s="87"/>
      <c r="R820" s="88">
        <f>MIN($B$8,AVERAGE(S840:S841)/(1+H820+$D$8/10000))+$B$7</f>
        <v>58.9387529739193</v>
      </c>
      <c r="S820" s="88">
        <f>MIN($B$8,AVERAGE(T840:T841)/(1+I820+$D$8/10000))+$B$7</f>
        <v>62.510405183335948</v>
      </c>
      <c r="T820" s="88">
        <f>MIN($B$8,AVERAGE(U838:U839)/(1+J820+$D$8/10000))+$B$7</f>
        <v>67.573433451067672</v>
      </c>
      <c r="U820" s="88">
        <f t="shared" si="33"/>
        <v>80.184274160598179</v>
      </c>
    </row>
    <row r="821" spans="1:21" x14ac:dyDescent="0.35">
      <c r="A821" s="30"/>
      <c r="B821" s="4"/>
      <c r="C821" s="4"/>
      <c r="D821" s="4"/>
      <c r="E821" s="4"/>
      <c r="F821" s="4"/>
      <c r="G821" s="4"/>
      <c r="H821" s="8">
        <f>G810*EXP(10*H$22)</f>
        <v>0.26964432101917513</v>
      </c>
      <c r="I821" s="40">
        <f>(H810+$B$4)*EXP(10*$I$22)</f>
        <v>0.32825283809166417</v>
      </c>
      <c r="J821" s="40">
        <f>(I810+$B$4)*EXP(10*$J$22)</f>
        <v>0.41936078103845431</v>
      </c>
      <c r="K821" s="40">
        <f>(J810+$B$4)*EXP(10*$J$22)</f>
        <v>0.53424629393984802</v>
      </c>
      <c r="L821" s="87"/>
      <c r="M821" s="87"/>
      <c r="N821" s="87"/>
      <c r="O821" s="87"/>
      <c r="P821" s="87"/>
      <c r="Q821" s="87"/>
      <c r="R821" s="88">
        <f>MIN($B$8,AVERAGE(S842:S843)/(1+H821+$D$8/10000))+$B$7</f>
        <v>58.455218213872115</v>
      </c>
      <c r="S821" s="88">
        <f>MIN($B$8,AVERAGE(T842:T843)/(1+I821+$D$8/10000))+$B$7</f>
        <v>62.224359630016835</v>
      </c>
      <c r="T821" s="88">
        <f>MIN($B$8,AVERAGE(U840:U841)/(1+J821+$D$8/10000))+$B$7</f>
        <v>67.549296567407083</v>
      </c>
      <c r="U821" s="88">
        <f t="shared" si="33"/>
        <v>79.52012887921191</v>
      </c>
    </row>
    <row r="822" spans="1:21" x14ac:dyDescent="0.35">
      <c r="A822" s="30"/>
      <c r="B822" s="4"/>
      <c r="C822" s="4"/>
      <c r="D822" s="4"/>
      <c r="E822" s="4"/>
      <c r="F822" s="4"/>
      <c r="G822" s="4"/>
      <c r="H822" s="40">
        <f>(G811-$B$4)*EXP(10*H$22)</f>
        <v>0.27026930729154991</v>
      </c>
      <c r="I822" s="8">
        <f>H811*EXP(10*I$22)</f>
        <v>0.32877377185341017</v>
      </c>
      <c r="J822" s="8">
        <f>I811*EXP(10*J$22)</f>
        <v>0.41999025855450589</v>
      </c>
      <c r="K822" s="8">
        <f>J811*EXP(10*K$22)</f>
        <v>0.52535898325831387</v>
      </c>
      <c r="L822" s="87"/>
      <c r="M822" s="87"/>
      <c r="N822" s="87"/>
      <c r="O822" s="87"/>
      <c r="P822" s="87"/>
      <c r="Q822" s="87"/>
      <c r="R822" s="88">
        <f>MIN($B$8,AVERAGE(S844:S845)/(1+H822+$D$8/10000))+$B$7</f>
        <v>58.28506736346101</v>
      </c>
      <c r="S822" s="88">
        <f>MIN($B$8,AVERAGE(T844:T845)/(1+I822+$D$8/10000))+$B$7</f>
        <v>62.079629539096956</v>
      </c>
      <c r="T822" s="88">
        <f>MIN($B$8,AVERAGE(U842:U843)/(1+J822+$D$8/10000))+$B$7</f>
        <v>67.378805131324143</v>
      </c>
      <c r="U822" s="88">
        <f t="shared" si="33"/>
        <v>80.010668734946236</v>
      </c>
    </row>
    <row r="823" spans="1:21" x14ac:dyDescent="0.35">
      <c r="A823" s="30"/>
      <c r="B823" s="4"/>
      <c r="C823" s="4"/>
      <c r="D823" s="4"/>
      <c r="E823" s="4"/>
      <c r="F823" s="4"/>
      <c r="G823" s="4"/>
      <c r="H823" s="8">
        <f>G811*EXP(10*H$22)</f>
        <v>0.27268611412982174</v>
      </c>
      <c r="I823" s="40">
        <f>(H811+$B$4)*EXP(10*$I$22)</f>
        <v>0.33127341300088214</v>
      </c>
      <c r="J823" s="40">
        <f>(I811+$B$4)*EXP(10*$J$22)</f>
        <v>0.42250997703340437</v>
      </c>
      <c r="K823" s="40">
        <f>(J811+$B$4)*EXP(10*$J$22)</f>
        <v>0.53742078454629916</v>
      </c>
      <c r="L823" s="87"/>
      <c r="M823" s="87"/>
      <c r="N823" s="87"/>
      <c r="O823" s="87"/>
      <c r="P823" s="87"/>
      <c r="Q823" s="87"/>
      <c r="R823" s="88">
        <f>MIN($B$8,AVERAGE(S846:S847)/(1+H823+$D$8/10000))+$B$7</f>
        <v>57.771960812952884</v>
      </c>
      <c r="S823" s="88">
        <f>MIN($B$8,AVERAGE(T846:T847)/(1+I823+$D$8/10000))+$B$7</f>
        <v>61.730316359749338</v>
      </c>
      <c r="T823" s="88">
        <f>MIN($B$8,AVERAGE(U844:U845)/(1+J823+$D$8/10000))+$B$7</f>
        <v>67.218090194222611</v>
      </c>
      <c r="U823" s="88">
        <f t="shared" si="33"/>
        <v>79.346442332573247</v>
      </c>
    </row>
    <row r="824" spans="1:21" x14ac:dyDescent="0.35">
      <c r="A824" s="30"/>
      <c r="B824" s="4"/>
      <c r="C824" s="4"/>
      <c r="D824" s="4"/>
      <c r="E824" s="4"/>
      <c r="F824" s="4"/>
      <c r="G824" s="4"/>
      <c r="H824" s="40">
        <f>(G812-$B$4)*EXP(10*H$22)</f>
        <v>0.26821467471855809</v>
      </c>
      <c r="I824" s="8">
        <f>H812*EXP(10*I$22)</f>
        <v>0.32660885395882588</v>
      </c>
      <c r="J824" s="8">
        <f>I812*EXP(10*J$22)</f>
        <v>0.41782516469248654</v>
      </c>
      <c r="K824" s="8">
        <f>J812*EXP(10*K$22)</f>
        <v>0.52305322180924574</v>
      </c>
      <c r="L824" s="87"/>
      <c r="M824" s="87"/>
      <c r="N824" s="87"/>
      <c r="O824" s="87"/>
      <c r="P824" s="87"/>
      <c r="Q824" s="87"/>
      <c r="R824" s="88">
        <f>MIN($B$8,AVERAGE(S848:S849)/(1+H824+$D$8/10000))+$B$7</f>
        <v>58.669070143834062</v>
      </c>
      <c r="S824" s="88">
        <f>MIN($B$8,AVERAGE(T848:T849)/(1+I824+$D$8/10000))+$B$7</f>
        <v>62.281072109561968</v>
      </c>
      <c r="T824" s="88">
        <f>MIN($B$8,AVERAGE(U846:U846)/(1+J824+$D$8/10000))+$B$7</f>
        <v>67.578166092651628</v>
      </c>
      <c r="U824" s="88">
        <f t="shared" si="33"/>
        <v>80.138979365359845</v>
      </c>
    </row>
    <row r="825" spans="1:21" x14ac:dyDescent="0.35">
      <c r="A825" s="30"/>
      <c r="B825" s="4"/>
      <c r="C825" s="4"/>
      <c r="D825" s="4"/>
      <c r="E825" s="4"/>
      <c r="F825" s="4"/>
      <c r="G825" s="4"/>
      <c r="H825" s="8">
        <f>G812*EXP(10*H$22)</f>
        <v>0.27063148155682998</v>
      </c>
      <c r="I825" s="40">
        <f>(H812+$B$4)*EXP(10*$I$22)</f>
        <v>0.32910849510629786</v>
      </c>
      <c r="J825" s="40">
        <f>(I812+$B$4)*EXP(10*$J$22)</f>
        <v>0.42034488317138502</v>
      </c>
      <c r="K825" s="40">
        <f>(J812+$B$4)*EXP(10*$J$22)</f>
        <v>0.53507314360647107</v>
      </c>
      <c r="L825" s="87"/>
      <c r="M825" s="87"/>
      <c r="N825" s="87"/>
      <c r="O825" s="87"/>
      <c r="P825" s="87"/>
      <c r="Q825" s="87"/>
      <c r="R825" s="88">
        <f>MIN($B$8,AVERAGE(S850:S851)/(1+H825+$D$8/10000))+$B$7</f>
        <v>58.232199680608183</v>
      </c>
      <c r="S825" s="88">
        <f>MIN($B$8,AVERAGE(T850:T851)/(1+I825+$D$8/10000))+$B$7</f>
        <v>62.08381182543927</v>
      </c>
      <c r="T825" s="88">
        <f>MIN($B$8,AVERAGE(U848:U849)/(1+J825+$D$8/10000))+$B$7</f>
        <v>67.653342191281382</v>
      </c>
      <c r="U825" s="88">
        <f t="shared" si="33"/>
        <v>79.474812210177461</v>
      </c>
    </row>
    <row r="826" spans="1:21" x14ac:dyDescent="0.35">
      <c r="A826" s="30"/>
      <c r="B826" s="4"/>
      <c r="C826" s="4"/>
      <c r="D826" s="4"/>
      <c r="E826" s="4"/>
      <c r="F826" s="4"/>
      <c r="G826" s="4"/>
      <c r="H826" s="40">
        <f>(G813-$B$4)*EXP(10*H$22)</f>
        <v>0.27125646782920465</v>
      </c>
      <c r="I826" s="8">
        <f>H813*EXP(10*I$22)</f>
        <v>0.32962942886804392</v>
      </c>
      <c r="J826" s="8">
        <f>I813*EXP(10*J$22)</f>
        <v>0.4209743606874366</v>
      </c>
      <c r="K826" s="8">
        <f>J813*EXP(10*K$22)</f>
        <v>0.52617108278048952</v>
      </c>
      <c r="L826" s="87"/>
      <c r="M826" s="87"/>
      <c r="N826" s="87"/>
      <c r="O826" s="87"/>
      <c r="P826" s="87"/>
      <c r="Q826" s="87"/>
      <c r="R826" s="88">
        <f>MIN($B$8,AVERAGE(S852:S853)/(1+H826+$D$8/10000))+$B$7</f>
        <v>58.063000985698665</v>
      </c>
      <c r="S826" s="88">
        <f>MIN($B$8,AVERAGE(T852:T853)/(1+I826+$D$8/10000))+$B$7</f>
        <v>61.939579507862142</v>
      </c>
      <c r="T826" s="88">
        <f>MIN($B$8,AVERAGE(U850:U851)/(1+J826+$D$8/10000))+$B$7</f>
        <v>67.483469066550981</v>
      </c>
      <c r="U826" s="88">
        <f t="shared" si="33"/>
        <v>79.965580075054064</v>
      </c>
    </row>
    <row r="827" spans="1:21" x14ac:dyDescent="0.35">
      <c r="A827" s="30"/>
      <c r="B827" s="4"/>
      <c r="C827" s="4"/>
      <c r="D827" s="4"/>
      <c r="E827" s="4"/>
      <c r="F827" s="4"/>
      <c r="G827" s="4"/>
      <c r="H827" s="8">
        <f>G813*EXP(10*H$22)</f>
        <v>0.27367327466747654</v>
      </c>
      <c r="I827" s="40">
        <f>(H813+$B$4)*EXP(10*$I$22)</f>
        <v>0.33212907001551589</v>
      </c>
      <c r="J827" s="40">
        <f>(I813+$B$4)*EXP(10*$J$22)</f>
        <v>0.42349407916633502</v>
      </c>
      <c r="K827" s="40">
        <f>(J813+$B$4)*EXP(10*$J$22)</f>
        <v>0.53824763421292221</v>
      </c>
      <c r="L827" s="87"/>
      <c r="M827" s="87"/>
      <c r="N827" s="87"/>
      <c r="O827" s="87"/>
      <c r="P827" s="87"/>
      <c r="Q827" s="87"/>
      <c r="R827" s="88">
        <f>MIN($B$8,AVERAGE(S854:S855)/(1+H827+$D$8/10000))+$B$7</f>
        <v>57.552712872448154</v>
      </c>
      <c r="S827" s="88">
        <f>MIN($B$8,AVERAGE(T854:T855)/(1+I827+$D$8/10000))+$B$7</f>
        <v>61.591429393057766</v>
      </c>
      <c r="T827" s="88">
        <f>MIN($B$8,AVERAGE(U852:U853)/(1+J827+$D$8/10000))+$B$7</f>
        <v>67.322803730436064</v>
      </c>
      <c r="U827" s="88">
        <f t="shared" si="33"/>
        <v>79.301333806564571</v>
      </c>
    </row>
    <row r="828" spans="1:21" x14ac:dyDescent="0.35">
      <c r="A828" s="30"/>
      <c r="B828" s="4"/>
      <c r="C828" s="4"/>
      <c r="D828" s="4"/>
      <c r="E828" s="4"/>
      <c r="F828" s="4"/>
      <c r="G828" s="4"/>
      <c r="H828" s="40">
        <f>(G814-$B$4)*EXP(10*H$22)</f>
        <v>0.27194109171251618</v>
      </c>
      <c r="I828" s="8">
        <f>H814*EXP(10*I$22)</f>
        <v>0.33041054956956034</v>
      </c>
      <c r="J828" s="8">
        <f>I814*EXP(10*J$22)</f>
        <v>0.42163066390031334</v>
      </c>
      <c r="K828" s="8">
        <f>J814*EXP(10*K$22)</f>
        <v>0.52694998859715469</v>
      </c>
      <c r="L828" s="87"/>
      <c r="M828" s="87"/>
      <c r="N828" s="87"/>
      <c r="O828" s="87"/>
      <c r="P828" s="87"/>
      <c r="Q828" s="87"/>
      <c r="R828" s="88">
        <f>MIN($B$8,AVERAGE(S856:S857)/(1+H828+$D$8/10000))+$B$7</f>
        <v>57.872409889170086</v>
      </c>
      <c r="S828" s="88">
        <f>MIN($B$8,AVERAGE(T856:T857)/(1+I828+$D$8/10000))+$B$7</f>
        <v>61.746017866978164</v>
      </c>
      <c r="T828" s="88">
        <f>MIN($B$8,AVERAGE(U854:U855)/(1+J828+$D$8/10000))+$B$7</f>
        <v>67.278807154888568</v>
      </c>
      <c r="U828" s="88">
        <f t="shared" si="33"/>
        <v>79.922384594860063</v>
      </c>
    </row>
    <row r="829" spans="1:21" x14ac:dyDescent="0.35">
      <c r="A829" s="30"/>
      <c r="B829" s="4"/>
      <c r="C829" s="4"/>
      <c r="D829" s="4"/>
      <c r="E829" s="4"/>
      <c r="F829" s="4"/>
      <c r="G829" s="4"/>
      <c r="H829" s="8">
        <f>G814*EXP(10*H$22)</f>
        <v>0.27435789855078802</v>
      </c>
      <c r="I829" s="40">
        <f>(H814+$B$4)*EXP(10*$I$22)</f>
        <v>0.33291019071703232</v>
      </c>
      <c r="J829" s="40">
        <f>(I814+$B$4)*EXP(10*$J$22)</f>
        <v>0.42415038237921177</v>
      </c>
      <c r="K829" s="40">
        <f>(J814+$B$4)*EXP(10*$J$22)</f>
        <v>0.53904068727754539</v>
      </c>
      <c r="L829" s="87"/>
      <c r="M829" s="87"/>
      <c r="N829" s="87"/>
      <c r="O829" s="87"/>
      <c r="P829" s="87"/>
      <c r="Q829" s="87"/>
      <c r="R829" s="88">
        <f>MIN($B$8,AVERAGE(S858:S859)/(1+H829+$D$8/10000))+$B$7</f>
        <v>57.40136740101876</v>
      </c>
      <c r="S829" s="88">
        <f>MIN($B$8,AVERAGE(T858:T859)/(1+I829+$D$8/10000))+$B$7</f>
        <v>61.465047758852734</v>
      </c>
      <c r="T829" s="88">
        <f>MIN($B$8,AVERAGE(U856:U857)/(1+J829+$D$8/10000))+$B$7</f>
        <v>67.254248976435179</v>
      </c>
      <c r="U829" s="88">
        <f t="shared" si="33"/>
        <v>79.258119759451901</v>
      </c>
    </row>
    <row r="830" spans="1:21" x14ac:dyDescent="0.35">
      <c r="A830" s="30"/>
      <c r="B830" s="4"/>
      <c r="C830" s="4"/>
      <c r="D830" s="4"/>
      <c r="E830" s="4"/>
      <c r="F830" s="4"/>
      <c r="G830" s="4"/>
      <c r="H830" s="40">
        <f>(G815-$B$4)*EXP(10*H$22)</f>
        <v>0.27498288482316274</v>
      </c>
      <c r="I830" s="8">
        <f>H815*EXP(10*I$22)</f>
        <v>0.33343112447877837</v>
      </c>
      <c r="J830" s="8">
        <f>I815*EXP(10*J$22)</f>
        <v>0.4247798598952634</v>
      </c>
      <c r="K830" s="8">
        <f>J815*EXP(10*K$22)</f>
        <v>0.53006784956839859</v>
      </c>
      <c r="L830" s="87"/>
      <c r="M830" s="87"/>
      <c r="N830" s="87"/>
      <c r="O830" s="87"/>
      <c r="P830" s="87"/>
      <c r="Q830" s="87"/>
      <c r="R830" s="88">
        <f>MIN($B$8,AVERAGE(S860:S861)/(1+H830+$D$8/10000))+$B$7</f>
        <v>57.235704691807335</v>
      </c>
      <c r="S830" s="88">
        <f>MIN($B$8,AVERAGE(T860:T861)/(1+I830+$D$8/10000))+$B$7</f>
        <v>61.323001104933454</v>
      </c>
      <c r="T830" s="88">
        <f>MIN($B$8,AVERAGE(U858:U859)/(1+J830+$D$8/10000))+$B$7</f>
        <v>67.086031133015155</v>
      </c>
      <c r="U830" s="88">
        <f t="shared" si="33"/>
        <v>79.749969332329059</v>
      </c>
    </row>
    <row r="831" spans="1:21" x14ac:dyDescent="0.35">
      <c r="A831" s="30"/>
      <c r="B831" s="4"/>
      <c r="C831" s="4"/>
      <c r="D831" s="4"/>
      <c r="E831" s="4"/>
      <c r="F831" s="4"/>
      <c r="G831" s="4"/>
      <c r="H831" s="8">
        <f>G815*EXP(10*H$22)</f>
        <v>0.27739969166143463</v>
      </c>
      <c r="I831" s="40">
        <f>(H815+$B$4)*EXP(10*$I$22)</f>
        <v>0.33593076562625035</v>
      </c>
      <c r="J831" s="40">
        <f>(I815+$B$4)*EXP(10*$J$22)</f>
        <v>0.42729957837416183</v>
      </c>
      <c r="K831" s="40">
        <f>(J815+$B$4)*EXP(10*$J$22)</f>
        <v>0.54221517788399665</v>
      </c>
      <c r="L831" s="87"/>
      <c r="M831" s="87"/>
      <c r="N831" s="87"/>
      <c r="O831" s="87"/>
      <c r="P831" s="87"/>
      <c r="Q831" s="87"/>
      <c r="R831" s="88">
        <f>MIN($B$8,AVERAGE(S862:S863)/(1+H831+$D$8/10000))+$B$7</f>
        <v>56.735885860917215</v>
      </c>
      <c r="S831" s="88">
        <f>MIN($B$8,AVERAGE(T862:T863)/(1+I831+$D$8/10000))+$B$7</f>
        <v>60.979959459411624</v>
      </c>
      <c r="T831" s="88">
        <f>MIN($B$8,AVERAGE(U860:U861)/(1+J831+$D$8/10000))+$B$7</f>
        <v>66.926870720234518</v>
      </c>
      <c r="U831" s="88">
        <f t="shared" si="33"/>
        <v>79.085634920215853</v>
      </c>
    </row>
    <row r="832" spans="1:21" x14ac:dyDescent="0.35">
      <c r="A832" s="30"/>
      <c r="B832" s="4"/>
      <c r="C832" s="4"/>
      <c r="D832" s="4"/>
      <c r="E832" s="4"/>
      <c r="F832" s="4"/>
      <c r="G832" s="4"/>
      <c r="H832" s="17"/>
      <c r="I832" s="8">
        <f>H816*EXP(10*I$22)</f>
        <v>0.3293290924662492</v>
      </c>
      <c r="J832" s="8">
        <f>I816*EXP(10*J$22)</f>
        <v>0.40561357360950828</v>
      </c>
      <c r="K832" s="8">
        <f>J816*EXP(10*K$22)</f>
        <v>0.51108386650918336</v>
      </c>
      <c r="L832" s="87"/>
      <c r="M832" s="87"/>
      <c r="N832" s="87"/>
      <c r="O832" s="87"/>
      <c r="P832" s="87"/>
      <c r="Q832" s="87"/>
      <c r="R832" s="87"/>
      <c r="S832" s="88">
        <f>MIN($B$8,AVERAGE(T864:T865)/(1+I832+$D$8/10000))+$B$7</f>
        <v>61.778608842025321</v>
      </c>
      <c r="T832" s="88">
        <f>MIN($B$8,AVERAGE(U862:U863)/(1+J832+$D$8/10000))+$B$7</f>
        <v>67.881783132422484</v>
      </c>
      <c r="U832" s="88">
        <f t="shared" si="33"/>
        <v>80.812070612226151</v>
      </c>
    </row>
    <row r="833" spans="1:21" x14ac:dyDescent="0.35">
      <c r="A833" s="30"/>
      <c r="B833" s="4"/>
      <c r="C833" s="4"/>
      <c r="D833" s="4"/>
      <c r="E833" s="4"/>
      <c r="F833" s="4"/>
      <c r="G833" s="4"/>
      <c r="H833" s="17"/>
      <c r="I833" s="40">
        <f>(H816+$B$4)*EXP(10*$I$22)</f>
        <v>0.33182873361372117</v>
      </c>
      <c r="J833" s="40">
        <f>(I816+$B$4)*EXP(10*$J$22)</f>
        <v>0.40813329208840671</v>
      </c>
      <c r="K833" s="40">
        <f>(J816+$B$4)*EXP(10*$J$22)</f>
        <v>0.52288638918869268</v>
      </c>
      <c r="L833" s="87"/>
      <c r="M833" s="87"/>
      <c r="N833" s="87"/>
      <c r="O833" s="87"/>
      <c r="P833" s="87"/>
      <c r="Q833" s="87"/>
      <c r="R833" s="87"/>
      <c r="S833" s="88">
        <f>MIN($B$8,AVERAGE(T866:T867)/(1+I833+$D$8/10000))+$B$7</f>
        <v>61.551523811481964</v>
      </c>
      <c r="T833" s="88">
        <f>MIN($B$8,AVERAGE(U864:U865)/(1+J833+$D$8/10000))+$B$7</f>
        <v>68.960351876372542</v>
      </c>
      <c r="U833" s="88">
        <f t="shared" si="33"/>
        <v>80.148280047058506</v>
      </c>
    </row>
    <row r="834" spans="1:21" x14ac:dyDescent="0.35">
      <c r="A834" s="30"/>
      <c r="B834" s="4"/>
      <c r="C834" s="4"/>
      <c r="D834" s="4"/>
      <c r="E834" s="4"/>
      <c r="F834" s="4"/>
      <c r="G834" s="4"/>
      <c r="H834" s="17"/>
      <c r="I834" s="8">
        <f>H817*EXP(10*I$22)</f>
        <v>0.33234966737546717</v>
      </c>
      <c r="J834" s="8">
        <f>I817*EXP(10*J$22)</f>
        <v>0.40876276960445834</v>
      </c>
      <c r="K834" s="8">
        <f>J817*EXP(10*K$22)</f>
        <v>0.51420172748042725</v>
      </c>
      <c r="L834" s="87"/>
      <c r="M834" s="87"/>
      <c r="N834" s="87"/>
      <c r="O834" s="87"/>
      <c r="P834" s="87"/>
      <c r="Q834" s="87"/>
      <c r="R834" s="87"/>
      <c r="S834" s="88">
        <f>MIN($B$8,AVERAGE(T868:T869)/(1+I834+$D$8/10000))+$B$7</f>
        <v>61.497461550279958</v>
      </c>
      <c r="T834" s="88">
        <f>MIN($B$8,AVERAGE(U866:U867)/(1+J834+$D$8/10000))+$B$7</f>
        <v>68.785017638816171</v>
      </c>
      <c r="U834" s="88">
        <f t="shared" si="33"/>
        <v>80.63559552087122</v>
      </c>
    </row>
    <row r="835" spans="1:21" x14ac:dyDescent="0.35">
      <c r="A835" s="30"/>
      <c r="B835" s="4"/>
      <c r="C835" s="4"/>
      <c r="D835" s="4"/>
      <c r="E835" s="4"/>
      <c r="F835" s="4"/>
      <c r="G835" s="4"/>
      <c r="H835" s="17"/>
      <c r="I835" s="40">
        <f>(H817+$B$4)*EXP(10*$I$22)</f>
        <v>0.33484930852293909</v>
      </c>
      <c r="J835" s="40">
        <f>(I817+$B$4)*EXP(10*$J$22)</f>
        <v>0.41128248808335677</v>
      </c>
      <c r="K835" s="40">
        <f>(J817+$B$4)*EXP(10*$J$22)</f>
        <v>0.52606087979514382</v>
      </c>
      <c r="L835" s="87"/>
      <c r="M835" s="87"/>
      <c r="N835" s="87"/>
      <c r="O835" s="87"/>
      <c r="P835" s="87"/>
      <c r="Q835" s="87"/>
      <c r="R835" s="87"/>
      <c r="S835" s="88">
        <f>MIN($B$8,AVERAGE(T870:T871)/(1+I835+$D$8/10000))+$B$7</f>
        <v>61.152976453770158</v>
      </c>
      <c r="T835" s="88">
        <f>MIN($B$8,AVERAGE(U868:U869)/(1+J835+$D$8/10000))+$B$7</f>
        <v>68.619391890711455</v>
      </c>
      <c r="U835" s="88">
        <f t="shared" si="33"/>
        <v>79.971695528968766</v>
      </c>
    </row>
    <row r="836" spans="1:21" x14ac:dyDescent="0.35">
      <c r="A836" s="30"/>
      <c r="B836" s="4"/>
      <c r="C836" s="4"/>
      <c r="D836" s="4"/>
      <c r="E836" s="4"/>
      <c r="F836" s="4"/>
      <c r="G836" s="4"/>
      <c r="H836" s="17"/>
      <c r="I836" s="8">
        <f>H818*EXP(10*I$22)</f>
        <v>0.33313078807698365</v>
      </c>
      <c r="J836" s="8">
        <f>I818*EXP(10*J$22)</f>
        <v>0.40941907281733508</v>
      </c>
      <c r="K836" s="8">
        <f>J818*EXP(10*K$22)</f>
        <v>0.51498063329709243</v>
      </c>
      <c r="L836" s="87"/>
      <c r="M836" s="87"/>
      <c r="N836" s="87"/>
      <c r="O836" s="87"/>
      <c r="P836" s="87"/>
      <c r="Q836" s="87"/>
      <c r="R836" s="87"/>
      <c r="S836" s="88">
        <f>MIN($B$8,AVERAGE(T872:T873)/(1+I836+$D$8/10000))+$B$7</f>
        <v>61.305994003068157</v>
      </c>
      <c r="T836" s="88">
        <f>MIN($B$8,AVERAGE(U870:U871)/(1+J836+$D$8/10000))+$B$7</f>
        <v>68.57377783011141</v>
      </c>
      <c r="U836" s="88">
        <f t="shared" si="33"/>
        <v>80.591634933711589</v>
      </c>
    </row>
    <row r="837" spans="1:21" x14ac:dyDescent="0.35">
      <c r="A837" s="30"/>
      <c r="B837" s="4"/>
      <c r="C837" s="4"/>
      <c r="D837" s="4"/>
      <c r="E837" s="4"/>
      <c r="F837" s="4"/>
      <c r="G837" s="4"/>
      <c r="H837" s="17"/>
      <c r="I837" s="40">
        <f>(H818+$B$4)*EXP(10*$I$22)</f>
        <v>0.33563042922445563</v>
      </c>
      <c r="J837" s="40">
        <f>(I818+$B$4)*EXP(10*$J$22)</f>
        <v>0.41193879129623351</v>
      </c>
      <c r="K837" s="40">
        <f>(J818+$B$4)*EXP(10*$J$22)</f>
        <v>0.526853932859767</v>
      </c>
      <c r="L837" s="87"/>
      <c r="M837" s="87"/>
      <c r="N837" s="87"/>
      <c r="O837" s="87"/>
      <c r="P837" s="87"/>
      <c r="Q837" s="87"/>
      <c r="R837" s="87"/>
      <c r="S837" s="88">
        <f>MIN($B$8,AVERAGE(T874:T875)/(1+I837+$D$8/10000))+$B$7</f>
        <v>61.02793537919343</v>
      </c>
      <c r="T837" s="88">
        <f>MIN($B$8,AVERAGE(U872:U873)/(1+J837+$D$8/10000))+$B$7</f>
        <v>68.548679303929944</v>
      </c>
      <c r="U837" s="88">
        <f t="shared" si="33"/>
        <v>79.927708865292615</v>
      </c>
    </row>
    <row r="838" spans="1:21" x14ac:dyDescent="0.35">
      <c r="A838" s="30"/>
      <c r="B838" s="4"/>
      <c r="C838" s="4"/>
      <c r="D838" s="4"/>
      <c r="E838" s="4"/>
      <c r="F838" s="4"/>
      <c r="G838" s="4"/>
      <c r="H838" s="17"/>
      <c r="I838" s="8">
        <f>H819*EXP(10*I$22)</f>
        <v>0.33615136298620168</v>
      </c>
      <c r="J838" s="8">
        <f>I819*EXP(10*J$22)</f>
        <v>0.41256826881228509</v>
      </c>
      <c r="K838" s="8">
        <f>J819*EXP(10*K$22)</f>
        <v>0.51809849426833621</v>
      </c>
      <c r="L838" s="87"/>
      <c r="M838" s="87"/>
      <c r="N838" s="87"/>
      <c r="O838" s="87"/>
      <c r="P838" s="87"/>
      <c r="Q838" s="87"/>
      <c r="R838" s="87"/>
      <c r="S838" s="88">
        <f>MIN($B$8,AVERAGE(T876:T877)/(1+I838+$D$8/10000))+$B$7</f>
        <v>60.887427025627233</v>
      </c>
      <c r="T838" s="88">
        <f>MIN($B$8,AVERAGE(U874:U875)/(1+J838+$D$8/10000))+$B$7</f>
        <v>68.375071785832759</v>
      </c>
      <c r="U838" s="88">
        <f t="shared" si="33"/>
        <v>80.416170130309254</v>
      </c>
    </row>
    <row r="839" spans="1:21" x14ac:dyDescent="0.35">
      <c r="A839" s="30"/>
      <c r="B839" s="4"/>
      <c r="C839" s="4"/>
      <c r="D839" s="4"/>
      <c r="E839" s="4"/>
      <c r="F839" s="4"/>
      <c r="G839" s="4"/>
      <c r="H839" s="17"/>
      <c r="I839" s="40">
        <f>(H819+$B$4)*EXP(10*$I$22)</f>
        <v>0.33865100413367366</v>
      </c>
      <c r="J839" s="40">
        <f>(I819+$B$4)*EXP(10*$J$22)</f>
        <v>0.41508798729118357</v>
      </c>
      <c r="K839" s="40">
        <f>(J819+$B$4)*EXP(10*$J$22)</f>
        <v>0.53002842346621815</v>
      </c>
      <c r="L839" s="87"/>
      <c r="M839" s="87"/>
      <c r="N839" s="87"/>
      <c r="O839" s="87"/>
      <c r="P839" s="87"/>
      <c r="Q839" s="87"/>
      <c r="R839" s="87"/>
      <c r="S839" s="88">
        <f>MIN($B$8,AVERAGE(T878:T879)/(1+I839+$D$8/10000))+$B$7</f>
        <v>60.54798235938464</v>
      </c>
      <c r="T839" s="88">
        <f>MIN($B$8,AVERAGE(U876:U877)/(1+J839+$D$8/10000))+$B$7</f>
        <v>68.211013680271137</v>
      </c>
      <c r="U839" s="88">
        <f t="shared" si="33"/>
        <v>79.752144676098126</v>
      </c>
    </row>
    <row r="840" spans="1:21" x14ac:dyDescent="0.35">
      <c r="A840" s="30"/>
      <c r="B840" s="4"/>
      <c r="C840" s="4"/>
      <c r="D840" s="4"/>
      <c r="E840" s="4"/>
      <c r="F840" s="4"/>
      <c r="G840" s="4"/>
      <c r="H840" s="17"/>
      <c r="I840" s="8">
        <f>H820*EXP(10*I$22)</f>
        <v>0.33398644509161735</v>
      </c>
      <c r="J840" s="8">
        <f>I820*EXP(10*J$22)</f>
        <v>0.41040317495026568</v>
      </c>
      <c r="K840" s="8">
        <f>J820*EXP(10*K$22)</f>
        <v>0.51579273281926796</v>
      </c>
      <c r="L840" s="87"/>
      <c r="M840" s="87"/>
      <c r="N840" s="87"/>
      <c r="O840" s="87"/>
      <c r="P840" s="87"/>
      <c r="Q840" s="87"/>
      <c r="R840" s="87"/>
      <c r="S840" s="88">
        <f>MIN($B$8,AVERAGE(T880:T881)/(1+I840+$D$8/10000))+$B$7</f>
        <v>61.083345702216313</v>
      </c>
      <c r="T840" s="88">
        <f>MIN($B$8,AVERAGE(U878:U879)/(1+J840+$D$8/10000))+$B$7</f>
        <v>68.310363549547745</v>
      </c>
      <c r="U840" s="88">
        <f t="shared" si="33"/>
        <v>80.545854602338821</v>
      </c>
    </row>
    <row r="841" spans="1:21" x14ac:dyDescent="0.35">
      <c r="A841" s="30"/>
      <c r="B841" s="4"/>
      <c r="C841" s="4"/>
      <c r="D841" s="4"/>
      <c r="E841" s="4"/>
      <c r="F841" s="4"/>
      <c r="G841" s="4"/>
      <c r="H841" s="17"/>
      <c r="I841" s="40">
        <f>(H820+$B$4)*EXP(10*$I$22)</f>
        <v>0.33648608623908932</v>
      </c>
      <c r="J841" s="40">
        <f>(I820+$B$4)*EXP(10*$J$22)</f>
        <v>0.41292289342916411</v>
      </c>
      <c r="K841" s="40">
        <f>(J820+$B$4)*EXP(10*$J$22)</f>
        <v>0.52768078252639006</v>
      </c>
      <c r="L841" s="87"/>
      <c r="M841" s="87"/>
      <c r="N841" s="87"/>
      <c r="O841" s="87"/>
      <c r="P841" s="87"/>
      <c r="Q841" s="87"/>
      <c r="R841" s="87"/>
      <c r="S841" s="88">
        <f>MIN($B$8,AVERAGE(T882:T883)/(1+I841+$D$8/10000))+$B$7</f>
        <v>60.891400514876729</v>
      </c>
      <c r="T841" s="88">
        <f>MIN($B$8,AVERAGE(U880:U881)/(1+J841+$D$8/10000))+$B$7</f>
        <v>68.442869970152458</v>
      </c>
      <c r="U841" s="88">
        <f t="shared" si="33"/>
        <v>79.88190187910638</v>
      </c>
    </row>
    <row r="842" spans="1:21" x14ac:dyDescent="0.35">
      <c r="A842" s="30"/>
      <c r="B842" s="4"/>
      <c r="C842" s="4"/>
      <c r="D842" s="4"/>
      <c r="E842" s="4"/>
      <c r="F842" s="4"/>
      <c r="G842" s="4"/>
      <c r="H842" s="17"/>
      <c r="I842" s="8">
        <f>H821*EXP(10*I$22)</f>
        <v>0.33700702000083532</v>
      </c>
      <c r="J842" s="8">
        <f>I821*EXP(10*J$22)</f>
        <v>0.41355237094521569</v>
      </c>
      <c r="K842" s="8">
        <f>J821*EXP(10*K$22)</f>
        <v>0.51891059379051174</v>
      </c>
      <c r="L842" s="87"/>
      <c r="M842" s="87"/>
      <c r="N842" s="87"/>
      <c r="O842" s="87"/>
      <c r="P842" s="87"/>
      <c r="Q842" s="87"/>
      <c r="R842" s="87"/>
      <c r="S842" s="88">
        <f>MIN($B$8,AVERAGE(T884:T885)/(1+I842+$D$8/10000))+$B$7</f>
        <v>60.751371685455219</v>
      </c>
      <c r="T842" s="88">
        <f>MIN($B$8,AVERAGE(U882:U883)/(1+J842+$D$8/10000))+$B$7</f>
        <v>68.269705277503817</v>
      </c>
      <c r="U842" s="88">
        <f t="shared" si="33"/>
        <v>80.370599253816906</v>
      </c>
    </row>
    <row r="843" spans="1:21" x14ac:dyDescent="0.35">
      <c r="A843" s="30"/>
      <c r="B843" s="4"/>
      <c r="C843" s="4"/>
      <c r="D843" s="4"/>
      <c r="E843" s="4"/>
      <c r="F843" s="4"/>
      <c r="G843" s="4"/>
      <c r="H843" s="17"/>
      <c r="I843" s="40">
        <f>(H821+$B$4)*EXP(10*$I$22)</f>
        <v>0.3395066611483073</v>
      </c>
      <c r="J843" s="40">
        <f>(I821+$B$4)*EXP(10*$J$22)</f>
        <v>0.41607208942411417</v>
      </c>
      <c r="K843" s="40">
        <f>(J821+$B$4)*EXP(10*$J$22)</f>
        <v>0.5308552731328412</v>
      </c>
      <c r="L843" s="87"/>
      <c r="M843" s="87"/>
      <c r="N843" s="87"/>
      <c r="O843" s="87"/>
      <c r="P843" s="87"/>
      <c r="Q843" s="87"/>
      <c r="R843" s="87"/>
      <c r="S843" s="88">
        <f>MIN($B$8,AVERAGE(T886:T887)/(1+I843+$D$8/10000))+$B$7</f>
        <v>60.413048548858704</v>
      </c>
      <c r="T843" s="88">
        <f>MIN($B$8,AVERAGE(U884:U885)/(1+J843+$D$8/10000))+$B$7</f>
        <v>68.106049314446238</v>
      </c>
      <c r="U843" s="88">
        <f t="shared" si="33"/>
        <v>79.706549216222399</v>
      </c>
    </row>
    <row r="844" spans="1:21" x14ac:dyDescent="0.35">
      <c r="A844" s="30"/>
      <c r="B844" s="4"/>
      <c r="C844" s="4"/>
      <c r="D844" s="4"/>
      <c r="E844" s="4"/>
      <c r="F844" s="4"/>
      <c r="G844" s="4"/>
      <c r="H844" s="17"/>
      <c r="I844" s="8">
        <f>H822*EXP(10*I$22)</f>
        <v>0.33778814070235186</v>
      </c>
      <c r="J844" s="8">
        <f>I822*EXP(10*J$22)</f>
        <v>0.41420867415809243</v>
      </c>
      <c r="K844" s="8">
        <f>J822*EXP(10*K$22)</f>
        <v>0.51968949960717692</v>
      </c>
      <c r="L844" s="87"/>
      <c r="M844" s="87"/>
      <c r="N844" s="87"/>
      <c r="O844" s="87"/>
      <c r="P844" s="87"/>
      <c r="Q844" s="87"/>
      <c r="R844" s="87"/>
      <c r="S844" s="88">
        <f>MIN($B$8,AVERAGE(T888:T889)/(1+I844+$D$8/10000))+$B$7</f>
        <v>60.563423468969923</v>
      </c>
      <c r="T844" s="88">
        <f>MIN($B$8,AVERAGE(U886:U887)/(1+J844+$D$8/10000))+$B$7</f>
        <v>68.061078661610239</v>
      </c>
      <c r="U844" s="88">
        <f t="shared" si="33"/>
        <v>80.32694207481066</v>
      </c>
    </row>
    <row r="845" spans="1:21" x14ac:dyDescent="0.35">
      <c r="A845" s="30"/>
      <c r="B845" s="4"/>
      <c r="C845" s="4"/>
      <c r="D845" s="4"/>
      <c r="E845" s="4"/>
      <c r="F845" s="4"/>
      <c r="G845" s="4"/>
      <c r="H845" s="17"/>
      <c r="I845" s="40">
        <f>(H822+$B$4)*EXP(10*$I$22)</f>
        <v>0.34028778184982383</v>
      </c>
      <c r="J845" s="40">
        <f>(I822+$B$4)*EXP(10*$J$22)</f>
        <v>0.41672839263699091</v>
      </c>
      <c r="K845" s="40">
        <f>(J822+$B$4)*EXP(10*$J$22)</f>
        <v>0.53164832619746427</v>
      </c>
      <c r="L845" s="87"/>
      <c r="M845" s="87"/>
      <c r="N845" s="87"/>
      <c r="O845" s="87"/>
      <c r="P845" s="87"/>
      <c r="Q845" s="87"/>
      <c r="R845" s="87"/>
      <c r="S845" s="88">
        <f>MIN($B$8,AVERAGE(T890:T891)/(1+I845+$D$8/10000))+$B$7</f>
        <v>60.290261093506295</v>
      </c>
      <c r="T845" s="88">
        <f>MIN($B$8,AVERAGE(U888:U889)/(1+J845+$D$8/10000))+$B$7</f>
        <v>68.036193780462341</v>
      </c>
      <c r="U845" s="88">
        <f t="shared" si="33"/>
        <v>79.662868961311531</v>
      </c>
    </row>
    <row r="846" spans="1:21" x14ac:dyDescent="0.35">
      <c r="A846" s="30"/>
      <c r="B846" s="4"/>
      <c r="C846" s="4"/>
      <c r="D846" s="4"/>
      <c r="E846" s="4"/>
      <c r="F846" s="4"/>
      <c r="G846" s="4"/>
      <c r="H846" s="17"/>
      <c r="I846" s="8">
        <f>H823*EXP(10*I$22)</f>
        <v>0.34080871561156983</v>
      </c>
      <c r="J846" s="8">
        <f>I823*EXP(10*J$22)</f>
        <v>0.41735787015304249</v>
      </c>
      <c r="K846" s="8">
        <f>J823*EXP(10*K$22)</f>
        <v>0.52280736057842081</v>
      </c>
      <c r="L846" s="87"/>
      <c r="M846" s="87"/>
      <c r="N846" s="87"/>
      <c r="O846" s="87"/>
      <c r="P846" s="87"/>
      <c r="Q846" s="87"/>
      <c r="R846" s="87"/>
      <c r="S846" s="88">
        <f>MIN($B$8,AVERAGE(T892:T893)/(1+I846+$D$8/10000))+$B$7</f>
        <v>60.152337988563559</v>
      </c>
      <c r="T846" s="88">
        <f>MIN($B$8,AVERAGE(U890:U891)/(1+J846+$D$8/10000))+$B$7</f>
        <v>67.864727336335434</v>
      </c>
      <c r="U846" s="88">
        <f t="shared" si="33"/>
        <v>80.152686573021697</v>
      </c>
    </row>
    <row r="847" spans="1:21" x14ac:dyDescent="0.35">
      <c r="A847" s="30"/>
      <c r="B847" s="4"/>
      <c r="C847" s="4"/>
      <c r="D847" s="4"/>
      <c r="E847" s="4"/>
      <c r="F847" s="4"/>
      <c r="G847" s="4"/>
      <c r="H847" s="17"/>
      <c r="I847" s="40">
        <f>(H823+$B$4)*EXP(10*$I$22)</f>
        <v>0.34330835675904181</v>
      </c>
      <c r="J847" s="40">
        <f>(I823+$B$4)*EXP(10*$J$22)</f>
        <v>0.41987758863194097</v>
      </c>
      <c r="K847" s="40">
        <f>(J823+$B$4)*EXP(10*$K$22)</f>
        <v>0.52528212988090794</v>
      </c>
      <c r="L847" s="87"/>
      <c r="M847" s="87"/>
      <c r="N847" s="87"/>
      <c r="O847" s="87"/>
      <c r="P847" s="87"/>
      <c r="Q847" s="87"/>
      <c r="R847" s="87"/>
      <c r="S847" s="88">
        <f>MIN($B$8,AVERAGE(T894:T895)/(1+I847+$D$8/10000))+$B$7</f>
        <v>59.818941318713982</v>
      </c>
      <c r="T847" s="88">
        <f>MIN($B$8,AVERAGE(U892:U893)/(1+J847+$D$8/10000))+$B$7</f>
        <v>67.702614032178076</v>
      </c>
      <c r="U847" s="88">
        <f t="shared" si="33"/>
        <v>80.014938491564365</v>
      </c>
    </row>
    <row r="848" spans="1:21" x14ac:dyDescent="0.35">
      <c r="A848" s="30"/>
      <c r="B848" s="4"/>
      <c r="C848" s="4"/>
      <c r="D848" s="4"/>
      <c r="E848" s="4"/>
      <c r="F848" s="4"/>
      <c r="G848" s="4"/>
      <c r="H848" s="17"/>
      <c r="I848" s="8">
        <f>H824*EXP(10*I$22)</f>
        <v>0.33522021864115858</v>
      </c>
      <c r="J848" s="8">
        <f>I824*EXP(10*J$22)</f>
        <v>0.41148118234595149</v>
      </c>
      <c r="K848" s="8">
        <f>J824*EXP(10*K$22)</f>
        <v>0.51701044569381249</v>
      </c>
      <c r="L848" s="87"/>
      <c r="M848" s="87"/>
      <c r="N848" s="87"/>
      <c r="O848" s="87"/>
      <c r="P848" s="87"/>
      <c r="Q848" s="87"/>
      <c r="R848" s="87"/>
      <c r="S848" s="88">
        <f>MIN($B$8,AVERAGE(T896:T897)/(1+I848+$D$8/10000))+$B$7</f>
        <v>60.788599175482915</v>
      </c>
      <c r="T848" s="88">
        <f>MIN($B$8,AVERAGE(U894:U895)/(1+J848+$D$8/10000))+$B$7</f>
        <v>67.989694635524401</v>
      </c>
      <c r="U848" s="88">
        <f t="shared" si="33"/>
        <v>80.477311170497117</v>
      </c>
    </row>
    <row r="849" spans="1:21" x14ac:dyDescent="0.35">
      <c r="A849" s="30"/>
      <c r="B849" s="4"/>
      <c r="C849" s="4"/>
      <c r="D849" s="4"/>
      <c r="E849" s="4"/>
      <c r="F849" s="4"/>
      <c r="G849" s="4"/>
      <c r="H849" s="17"/>
      <c r="I849" s="40">
        <f>(H824+$B$4)*EXP(10*$I$22)</f>
        <v>0.33771985978863056</v>
      </c>
      <c r="J849" s="40">
        <f>(I824+$B$4)*EXP(10*$J$22)</f>
        <v>0.41400090082484992</v>
      </c>
      <c r="K849" s="40">
        <f>(J824+$B$4)*EXP(10*$K$22)</f>
        <v>0.51948521499629963</v>
      </c>
      <c r="L849" s="87"/>
      <c r="M849" s="87"/>
      <c r="N849" s="87"/>
      <c r="O849" s="87"/>
      <c r="P849" s="87"/>
      <c r="Q849" s="87"/>
      <c r="R849" s="87"/>
      <c r="S849" s="88">
        <f>MIN($B$8,AVERAGE(T898:T899)/(1+I849+$D$8/10000))+$B$7</f>
        <v>60.695332860372893</v>
      </c>
      <c r="T849" s="88">
        <f>MIN($B$8,AVERAGE(U896:U897)/(1+J849+$D$8/10000))+$B$7</f>
        <v>68.327268200840024</v>
      </c>
      <c r="U849" s="88">
        <f t="shared" si="33"/>
        <v>80.338387268758296</v>
      </c>
    </row>
    <row r="850" spans="1:21" x14ac:dyDescent="0.35">
      <c r="A850" s="30"/>
      <c r="B850" s="4"/>
      <c r="C850" s="4"/>
      <c r="D850" s="4"/>
      <c r="E850" s="4"/>
      <c r="F850" s="4"/>
      <c r="G850" s="4"/>
      <c r="H850" s="17"/>
      <c r="I850" s="8">
        <f>H825*EXP(10*I$22)</f>
        <v>0.33824079355037662</v>
      </c>
      <c r="J850" s="8">
        <f>I825*EXP(10*J$22)</f>
        <v>0.4146303783409015</v>
      </c>
      <c r="K850" s="8">
        <f>J825*EXP(10*K$22)</f>
        <v>0.52012830666505627</v>
      </c>
      <c r="L850" s="87"/>
      <c r="M850" s="87"/>
      <c r="N850" s="87"/>
      <c r="O850" s="87"/>
      <c r="P850" s="87"/>
      <c r="Q850" s="87"/>
      <c r="R850" s="87"/>
      <c r="S850" s="88">
        <f>MIN($B$8,AVERAGE(T900:T901)/(1+I850+$D$8/10000))+$B$7</f>
        <v>60.555991827098879</v>
      </c>
      <c r="T850" s="88">
        <f>MIN($B$8,AVERAGE(U898:U899)/(1+J850+$D$8/10000))+$B$7</f>
        <v>68.154586856876065</v>
      </c>
      <c r="U850" s="88">
        <f t="shared" si="33"/>
        <v>80.302369189631733</v>
      </c>
    </row>
    <row r="851" spans="1:21" x14ac:dyDescent="0.35">
      <c r="A851" s="30"/>
      <c r="B851" s="4"/>
      <c r="C851" s="4"/>
      <c r="D851" s="4"/>
      <c r="E851" s="4"/>
      <c r="F851" s="4"/>
      <c r="G851" s="4"/>
      <c r="H851" s="17"/>
      <c r="I851" s="40">
        <f>(H825+$B$4)*EXP(10*$I$22)</f>
        <v>0.34074043469784859</v>
      </c>
      <c r="J851" s="40">
        <f>(I825+$B$4)*EXP(10*$J$22)</f>
        <v>0.41715009681979998</v>
      </c>
      <c r="K851" s="40">
        <f>(J825+$B$4)*EXP(10*$K$22)</f>
        <v>0.52260307596754352</v>
      </c>
      <c r="L851" s="87"/>
      <c r="M851" s="87"/>
      <c r="N851" s="87"/>
      <c r="O851" s="87"/>
      <c r="P851" s="87"/>
      <c r="Q851" s="87"/>
      <c r="R851" s="87"/>
      <c r="S851" s="88">
        <f>MIN($B$8,AVERAGE(T902:T903)/(1+I851+$D$8/10000))+$B$7</f>
        <v>60.21927755778723</v>
      </c>
      <c r="T851" s="88">
        <f>MIN($B$8,AVERAGE(U900:U901)/(1+J851+$D$8/10000))+$B$7</f>
        <v>67.991369889555358</v>
      </c>
      <c r="U851" s="88">
        <f t="shared" si="33"/>
        <v>80.164079563639831</v>
      </c>
    </row>
    <row r="852" spans="1:21" x14ac:dyDescent="0.35">
      <c r="A852" s="30"/>
      <c r="B852" s="4"/>
      <c r="C852" s="4"/>
      <c r="D852" s="4"/>
      <c r="E852" s="4"/>
      <c r="F852" s="4"/>
      <c r="G852" s="4"/>
      <c r="H852" s="17"/>
      <c r="I852" s="8">
        <f>H826*EXP(10*I$22)</f>
        <v>0.33902191425189304</v>
      </c>
      <c r="J852" s="8">
        <f>I826*EXP(10*J$22)</f>
        <v>0.41528668155377835</v>
      </c>
      <c r="K852" s="8">
        <f>J826*EXP(10*K$22)</f>
        <v>0.52090721248172145</v>
      </c>
      <c r="L852" s="87"/>
      <c r="M852" s="87"/>
      <c r="N852" s="87"/>
      <c r="O852" s="87"/>
      <c r="P852" s="87"/>
      <c r="Q852" s="87"/>
      <c r="R852" s="87"/>
      <c r="S852" s="88">
        <f>MIN($B$8,AVERAGE(T904:T905)/(1+I852+$D$8/10000))+$B$7</f>
        <v>60.36896219422772</v>
      </c>
      <c r="T852" s="88">
        <f>MIN($B$8,AVERAGE(U902:U903)/(1+J852+$D$8/10000))+$B$7</f>
        <v>67.946542432478935</v>
      </c>
      <c r="U852" s="88">
        <f t="shared" si="33"/>
        <v>80.25878996082281</v>
      </c>
    </row>
    <row r="853" spans="1:21" x14ac:dyDescent="0.35">
      <c r="A853" s="30"/>
      <c r="B853" s="4"/>
      <c r="C853" s="4"/>
      <c r="D853" s="4"/>
      <c r="E853" s="4"/>
      <c r="F853" s="4"/>
      <c r="G853" s="4"/>
      <c r="H853" s="17"/>
      <c r="I853" s="40">
        <f>(H826+$B$4)*EXP(10*$I$22)</f>
        <v>0.34152155539936502</v>
      </c>
      <c r="J853" s="40">
        <f>(I826+$B$4)*EXP(10*$J$22)</f>
        <v>0.41780640003267677</v>
      </c>
      <c r="K853" s="40">
        <f>(J826+$B$4)*EXP(10*$K$22)</f>
        <v>0.52338198178420869</v>
      </c>
      <c r="L853" s="87"/>
      <c r="M853" s="87"/>
      <c r="N853" s="87"/>
      <c r="O853" s="87"/>
      <c r="P853" s="87"/>
      <c r="Q853" s="87"/>
      <c r="R853" s="87"/>
      <c r="S853" s="88">
        <f>MIN($B$8,AVERAGE(T906:T907)/(1+I853+$D$8/10000))+$B$7</f>
        <v>60.097078462658793</v>
      </c>
      <c r="T853" s="88">
        <f>MIN($B$8,AVERAGE(U904:U905)/(1+J853+$D$8/10000))+$B$7</f>
        <v>67.921705331167033</v>
      </c>
      <c r="U853" s="88">
        <f t="shared" si="33"/>
        <v>80.120658111825648</v>
      </c>
    </row>
    <row r="854" spans="1:21" x14ac:dyDescent="0.35">
      <c r="A854" s="30"/>
      <c r="B854" s="4"/>
      <c r="C854" s="4"/>
      <c r="D854" s="4"/>
      <c r="E854" s="4"/>
      <c r="F854" s="4"/>
      <c r="G854" s="4"/>
      <c r="H854" s="17"/>
      <c r="I854" s="8">
        <f>H827*EXP(10*I$22)</f>
        <v>0.34204248916111107</v>
      </c>
      <c r="J854" s="8">
        <f>I827*EXP(10*J$22)</f>
        <v>0.41843587754872835</v>
      </c>
      <c r="K854" s="8">
        <f>J827*EXP(10*K$22)</f>
        <v>0.52402507345296523</v>
      </c>
      <c r="L854" s="87"/>
      <c r="M854" s="87"/>
      <c r="N854" s="87"/>
      <c r="O854" s="87"/>
      <c r="P854" s="87"/>
      <c r="Q854" s="87"/>
      <c r="R854" s="87"/>
      <c r="S854" s="88">
        <f>MIN($B$8,AVERAGE(T908:T909)/(1+I854+$D$8/10000))+$B$7</f>
        <v>59.959830132220269</v>
      </c>
      <c r="T854" s="88">
        <f>MIN($B$8,AVERAGE(U906:U907)/(1+J854+$D$8/10000))+$B$7</f>
        <v>67.750715908948052</v>
      </c>
      <c r="U854" s="88">
        <f t="shared" si="33"/>
        <v>80.084845150024336</v>
      </c>
    </row>
    <row r="855" spans="1:21" x14ac:dyDescent="0.35">
      <c r="A855" s="30"/>
      <c r="B855" s="4"/>
      <c r="C855" s="4"/>
      <c r="D855" s="4"/>
      <c r="E855" s="4"/>
      <c r="F855" s="4"/>
      <c r="G855" s="4"/>
      <c r="H855" s="17"/>
      <c r="I855" s="40">
        <f>(H827+$B$4)*EXP(10*$I$22)</f>
        <v>0.34454213030858305</v>
      </c>
      <c r="J855" s="40">
        <f>(I827+$B$4)*EXP(10*$J$22)</f>
        <v>0.42095559602762683</v>
      </c>
      <c r="K855" s="40">
        <f>(J827+$B$4)*EXP(10*$K$22)</f>
        <v>0.52649984275545247</v>
      </c>
      <c r="L855" s="87"/>
      <c r="M855" s="87"/>
      <c r="N855" s="87"/>
      <c r="O855" s="87"/>
      <c r="P855" s="87"/>
      <c r="Q855" s="87"/>
      <c r="R855" s="87"/>
      <c r="S855" s="88">
        <f>MIN($B$8,AVERAGE(T910:T911)/(1+I855+$D$8/10000))+$B$7</f>
        <v>59.628012663640504</v>
      </c>
      <c r="T855" s="88">
        <f>MIN($B$8,AVERAGE(U908:U909)/(1+J855+$D$8/10000))+$B$7</f>
        <v>67.589036046466191</v>
      </c>
      <c r="U855" s="88">
        <f t="shared" si="33"/>
        <v>79.947342166328653</v>
      </c>
    </row>
    <row r="856" spans="1:21" x14ac:dyDescent="0.35">
      <c r="A856" s="30"/>
      <c r="B856" s="4"/>
      <c r="C856" s="4"/>
      <c r="D856" s="4"/>
      <c r="E856" s="4"/>
      <c r="F856" s="4"/>
      <c r="G856" s="4"/>
      <c r="H856" s="17"/>
      <c r="I856" s="8">
        <f>H828*EXP(10*I$22)</f>
        <v>0.33987757126652679</v>
      </c>
      <c r="J856" s="8">
        <f>I828*EXP(10*J$22)</f>
        <v>0.41627078368670883</v>
      </c>
      <c r="K856" s="8">
        <f>J828*EXP(10*K$22)</f>
        <v>0.52171931200389698</v>
      </c>
      <c r="L856" s="87"/>
      <c r="M856" s="87"/>
      <c r="N856" s="87"/>
      <c r="O856" s="87"/>
      <c r="P856" s="87"/>
      <c r="Q856" s="87"/>
      <c r="R856" s="87"/>
      <c r="S856" s="88">
        <f>MIN($B$8,AVERAGE(T912:T913)/(1+I856+$D$8/10000))+$B$7</f>
        <v>60.151475970243624</v>
      </c>
      <c r="T856" s="88">
        <f>MIN($B$8,AVERAGE(U910:U911)/(1+J856+$D$8/10000))+$B$7</f>
        <v>67.687096072197477</v>
      </c>
      <c r="U856" s="88">
        <f t="shared" si="33"/>
        <v>80.213406543010507</v>
      </c>
    </row>
    <row r="857" spans="1:21" x14ac:dyDescent="0.35">
      <c r="A857" s="30"/>
      <c r="B857" s="4"/>
      <c r="C857" s="4"/>
      <c r="D857" s="4"/>
      <c r="E857" s="4"/>
      <c r="F857" s="4"/>
      <c r="G857" s="4"/>
      <c r="H857" s="17"/>
      <c r="I857" s="40">
        <f>(H828+$B$4)*EXP(10*$I$22)</f>
        <v>0.34237721241399877</v>
      </c>
      <c r="J857" s="40">
        <f>(I828+$B$4)*EXP(10*$J$22)</f>
        <v>0.41879050216560731</v>
      </c>
      <c r="K857" s="40">
        <f>(J828+$B$4)*EXP(10*$K$22)</f>
        <v>0.52419408130638423</v>
      </c>
      <c r="L857" s="87"/>
      <c r="M857" s="87"/>
      <c r="N857" s="87"/>
      <c r="O857" s="87"/>
      <c r="P857" s="87"/>
      <c r="Q857" s="87"/>
      <c r="R857" s="87"/>
      <c r="S857" s="88">
        <f>MIN($B$8,AVERAGE(T914:T915)/(1+I857+$D$8/10000))+$B$7</f>
        <v>59.963644193216098</v>
      </c>
      <c r="T857" s="88">
        <f>MIN($B$8,AVERAGE(U912:U913)/(1+J857+$D$8/10000))+$B$7</f>
        <v>67.817463084646107</v>
      </c>
      <c r="U857" s="88">
        <f t="shared" si="33"/>
        <v>80.075438907455052</v>
      </c>
    </row>
    <row r="858" spans="1:21" x14ac:dyDescent="0.35">
      <c r="A858" s="30"/>
      <c r="B858" s="4"/>
      <c r="C858" s="4"/>
      <c r="D858" s="4"/>
      <c r="E858" s="4"/>
      <c r="F858" s="4"/>
      <c r="G858" s="4"/>
      <c r="H858" s="17"/>
      <c r="I858" s="8">
        <f>H829*EXP(10*I$22)</f>
        <v>0.34289814617574477</v>
      </c>
      <c r="J858" s="8">
        <f>I829*EXP(10*J$22)</f>
        <v>0.41941997968165889</v>
      </c>
      <c r="K858" s="8">
        <f>J829*EXP(10*K$22)</f>
        <v>0.52483717297514076</v>
      </c>
      <c r="L858" s="87"/>
      <c r="M858" s="87"/>
      <c r="N858" s="87"/>
      <c r="O858" s="87"/>
      <c r="P858" s="87"/>
      <c r="Q858" s="87"/>
      <c r="R858" s="87"/>
      <c r="S858" s="88">
        <f>MIN($B$8,AVERAGE(T916:T917)/(1+I858+$D$8/10000))+$B$7</f>
        <v>59.82686139213714</v>
      </c>
      <c r="T858" s="88">
        <f>MIN($B$8,AVERAGE(U914:U915)/(1+J858+$D$8/10000))+$B$7</f>
        <v>67.646907582371028</v>
      </c>
      <c r="U858" s="88">
        <f t="shared" si="33"/>
        <v>80.039668472141798</v>
      </c>
    </row>
    <row r="859" spans="1:21" x14ac:dyDescent="0.35">
      <c r="A859" s="30"/>
      <c r="B859" s="4"/>
      <c r="C859" s="4"/>
      <c r="D859" s="4"/>
      <c r="E859" s="4"/>
      <c r="F859" s="4"/>
      <c r="G859" s="4"/>
      <c r="H859" s="17"/>
      <c r="I859" s="40">
        <f>(H829+$B$4)*EXP(10*$I$22)</f>
        <v>0.34539778732321674</v>
      </c>
      <c r="J859" s="40">
        <f>(I829+$B$4)*EXP(10*$J$22)</f>
        <v>0.42193969816055737</v>
      </c>
      <c r="K859" s="40">
        <f>(J829+$B$4)*EXP(10*$K$22)</f>
        <v>0.52731194227762801</v>
      </c>
      <c r="L859" s="87"/>
      <c r="M859" s="87"/>
      <c r="N859" s="87"/>
      <c r="O859" s="87"/>
      <c r="P859" s="87"/>
      <c r="Q859" s="87"/>
      <c r="R859" s="87"/>
      <c r="S859" s="88">
        <f>MIN($B$8,AVERAGE(T918:T919)/(1+I859+$D$8/10000))+$B$7</f>
        <v>59.496133570220344</v>
      </c>
      <c r="T859" s="88">
        <f>MIN($B$8,AVERAGE(U916:U917)/(1+J859+$D$8/10000))+$B$7</f>
        <v>67.485622044563456</v>
      </c>
      <c r="U859" s="88">
        <f t="shared" si="33"/>
        <v>79.902328582087961</v>
      </c>
    </row>
    <row r="860" spans="1:21" x14ac:dyDescent="0.35">
      <c r="A860" s="30"/>
      <c r="B860" s="4"/>
      <c r="C860" s="4"/>
      <c r="D860" s="4"/>
      <c r="E860" s="4"/>
      <c r="F860" s="4"/>
      <c r="G860" s="4"/>
      <c r="H860" s="17"/>
      <c r="I860" s="8">
        <f>H830*EXP(10*I$22)</f>
        <v>0.34367926687726125</v>
      </c>
      <c r="J860" s="8">
        <f>I830*EXP(10*J$22)</f>
        <v>0.42007628289453575</v>
      </c>
      <c r="K860" s="8">
        <f>J830*EXP(10*K$22)</f>
        <v>0.52561607879180605</v>
      </c>
      <c r="L860" s="87"/>
      <c r="M860" s="87"/>
      <c r="N860" s="87"/>
      <c r="O860" s="87"/>
      <c r="P860" s="87"/>
      <c r="Q860" s="87"/>
      <c r="R860" s="87"/>
      <c r="S860" s="88">
        <f>MIN($B$8,AVERAGE(T920:T921)/(1+I860+$D$8/10000))+$B$7</f>
        <v>59.643248613608172</v>
      </c>
      <c r="T860" s="88">
        <f>MIN($B$8,AVERAGE(U918:U919)/(1+J860+$D$8/10000))+$B$7</f>
        <v>67.441423740068672</v>
      </c>
      <c r="U860" s="88">
        <f t="shared" si="33"/>
        <v>79.996388718706129</v>
      </c>
    </row>
    <row r="861" spans="1:21" x14ac:dyDescent="0.35">
      <c r="A861" s="30"/>
      <c r="B861" s="4"/>
      <c r="C861" s="4"/>
      <c r="D861" s="4"/>
      <c r="E861" s="4"/>
      <c r="F861" s="4"/>
      <c r="G861" s="4"/>
      <c r="H861" s="17"/>
      <c r="I861" s="40">
        <f>(H830+$B$4)*EXP(10*$I$22)</f>
        <v>0.34617890802473322</v>
      </c>
      <c r="J861" s="40">
        <f>(I830+$B$4)*EXP(10*$J$22)</f>
        <v>0.42259600137343417</v>
      </c>
      <c r="K861" s="40">
        <f>(J830+$B$4)*EXP(10*$K$22)</f>
        <v>0.5280908480942933</v>
      </c>
      <c r="L861" s="87"/>
      <c r="M861" s="87"/>
      <c r="N861" s="87"/>
      <c r="O861" s="87"/>
      <c r="P861" s="87"/>
      <c r="Q861" s="87"/>
      <c r="R861" s="87"/>
      <c r="S861" s="88">
        <f>MIN($B$8,AVERAGE(T922:T923)/(1+I861+$D$8/10000))+$B$7</f>
        <v>59.376123517053458</v>
      </c>
      <c r="T861" s="88">
        <f>MIN($B$8,AVERAGE(U920:U921)/(1+J861+$D$8/10000))+$B$7</f>
        <v>67.416797576394288</v>
      </c>
      <c r="U861" s="88">
        <f t="shared" si="33"/>
        <v>79.859204983545226</v>
      </c>
    </row>
    <row r="862" spans="1:21" x14ac:dyDescent="0.35">
      <c r="A862" s="30"/>
      <c r="B862" s="4"/>
      <c r="C862" s="4"/>
      <c r="D862" s="4"/>
      <c r="E862" s="4"/>
      <c r="F862" s="4"/>
      <c r="G862" s="4"/>
      <c r="H862" s="17"/>
      <c r="I862" s="8">
        <f>H831*EXP(10*I$22)</f>
        <v>0.34669984178647928</v>
      </c>
      <c r="J862" s="8">
        <f>I831*EXP(10*J$22)</f>
        <v>0.42322547888948575</v>
      </c>
      <c r="K862" s="8">
        <f>J831*EXP(10*K$22)</f>
        <v>0.52873393976304983</v>
      </c>
      <c r="L862" s="87"/>
      <c r="M862" s="87"/>
      <c r="N862" s="87"/>
      <c r="O862" s="87"/>
      <c r="P862" s="87"/>
      <c r="Q862" s="87"/>
      <c r="R862" s="87"/>
      <c r="S862" s="88">
        <f>MIN($B$8,AVERAGE(T924:T925)/(1+I862+$D$8/10000))+$B$7</f>
        <v>59.241385131383744</v>
      </c>
      <c r="T862" s="88">
        <f>MIN($B$8,AVERAGE(U922:U923)/(1+J862+$D$8/10000))+$B$7</f>
        <v>67.247906240270652</v>
      </c>
      <c r="U862" s="88">
        <f t="shared" si="33"/>
        <v>79.823637556747187</v>
      </c>
    </row>
    <row r="863" spans="1:21" x14ac:dyDescent="0.35">
      <c r="A863" s="30"/>
      <c r="B863" s="4"/>
      <c r="C863" s="4"/>
      <c r="D863" s="4"/>
      <c r="E863" s="4"/>
      <c r="F863" s="4"/>
      <c r="G863" s="4"/>
      <c r="H863" s="17"/>
      <c r="I863" s="40">
        <f>(H831+$B$4)*EXP(10*$I$22)</f>
        <v>0.34919948293395126</v>
      </c>
      <c r="J863" s="40">
        <f>(I831+$B$4)*EXP(10*$J$22)</f>
        <v>0.42574519736838423</v>
      </c>
      <c r="K863" s="40">
        <f>(J831+$B$4)*EXP(10*$K$22)</f>
        <v>0.53120870906553708</v>
      </c>
      <c r="L863" s="87"/>
      <c r="M863" s="87"/>
      <c r="N863" s="87"/>
      <c r="O863" s="87"/>
      <c r="P863" s="87"/>
      <c r="Q863" s="87"/>
      <c r="R863" s="87"/>
      <c r="S863" s="88">
        <f>MIN($B$8,AVERAGE(T926:T927)/(1+I863+$D$8/10000))+$B$7</f>
        <v>58.915444054420959</v>
      </c>
      <c r="T863" s="88">
        <f>MIN($B$8,AVERAGE(U924:U925)/(1+J863+$D$8/10000))+$B$7</f>
        <v>67.088133431943589</v>
      </c>
      <c r="U863" s="88">
        <f t="shared" si="33"/>
        <v>79.687076230681697</v>
      </c>
    </row>
    <row r="864" spans="1:21" x14ac:dyDescent="0.35">
      <c r="A864" s="30"/>
      <c r="B864" s="4"/>
      <c r="C864" s="4"/>
      <c r="D864" s="4"/>
      <c r="E864" s="4"/>
      <c r="F864" s="4"/>
      <c r="G864" s="4"/>
      <c r="H864" s="17"/>
      <c r="I864" s="4"/>
      <c r="J864" s="8">
        <f>I832*EXP(10*J$22)</f>
        <v>0.4149082999630343</v>
      </c>
      <c r="K864" s="8">
        <f>J832*EXP(10*K$22)</f>
        <v>0.50190001032047193</v>
      </c>
      <c r="L864" s="87"/>
      <c r="M864" s="87"/>
      <c r="N864" s="87"/>
      <c r="O864" s="87"/>
      <c r="P864" s="87"/>
      <c r="Q864" s="87"/>
      <c r="R864" s="87"/>
      <c r="S864" s="87"/>
      <c r="T864" s="88">
        <f>MIN($B$8,AVERAGE(U926:U927)/(1+J864+$D$8/10000))+$B$7</f>
        <v>67.494210496914775</v>
      </c>
      <c r="U864" s="88">
        <f t="shared" ref="U864:U927" si="37">MIN($B$8,((100+$B$7)/(1+K864+$D$8/10000)))+$B$7</f>
        <v>81.336644334606902</v>
      </c>
    </row>
    <row r="865" spans="1:21" x14ac:dyDescent="0.35">
      <c r="A865" s="30"/>
      <c r="B865" s="4"/>
      <c r="C865" s="4"/>
      <c r="D865" s="4"/>
      <c r="E865" s="4"/>
      <c r="F865" s="4"/>
      <c r="G865" s="4"/>
      <c r="H865" s="17"/>
      <c r="I865" s="38"/>
      <c r="J865" s="40">
        <f>(I832+$B$4)*EXP(10*$J$22)</f>
        <v>0.41742801844193278</v>
      </c>
      <c r="K865" s="40">
        <f>(J832+$B$4)*EXP(10*$K$22)</f>
        <v>0.50437477962295918</v>
      </c>
      <c r="L865" s="87"/>
      <c r="M865" s="87"/>
      <c r="N865" s="87"/>
      <c r="O865" s="87"/>
      <c r="P865" s="87"/>
      <c r="Q865" s="87"/>
      <c r="R865" s="87"/>
      <c r="S865" s="87"/>
      <c r="T865" s="88">
        <f>MIN($B$8,AVERAGE(U928:U929)/(1+J865+$D$8/10000))+$B$7</f>
        <v>67.961855200254206</v>
      </c>
      <c r="U865" s="88">
        <f t="shared" si="37"/>
        <v>81.194583770519799</v>
      </c>
    </row>
    <row r="866" spans="1:21" x14ac:dyDescent="0.35">
      <c r="A866" s="30"/>
      <c r="B866" s="4"/>
      <c r="C866" s="4"/>
      <c r="D866" s="4"/>
      <c r="E866" s="4"/>
      <c r="F866" s="4"/>
      <c r="G866" s="4"/>
      <c r="H866" s="17"/>
      <c r="J866" s="8">
        <f>I833*EXP(10*J$22)</f>
        <v>0.41805749595798436</v>
      </c>
      <c r="K866" s="8">
        <f>J833*EXP(10*K$22)</f>
        <v>0.50501787129171571</v>
      </c>
      <c r="L866" s="87"/>
      <c r="M866" s="87"/>
      <c r="N866" s="87"/>
      <c r="O866" s="87"/>
      <c r="P866" s="87"/>
      <c r="Q866" s="87"/>
      <c r="R866" s="87"/>
      <c r="S866" s="87"/>
      <c r="T866" s="88">
        <f>MIN($B$8,AVERAGE(U930:U931)/(1+J866+$D$8/10000))+$B$7</f>
        <v>67.58253755563797</v>
      </c>
      <c r="U866" s="88">
        <f t="shared" si="37"/>
        <v>81.157753411887384</v>
      </c>
    </row>
    <row r="867" spans="1:21" x14ac:dyDescent="0.35">
      <c r="A867" s="30"/>
      <c r="B867" s="4"/>
      <c r="C867" s="4"/>
      <c r="D867" s="4"/>
      <c r="E867" s="4"/>
      <c r="F867" s="4"/>
      <c r="G867" s="4"/>
      <c r="H867" s="17"/>
      <c r="J867" s="40">
        <f>(I833+$B$4)*EXP(10*$J$22)</f>
        <v>0.42057721443688284</v>
      </c>
      <c r="K867" s="40">
        <f>(J833+$B$4)*EXP(10*$K$22)</f>
        <v>0.50749264059420296</v>
      </c>
      <c r="L867" s="87"/>
      <c r="M867" s="87"/>
      <c r="N867" s="87"/>
      <c r="O867" s="87"/>
      <c r="P867" s="87"/>
      <c r="Q867" s="87"/>
      <c r="R867" s="87"/>
      <c r="S867" s="87"/>
      <c r="T867" s="88">
        <f>MIN($B$8,AVERAGE(U932:U933)/(1+J867+$D$8/10000))+$B$7</f>
        <v>67.628866722137587</v>
      </c>
      <c r="U867" s="88">
        <f t="shared" si="37"/>
        <v>81.016348700402915</v>
      </c>
    </row>
    <row r="868" spans="1:21" x14ac:dyDescent="0.35">
      <c r="A868" s="30"/>
      <c r="B868" s="4"/>
      <c r="C868" s="4"/>
      <c r="D868" s="4"/>
      <c r="E868" s="4"/>
      <c r="F868" s="4"/>
      <c r="G868" s="4"/>
      <c r="H868" s="17"/>
      <c r="J868" s="8">
        <f>I834*EXP(10*J$22)</f>
        <v>0.4187137991708611</v>
      </c>
      <c r="K868" s="8">
        <f>J834*EXP(10*K$22)</f>
        <v>0.505796777108381</v>
      </c>
      <c r="L868" s="87"/>
      <c r="M868" s="87"/>
      <c r="N868" s="87"/>
      <c r="O868" s="87"/>
      <c r="P868" s="87"/>
      <c r="Q868" s="87"/>
      <c r="R868" s="87"/>
      <c r="S868" s="87"/>
      <c r="T868" s="88">
        <f>MIN($B$8,AVERAGE(U934:U935)/(1+J868+$D$8/10000))+$B$7</f>
        <v>67.58449061058414</v>
      </c>
      <c r="U868" s="88">
        <f t="shared" si="37"/>
        <v>81.113191905699622</v>
      </c>
    </row>
    <row r="869" spans="1:21" x14ac:dyDescent="0.35">
      <c r="A869" s="30"/>
      <c r="B869" s="4"/>
      <c r="C869" s="4"/>
      <c r="D869" s="4"/>
      <c r="E869" s="4"/>
      <c r="F869" s="4"/>
      <c r="G869" s="4"/>
      <c r="H869" s="17"/>
      <c r="J869" s="40">
        <f>(I834+$B$4)*EXP(10*$J$22)</f>
        <v>0.42123351764975958</v>
      </c>
      <c r="K869" s="40">
        <f>(J834+$B$4)*EXP(10*$K$22)</f>
        <v>0.50827154641086814</v>
      </c>
      <c r="L869" s="87"/>
      <c r="M869" s="87"/>
      <c r="N869" s="87"/>
      <c r="O869" s="87"/>
      <c r="P869" s="87"/>
      <c r="Q869" s="87"/>
      <c r="R869" s="87"/>
      <c r="S869" s="87"/>
      <c r="T869" s="88">
        <f>MIN($B$8,AVERAGE(U936:U937)/(1+J869+$D$8/10000))+$B$7</f>
        <v>67.559804665523302</v>
      </c>
      <c r="U869" s="88">
        <f t="shared" si="37"/>
        <v>80.971950330638904</v>
      </c>
    </row>
    <row r="870" spans="1:21" x14ac:dyDescent="0.35">
      <c r="A870" s="30"/>
      <c r="B870" s="4"/>
      <c r="C870" s="4"/>
      <c r="D870" s="4"/>
      <c r="E870" s="4"/>
      <c r="F870" s="4"/>
      <c r="G870" s="4"/>
      <c r="H870" s="17"/>
      <c r="J870" s="8">
        <f>I835*EXP(10*J$22)</f>
        <v>0.42186299516581111</v>
      </c>
      <c r="K870" s="8">
        <f>J835*EXP(10*K$22)</f>
        <v>0.50891463807962478</v>
      </c>
      <c r="L870" s="87"/>
      <c r="M870" s="87"/>
      <c r="N870" s="87"/>
      <c r="O870" s="87"/>
      <c r="P870" s="87"/>
      <c r="Q870" s="87"/>
      <c r="R870" s="87"/>
      <c r="S870" s="87"/>
      <c r="T870" s="88">
        <f>MIN($B$8,AVERAGE(U938:U939)/(1+J870+$D$8/10000))+$B$7</f>
        <v>67.390320013867012</v>
      </c>
      <c r="U870" s="88">
        <f t="shared" si="37"/>
        <v>80.935332056846505</v>
      </c>
    </row>
    <row r="871" spans="1:21" x14ac:dyDescent="0.35">
      <c r="A871" s="30"/>
      <c r="B871" s="4"/>
      <c r="C871" s="4"/>
      <c r="D871" s="4"/>
      <c r="E871" s="4"/>
      <c r="F871" s="4"/>
      <c r="G871" s="4"/>
      <c r="H871" s="17"/>
      <c r="J871" s="40">
        <f>(I835+$B$4)*EXP(10*$J$22)</f>
        <v>0.42438271364470953</v>
      </c>
      <c r="K871" s="40">
        <f>(J835+$B$4)*EXP(10*$K$22)</f>
        <v>0.51138940738211192</v>
      </c>
      <c r="L871" s="87"/>
      <c r="M871" s="87"/>
      <c r="N871" s="87"/>
      <c r="O871" s="87"/>
      <c r="P871" s="87"/>
      <c r="Q871" s="87"/>
      <c r="R871" s="87"/>
      <c r="S871" s="87"/>
      <c r="T871" s="88">
        <f>MIN($B$8,AVERAGE(U940:U941)/(1+J871+$D$8/10000))+$B$7</f>
        <v>67.230007804457017</v>
      </c>
      <c r="U871" s="88">
        <f t="shared" si="37"/>
        <v>80.794740677519115</v>
      </c>
    </row>
    <row r="872" spans="1:21" x14ac:dyDescent="0.35">
      <c r="A872" s="30"/>
      <c r="B872" s="4"/>
      <c r="C872" s="4"/>
      <c r="D872" s="4"/>
      <c r="E872" s="4"/>
      <c r="F872" s="4"/>
      <c r="G872" s="4"/>
      <c r="H872" s="17"/>
      <c r="J872" s="8">
        <f>I836*EXP(10*J$22)</f>
        <v>0.4196979013037917</v>
      </c>
      <c r="K872" s="8">
        <f>J836*EXP(10*K$22)</f>
        <v>0.50660887663055654</v>
      </c>
      <c r="L872" s="87"/>
      <c r="M872" s="87"/>
      <c r="N872" s="87"/>
      <c r="O872" s="87"/>
      <c r="P872" s="87"/>
      <c r="Q872" s="87"/>
      <c r="R872" s="87"/>
      <c r="S872" s="87"/>
      <c r="T872" s="88">
        <f>MIN($B$8,AVERAGE(U942:U943)/(1+J872+$D$8/10000))+$B$7</f>
        <v>67.327324885253432</v>
      </c>
      <c r="U872" s="88">
        <f t="shared" si="37"/>
        <v>81.06678615057109</v>
      </c>
    </row>
    <row r="873" spans="1:21" x14ac:dyDescent="0.35">
      <c r="A873" s="30"/>
      <c r="B873" s="4"/>
      <c r="C873" s="4"/>
      <c r="D873" s="4"/>
      <c r="E873" s="4"/>
      <c r="F873" s="4"/>
      <c r="G873" s="4"/>
      <c r="H873" s="17"/>
      <c r="J873" s="40">
        <f>(I836+$B$4)*EXP(10*$J$22)</f>
        <v>0.42221761978269018</v>
      </c>
      <c r="K873" s="40">
        <f>(J836+$B$4)*EXP(10*$K$22)</f>
        <v>0.50908364593304367</v>
      </c>
      <c r="L873" s="87"/>
      <c r="M873" s="87"/>
      <c r="N873" s="87"/>
      <c r="O873" s="87"/>
      <c r="P873" s="87"/>
      <c r="Q873" s="87"/>
      <c r="R873" s="87"/>
      <c r="S873" s="87"/>
      <c r="T873" s="88">
        <f>MIN($B$8,AVERAGE(U944:U945)/(1+J873+$D$8/10000))+$B$7</f>
        <v>67.456463333032673</v>
      </c>
      <c r="U873" s="88">
        <f t="shared" si="37"/>
        <v>80.925714363693999</v>
      </c>
    </row>
    <row r="874" spans="1:21" x14ac:dyDescent="0.35">
      <c r="A874" s="30"/>
      <c r="B874" s="4"/>
      <c r="C874" s="4"/>
      <c r="D874" s="4"/>
      <c r="E874" s="4"/>
      <c r="F874" s="4"/>
      <c r="G874" s="4"/>
      <c r="H874" s="17"/>
      <c r="J874" s="8">
        <f>I837*EXP(10*J$22)</f>
        <v>0.42284709729874176</v>
      </c>
      <c r="K874" s="8">
        <f>J837*EXP(10*K$22)</f>
        <v>0.50972673760180032</v>
      </c>
      <c r="L874" s="87"/>
      <c r="M874" s="87"/>
      <c r="N874" s="87"/>
      <c r="O874" s="87"/>
      <c r="P874" s="87"/>
      <c r="Q874" s="87"/>
      <c r="R874" s="87"/>
      <c r="S874" s="87"/>
      <c r="T874" s="88">
        <f>MIN($B$8,AVERAGE(U946:U947)/(1+J874+$D$8/10000))+$B$7</f>
        <v>67.287407503529778</v>
      </c>
      <c r="U874" s="88">
        <f t="shared" si="37"/>
        <v>80.889140058400201</v>
      </c>
    </row>
    <row r="875" spans="1:21" x14ac:dyDescent="0.35">
      <c r="A875" s="30"/>
      <c r="B875" s="4"/>
      <c r="C875" s="4"/>
      <c r="D875" s="4"/>
      <c r="E875" s="4"/>
      <c r="F875" s="4"/>
      <c r="G875" s="4"/>
      <c r="H875" s="17"/>
      <c r="J875" s="40">
        <f>(I837+$B$4)*EXP(10*$J$22)</f>
        <v>0.42536681577764024</v>
      </c>
      <c r="K875" s="40">
        <f>(J837+$B$4)*EXP(10*$K$22)</f>
        <v>0.51220150690428745</v>
      </c>
      <c r="L875" s="87"/>
      <c r="M875" s="87"/>
      <c r="N875" s="87"/>
      <c r="O875" s="87"/>
      <c r="P875" s="87"/>
      <c r="Q875" s="87"/>
      <c r="R875" s="87"/>
      <c r="S875" s="87"/>
      <c r="T875" s="88">
        <f>MIN($B$8,AVERAGE(U948:U949)/(1+J875+$D$8/10000))+$B$7</f>
        <v>67.127485140798171</v>
      </c>
      <c r="U875" s="88">
        <f t="shared" si="37"/>
        <v>80.748717296544712</v>
      </c>
    </row>
    <row r="876" spans="1:21" x14ac:dyDescent="0.35">
      <c r="A876" s="30"/>
      <c r="B876" s="4"/>
      <c r="C876" s="4"/>
      <c r="D876" s="4"/>
      <c r="E876" s="4"/>
      <c r="F876" s="4"/>
      <c r="G876" s="4"/>
      <c r="H876" s="17"/>
      <c r="J876" s="8">
        <f>I838*EXP(10*J$22)</f>
        <v>0.42350340051161856</v>
      </c>
      <c r="K876" s="8">
        <f>J838*EXP(10*K$22)</f>
        <v>0.51050564341846549</v>
      </c>
      <c r="L876" s="87"/>
      <c r="M876" s="87"/>
      <c r="N876" s="87"/>
      <c r="O876" s="87"/>
      <c r="P876" s="87"/>
      <c r="Q876" s="87"/>
      <c r="R876" s="87"/>
      <c r="S876" s="87"/>
      <c r="T876" s="88">
        <f>MIN($B$8,AVERAGE(U950:U951)/(1+J876+$D$8/10000))+$B$7</f>
        <v>67.083730035439942</v>
      </c>
      <c r="U876" s="88">
        <f t="shared" si="37"/>
        <v>80.844888191801957</v>
      </c>
    </row>
    <row r="877" spans="1:21" x14ac:dyDescent="0.35">
      <c r="A877" s="30"/>
      <c r="B877" s="4"/>
      <c r="C877" s="4"/>
      <c r="D877" s="4"/>
      <c r="E877" s="4"/>
      <c r="F877" s="4"/>
      <c r="G877" s="4"/>
      <c r="H877" s="17"/>
      <c r="J877" s="40">
        <f>(I838+$B$4)*EXP(10*$J$22)</f>
        <v>0.42602311899051704</v>
      </c>
      <c r="K877" s="40">
        <f>(J838+$B$4)*EXP(10*$K$22)</f>
        <v>0.51298041272095263</v>
      </c>
      <c r="L877" s="87"/>
      <c r="M877" s="87"/>
      <c r="N877" s="87"/>
      <c r="O877" s="87"/>
      <c r="P877" s="87"/>
      <c r="Q877" s="87"/>
      <c r="R877" s="87"/>
      <c r="S877" s="87"/>
      <c r="T877" s="88">
        <f>MIN($B$8,AVERAGE(U952:U953)/(1+J877+$D$8/10000))+$B$7</f>
        <v>67.05925346162627</v>
      </c>
      <c r="U877" s="88">
        <f t="shared" si="37"/>
        <v>80.704626870519093</v>
      </c>
    </row>
    <row r="878" spans="1:21" x14ac:dyDescent="0.35">
      <c r="A878" s="30"/>
      <c r="B878" s="4"/>
      <c r="C878" s="4"/>
      <c r="D878" s="4"/>
      <c r="E878" s="4"/>
      <c r="F878" s="4"/>
      <c r="G878" s="4"/>
      <c r="H878" s="17"/>
      <c r="J878" s="8">
        <f>I839*EXP(10*J$22)</f>
        <v>0.42665259650656862</v>
      </c>
      <c r="K878" s="8">
        <f>J839*EXP(10*K$22)</f>
        <v>0.51362350438970927</v>
      </c>
      <c r="L878" s="87"/>
      <c r="M878" s="87"/>
      <c r="N878" s="87"/>
      <c r="O878" s="87"/>
      <c r="P878" s="87"/>
      <c r="Q878" s="87"/>
      <c r="R878" s="87"/>
      <c r="S878" s="87"/>
      <c r="T878" s="88">
        <f>MIN($B$8,AVERAGE(U954:U955)/(1+J878+$D$8/10000))+$B$7</f>
        <v>66.891842287636081</v>
      </c>
      <c r="U878" s="88">
        <f t="shared" si="37"/>
        <v>80.668262445377451</v>
      </c>
    </row>
    <row r="879" spans="1:21" x14ac:dyDescent="0.35">
      <c r="A879" s="30"/>
      <c r="B879" s="4"/>
      <c r="C879" s="4"/>
      <c r="D879" s="4"/>
      <c r="E879" s="4"/>
      <c r="F879" s="4"/>
      <c r="G879" s="4"/>
      <c r="H879" s="17"/>
      <c r="J879" s="40">
        <f>(I839+$B$4)*EXP(10*$J$22)</f>
        <v>0.4291723149854671</v>
      </c>
      <c r="K879" s="40">
        <f>(J839+$B$4)*EXP(10*$K$22)</f>
        <v>0.51609827369219652</v>
      </c>
      <c r="L879" s="87"/>
      <c r="M879" s="87"/>
      <c r="N879" s="87"/>
      <c r="O879" s="87"/>
      <c r="P879" s="87"/>
      <c r="Q879" s="87"/>
      <c r="R879" s="87"/>
      <c r="S879" s="87"/>
      <c r="T879" s="88">
        <f t="array" ref="T879">MIN($B$8,AVERAGE(U956:U957/(1+J879+$D$8/10000))+$B$7)</f>
        <v>66.733415510350724</v>
      </c>
      <c r="U879" s="88">
        <f t="shared" si="37"/>
        <v>80.528644570517613</v>
      </c>
    </row>
    <row r="880" spans="1:21" x14ac:dyDescent="0.35">
      <c r="A880" s="30"/>
      <c r="B880" s="4"/>
      <c r="C880" s="4"/>
      <c r="D880" s="4"/>
      <c r="E880" s="4"/>
      <c r="F880" s="4"/>
      <c r="G880" s="4"/>
      <c r="H880" s="17"/>
      <c r="J880" s="8">
        <f>I840*EXP(10*J$22)</f>
        <v>0.42077590869947751</v>
      </c>
      <c r="K880" s="8">
        <f>J840*EXP(10*K$22)</f>
        <v>0.50782658950510096</v>
      </c>
      <c r="L880" s="87"/>
      <c r="M880" s="87"/>
      <c r="N880" s="87"/>
      <c r="O880" s="87"/>
      <c r="P880" s="87"/>
      <c r="Q880" s="87"/>
      <c r="R880" s="87"/>
      <c r="S880" s="87"/>
      <c r="T880" s="88">
        <f>MIN($B$8,AVERAGE(U958:U959)/(1+J880+$D$8/10000))+$B$7</f>
        <v>67.014251001161114</v>
      </c>
      <c r="U880" s="88">
        <f t="shared" si="37"/>
        <v>80.997307025189059</v>
      </c>
    </row>
    <row r="881" spans="1:21" x14ac:dyDescent="0.35">
      <c r="A881" s="30"/>
      <c r="B881" s="4"/>
      <c r="C881" s="4"/>
      <c r="D881" s="4"/>
      <c r="E881" s="4"/>
      <c r="F881" s="4"/>
      <c r="G881" s="4"/>
      <c r="H881" s="17"/>
      <c r="J881" s="40">
        <f>(I840+$B$4)*EXP(10*$J$22)</f>
        <v>0.42329562717837599</v>
      </c>
      <c r="K881" s="40">
        <f>(J840+$B$4)*EXP(10*$K$22)</f>
        <v>0.51030135880758809</v>
      </c>
      <c r="L881" s="87"/>
      <c r="M881" s="87"/>
      <c r="N881" s="87"/>
      <c r="O881" s="87"/>
      <c r="P881" s="87"/>
      <c r="Q881" s="87"/>
      <c r="R881" s="87"/>
      <c r="S881" s="87"/>
      <c r="T881" s="88">
        <f>MIN($B$8,AVERAGE(U960:U961)/(1+J881+$D$8/10000))+$B$7</f>
        <v>67.343555592931139</v>
      </c>
      <c r="U881" s="88">
        <f t="shared" si="37"/>
        <v>80.856489256205208</v>
      </c>
    </row>
    <row r="882" spans="1:21" x14ac:dyDescent="0.35">
      <c r="A882" s="30"/>
      <c r="B882" s="4"/>
      <c r="C882" s="4"/>
      <c r="D882" s="4"/>
      <c r="E882" s="4"/>
      <c r="F882" s="4"/>
      <c r="G882" s="4"/>
      <c r="H882" s="17"/>
      <c r="J882" s="8">
        <f>I841*EXP(10*J$22)</f>
        <v>0.42392510469442757</v>
      </c>
      <c r="K882" s="8">
        <f>J841*EXP(10*K$22)</f>
        <v>0.51094445047634474</v>
      </c>
      <c r="L882" s="87"/>
      <c r="M882" s="87"/>
      <c r="N882" s="87"/>
      <c r="O882" s="87"/>
      <c r="P882" s="87"/>
      <c r="Q882" s="87"/>
      <c r="R882" s="87"/>
      <c r="S882" s="87"/>
      <c r="T882" s="88">
        <f>MIN($B$8,AVERAGE(U962:U963)/(1+J882+$D$8/10000))+$B$7</f>
        <v>67.174967840893501</v>
      </c>
      <c r="U882" s="88">
        <f t="shared" si="37"/>
        <v>80.819980731781385</v>
      </c>
    </row>
    <row r="883" spans="1:21" x14ac:dyDescent="0.35">
      <c r="A883" s="30"/>
      <c r="B883" s="4"/>
      <c r="C883" s="4"/>
      <c r="D883" s="4"/>
      <c r="E883" s="4"/>
      <c r="F883" s="4"/>
      <c r="G883" s="4"/>
      <c r="H883" s="17"/>
      <c r="J883" s="40">
        <f>(I841+$B$4)*EXP(10*$J$22)</f>
        <v>0.42644482317332605</v>
      </c>
      <c r="K883" s="40">
        <f>(J841+$B$4)*EXP(10*$K$22)</f>
        <v>0.51341921977883187</v>
      </c>
      <c r="L883" s="87"/>
      <c r="M883" s="87"/>
      <c r="N883" s="87"/>
      <c r="O883" s="87"/>
      <c r="P883" s="87"/>
      <c r="Q883" s="87"/>
      <c r="R883" s="87"/>
      <c r="S883" s="87"/>
      <c r="T883" s="88">
        <f>MIN($B$8,AVERAGE(U964:U965)/(1+J883+$D$8/10000))+$B$7</f>
        <v>67.015471062877538</v>
      </c>
      <c r="U883" s="88">
        <f t="shared" si="37"/>
        <v>80.679810237641746</v>
      </c>
    </row>
    <row r="884" spans="1:21" x14ac:dyDescent="0.35">
      <c r="A884" s="30"/>
      <c r="B884" s="4"/>
      <c r="C884" s="4"/>
      <c r="D884" s="4"/>
      <c r="E884" s="4"/>
      <c r="F884" s="4"/>
      <c r="G884" s="4"/>
      <c r="H884" s="17"/>
      <c r="J884" s="8">
        <f>I842*EXP(10*J$22)</f>
        <v>0.42458140790730431</v>
      </c>
      <c r="K884" s="8">
        <f>J842*EXP(10*K$22)</f>
        <v>0.51172335629300991</v>
      </c>
      <c r="L884" s="87"/>
      <c r="M884" s="87"/>
      <c r="N884" s="87"/>
      <c r="O884" s="87"/>
      <c r="P884" s="87"/>
      <c r="Q884" s="87"/>
      <c r="R884" s="87"/>
      <c r="S884" s="87"/>
      <c r="T884" s="88">
        <f>MIN($B$8,AVERAGE(U966:U967)/(1+J884+$D$8/10000))+$B$7</f>
        <v>66.971854180262596</v>
      </c>
      <c r="U884" s="88">
        <f t="shared" si="37"/>
        <v>80.775808412797147</v>
      </c>
    </row>
    <row r="885" spans="1:21" x14ac:dyDescent="0.35">
      <c r="A885" s="30"/>
      <c r="B885" s="4"/>
      <c r="C885" s="4"/>
      <c r="D885" s="4"/>
      <c r="E885" s="4"/>
      <c r="F885" s="4"/>
      <c r="G885" s="4"/>
      <c r="H885" s="17"/>
      <c r="J885" s="40">
        <f>(I842+$B$4)*EXP(10*$J$22)</f>
        <v>0.42710112638620279</v>
      </c>
      <c r="K885" s="40">
        <f>(J842+$B$4)*EXP(10*$K$22)</f>
        <v>0.51419812559549705</v>
      </c>
      <c r="L885" s="87"/>
      <c r="M885" s="87"/>
      <c r="N885" s="87"/>
      <c r="O885" s="87"/>
      <c r="P885" s="87"/>
      <c r="Q885" s="87"/>
      <c r="R885" s="87"/>
      <c r="S885" s="87"/>
      <c r="T885" s="88">
        <f>MIN($B$8,AVERAGE(U968:U969)/(1+J885+$D$8/10000))+$B$7</f>
        <v>66.947424430126773</v>
      </c>
      <c r="U885" s="88">
        <f t="shared" si="37"/>
        <v>80.635798924511334</v>
      </c>
    </row>
    <row r="886" spans="1:21" x14ac:dyDescent="0.35">
      <c r="A886" s="30"/>
      <c r="B886" s="4"/>
      <c r="C886" s="4"/>
      <c r="D886" s="4"/>
      <c r="E886" s="4"/>
      <c r="F886" s="4"/>
      <c r="G886" s="4"/>
      <c r="H886" s="17"/>
      <c r="J886" s="8">
        <f>I843*EXP(10*J$22)</f>
        <v>0.42773060390225437</v>
      </c>
      <c r="K886" s="8">
        <f>J843*EXP(10*K$22)</f>
        <v>0.51484121726425369</v>
      </c>
      <c r="L886" s="87"/>
      <c r="M886" s="87"/>
      <c r="N886" s="87"/>
      <c r="O886" s="87"/>
      <c r="P886" s="87"/>
      <c r="Q886" s="87"/>
      <c r="R886" s="87"/>
      <c r="S886" s="87"/>
      <c r="T886" s="88">
        <f>MIN($B$8,AVERAGE(U970:U971)/(1+J886+$D$8/10000))+$B$7</f>
        <v>66.780475255785518</v>
      </c>
      <c r="U886" s="88">
        <f t="shared" si="37"/>
        <v>80.59949971508432</v>
      </c>
    </row>
    <row r="887" spans="1:21" x14ac:dyDescent="0.35">
      <c r="A887" s="30"/>
      <c r="B887" s="4"/>
      <c r="C887" s="4"/>
      <c r="D887" s="4"/>
      <c r="E887" s="4"/>
      <c r="F887" s="4"/>
      <c r="G887" s="4"/>
      <c r="H887" s="17"/>
      <c r="J887" s="40">
        <f>(I843+$B$4)*EXP(10*$J$22)</f>
        <v>0.43025032238115279</v>
      </c>
      <c r="K887" s="40">
        <f>(J843+$B$4)*EXP(10*$K$22)</f>
        <v>0.51731598656674094</v>
      </c>
      <c r="L887" s="87"/>
      <c r="M887" s="87"/>
      <c r="N887" s="87"/>
      <c r="O887" s="87"/>
      <c r="P887" s="87"/>
      <c r="Q887" s="87"/>
      <c r="R887" s="87"/>
      <c r="S887" s="87"/>
      <c r="T887" s="88">
        <f>MIN($B$8,AVERAGE(U972:U973)/(1+J887+$D$8/10000))+$B$7</f>
        <v>66.622468721008332</v>
      </c>
      <c r="U887" s="88">
        <f t="shared" si="37"/>
        <v>80.460131943064226</v>
      </c>
    </row>
    <row r="888" spans="1:21" x14ac:dyDescent="0.35">
      <c r="A888" s="30"/>
      <c r="B888" s="4"/>
      <c r="C888" s="4"/>
      <c r="D888" s="4"/>
      <c r="E888" s="4"/>
      <c r="F888" s="4"/>
      <c r="G888" s="4"/>
      <c r="H888" s="17"/>
      <c r="J888" s="8">
        <f>I844*EXP(10*J$22)</f>
        <v>0.42556551004023496</v>
      </c>
      <c r="K888" s="8">
        <f>J844*EXP(10*K$22)</f>
        <v>0.51253545581518545</v>
      </c>
      <c r="L888" s="87"/>
      <c r="M888" s="87"/>
      <c r="N888" s="87"/>
      <c r="O888" s="87"/>
      <c r="P888" s="87"/>
      <c r="Q888" s="87"/>
      <c r="R888" s="87"/>
      <c r="S888" s="87"/>
      <c r="T888" s="88">
        <f>MIN($B$8,AVERAGE(U974:U975)/(1+J888+$D$8/10000))+$B$7</f>
        <v>66.718531303009655</v>
      </c>
      <c r="U888" s="88">
        <f t="shared" si="37"/>
        <v>80.72980771458603</v>
      </c>
    </row>
    <row r="889" spans="1:21" x14ac:dyDescent="0.35">
      <c r="A889" s="30"/>
      <c r="B889" s="4"/>
      <c r="C889" s="4"/>
      <c r="D889" s="4"/>
      <c r="E889" s="4"/>
      <c r="F889" s="4"/>
      <c r="G889" s="4"/>
      <c r="H889" s="17"/>
      <c r="J889" s="40">
        <f>(I844+$B$4)*EXP(10*$J$22)</f>
        <v>0.42808522851913344</v>
      </c>
      <c r="K889" s="40">
        <f>(J844+$B$4)*EXP(10*$K$22)</f>
        <v>0.51501022511767258</v>
      </c>
      <c r="L889" s="87"/>
      <c r="M889" s="87"/>
      <c r="N889" s="87"/>
      <c r="O889" s="87"/>
      <c r="P889" s="87"/>
      <c r="Q889" s="87"/>
      <c r="R889" s="87"/>
      <c r="S889" s="87"/>
      <c r="T889" s="88">
        <f>MIN($B$8,AVERAGE(U976:U977)/(1+J889+$D$8/10000))+$B$7</f>
        <v>66.845601466257918</v>
      </c>
      <c r="U889" s="88">
        <f t="shared" si="37"/>
        <v>80.589965798336479</v>
      </c>
    </row>
    <row r="890" spans="1:21" x14ac:dyDescent="0.35">
      <c r="A890" s="30"/>
      <c r="B890" s="4"/>
      <c r="C890" s="4"/>
      <c r="D890" s="4"/>
      <c r="E890" s="4"/>
      <c r="F890" s="4"/>
      <c r="G890" s="4"/>
      <c r="H890" s="17"/>
      <c r="J890" s="8">
        <f>I845*EXP(10*J$22)</f>
        <v>0.42871470603518502</v>
      </c>
      <c r="K890" s="8">
        <f>J845*EXP(10*K$22)</f>
        <v>0.51565331678642923</v>
      </c>
      <c r="L890" s="87"/>
      <c r="M890" s="87"/>
      <c r="N890" s="87"/>
      <c r="O890" s="87"/>
      <c r="P890" s="87"/>
      <c r="Q890" s="87"/>
      <c r="R890" s="87"/>
      <c r="S890" s="87"/>
      <c r="T890" s="88">
        <f>MIN($B$8,AVERAGE(U978:U979)/(1+J890+$D$8/10000))+$B$7</f>
        <v>66.679072559002094</v>
      </c>
      <c r="U890" s="88">
        <f t="shared" si="37"/>
        <v>80.553709984169259</v>
      </c>
    </row>
    <row r="891" spans="1:21" x14ac:dyDescent="0.35">
      <c r="A891" s="30"/>
      <c r="B891" s="4"/>
      <c r="C891" s="4"/>
      <c r="D891" s="4"/>
      <c r="E891" s="4"/>
      <c r="F891" s="4"/>
      <c r="G891" s="4"/>
      <c r="H891" s="17"/>
      <c r="J891" s="40">
        <f>(I845+$B$4)*EXP(10*$J$22)</f>
        <v>0.4312344245140835</v>
      </c>
      <c r="K891" s="40">
        <f>(J845+$B$4)*EXP(10*$K$22)</f>
        <v>0.51812808608891647</v>
      </c>
      <c r="L891" s="87"/>
      <c r="M891" s="87"/>
      <c r="N891" s="87"/>
      <c r="O891" s="87"/>
      <c r="P891" s="87"/>
      <c r="Q891" s="87"/>
      <c r="R891" s="87"/>
      <c r="S891" s="87"/>
      <c r="T891" s="88">
        <f>MIN($B$8,AVERAGE(U980:U981)/(1+J891+$D$8/10000))+$B$7</f>
        <v>66.521448351278593</v>
      </c>
      <c r="U891" s="88">
        <f t="shared" si="37"/>
        <v>80.414508633780329</v>
      </c>
    </row>
    <row r="892" spans="1:21" x14ac:dyDescent="0.35">
      <c r="A892" s="30"/>
      <c r="B892" s="4"/>
      <c r="C892" s="4"/>
      <c r="D892" s="4"/>
      <c r="E892" s="4"/>
      <c r="F892" s="4"/>
      <c r="G892" s="4"/>
      <c r="H892" s="17"/>
      <c r="J892" s="8">
        <f>I846*EXP(10*J$22)</f>
        <v>0.42937100924806176</v>
      </c>
      <c r="K892" s="8">
        <f>J846*EXP(10*K$22)</f>
        <v>0.5164322226030944</v>
      </c>
      <c r="L892" s="87"/>
      <c r="M892" s="87"/>
      <c r="N892" s="87"/>
      <c r="O892" s="87"/>
      <c r="P892" s="87"/>
      <c r="Q892" s="87"/>
      <c r="R892" s="87"/>
      <c r="S892" s="87"/>
      <c r="T892" s="88">
        <f>MIN($B$8,AVERAGE(U982:U983)/(1+J892+$D$8/10000))+$B$7</f>
        <v>66.47843882646346</v>
      </c>
      <c r="U892" s="88">
        <f t="shared" si="37"/>
        <v>80.509843264169504</v>
      </c>
    </row>
    <row r="893" spans="1:21" x14ac:dyDescent="0.35">
      <c r="A893" s="30"/>
      <c r="B893" s="4"/>
      <c r="C893" s="4"/>
      <c r="D893" s="4"/>
      <c r="E893" s="4"/>
      <c r="F893" s="4"/>
      <c r="G893" s="4"/>
      <c r="H893" s="17"/>
      <c r="J893" s="40">
        <f>(I846+$B$4)*EXP(10*$J$22)</f>
        <v>0.43189072772696024</v>
      </c>
      <c r="K893" s="40">
        <f>(J846+$B$4)*EXP(10*$K$22)</f>
        <v>0.51890699190558165</v>
      </c>
      <c r="L893" s="87"/>
      <c r="M893" s="87"/>
      <c r="N893" s="87"/>
      <c r="O893" s="87"/>
      <c r="P893" s="87"/>
      <c r="Q893" s="87"/>
      <c r="R893" s="87"/>
      <c r="S893" s="87"/>
      <c r="T893" s="88">
        <f>MIN($B$8,AVERAGE(U984:U985)/(1+J893+$D$8/10000))+$B$7</f>
        <v>66.454215791315903</v>
      </c>
      <c r="U893" s="88">
        <f t="shared" si="37"/>
        <v>80.370801253198735</v>
      </c>
    </row>
    <row r="894" spans="1:21" x14ac:dyDescent="0.35">
      <c r="A894" s="30"/>
      <c r="B894" s="4"/>
      <c r="C894" s="4"/>
      <c r="D894" s="4"/>
      <c r="E894" s="4"/>
      <c r="F894" s="4"/>
      <c r="G894" s="4"/>
      <c r="H894" s="17"/>
      <c r="J894" s="8">
        <f>I847*EXP(10*J$22)</f>
        <v>0.43252020524301182</v>
      </c>
      <c r="K894" s="8">
        <f>J847*EXP(10*K$22)</f>
        <v>0.5195500835743383</v>
      </c>
      <c r="L894" s="87"/>
      <c r="M894" s="87"/>
      <c r="N894" s="87"/>
      <c r="O894" s="87"/>
      <c r="P894" s="87"/>
      <c r="Q894" s="87"/>
      <c r="R894" s="87"/>
      <c r="S894" s="87"/>
      <c r="T894" s="88">
        <f>MIN($B$8,AVERAGE(U986:U987)/(1+J894+$D$8/10000))+$B$7</f>
        <v>66.28929879562952</v>
      </c>
      <c r="U894" s="88">
        <f t="shared" si="37"/>
        <v>80.334752587582074</v>
      </c>
    </row>
    <row r="895" spans="1:21" x14ac:dyDescent="0.35">
      <c r="A895" s="30"/>
      <c r="B895" s="4"/>
      <c r="C895" s="4"/>
      <c r="D895" s="4"/>
      <c r="E895" s="4"/>
      <c r="F895" s="4"/>
      <c r="G895" s="4"/>
      <c r="H895" s="17"/>
      <c r="J895" s="40">
        <f>(I847+$B$4)*EXP(10*$J$22)</f>
        <v>0.4350399237219103</v>
      </c>
      <c r="K895" s="40">
        <f>(J847+$B$4)*EXP(10*$K$22)</f>
        <v>0.52202485287682554</v>
      </c>
      <c r="L895" s="87"/>
      <c r="M895" s="87"/>
      <c r="N895" s="87"/>
      <c r="O895" s="87"/>
      <c r="P895" s="87"/>
      <c r="Q895" s="87"/>
      <c r="R895" s="87"/>
      <c r="S895" s="87"/>
      <c r="T895" s="88">
        <f>MIN($B$8,AVERAGE(U988:U989)/(1+J895+$D$8/10000))+$B$7</f>
        <v>66.133141383293548</v>
      </c>
      <c r="U895" s="88">
        <f t="shared" si="37"/>
        <v>80.196345660470769</v>
      </c>
    </row>
    <row r="896" spans="1:21" x14ac:dyDescent="0.35">
      <c r="A896" s="30"/>
      <c r="B896" s="4"/>
      <c r="C896" s="4"/>
      <c r="D896" s="4"/>
      <c r="E896" s="4"/>
      <c r="F896" s="4"/>
      <c r="G896" s="4"/>
      <c r="H896" s="17"/>
      <c r="J896" s="8">
        <f>I848*EXP(10*J$22)</f>
        <v>0.4223302897052551</v>
      </c>
      <c r="K896" s="8">
        <f>J848*EXP(10*K$22)</f>
        <v>0.5091604993104496</v>
      </c>
      <c r="L896" s="87"/>
      <c r="M896" s="87"/>
      <c r="N896" s="87"/>
      <c r="O896" s="87"/>
      <c r="P896" s="87"/>
      <c r="Q896" s="87"/>
      <c r="R896" s="87"/>
      <c r="S896" s="87"/>
      <c r="T896" s="88">
        <f>MIN($B$8,AVERAGE(U990:U991)/(1+J896+$D$8/10000))+$B$7</f>
        <v>66.622892586592315</v>
      </c>
      <c r="U896" s="88">
        <f t="shared" si="37"/>
        <v>80.921341680562051</v>
      </c>
    </row>
    <row r="897" spans="1:21" x14ac:dyDescent="0.35">
      <c r="A897" s="30"/>
      <c r="B897" s="4"/>
      <c r="C897" s="4"/>
      <c r="D897" s="4"/>
      <c r="E897" s="4"/>
      <c r="F897" s="4"/>
      <c r="G897" s="4"/>
      <c r="H897" s="17"/>
      <c r="J897" s="40">
        <f>(I848+$B$4)*EXP(10*$J$22)</f>
        <v>0.42485000818415358</v>
      </c>
      <c r="K897" s="40">
        <f>(J848+$B$4)*EXP(10*$K$22)</f>
        <v>0.51163526861293684</v>
      </c>
      <c r="L897" s="87"/>
      <c r="M897" s="87"/>
      <c r="N897" s="87"/>
      <c r="O897" s="87"/>
      <c r="P897" s="87"/>
      <c r="Q897" s="87"/>
      <c r="R897" s="87"/>
      <c r="S897" s="87"/>
      <c r="T897" s="88">
        <f>MIN($B$8,AVERAGE(U992:U993)/(1+J897+$D$8/10000))+$B$7</f>
        <v>67.181293851347235</v>
      </c>
      <c r="U897" s="88">
        <f t="shared" si="37"/>
        <v>80.780801381820993</v>
      </c>
    </row>
    <row r="898" spans="1:21" x14ac:dyDescent="0.35">
      <c r="A898" s="30"/>
      <c r="B898" s="4"/>
      <c r="C898" s="4"/>
      <c r="D898" s="4"/>
      <c r="E898" s="4"/>
      <c r="F898" s="4"/>
      <c r="G898" s="4"/>
      <c r="H898" s="17"/>
      <c r="J898" s="8">
        <f>I849*EXP(10*J$22)</f>
        <v>0.42547948570020516</v>
      </c>
      <c r="K898" s="8">
        <f>J849*EXP(10*K$22)</f>
        <v>0.51227836028169338</v>
      </c>
      <c r="L898" s="87"/>
      <c r="M898" s="87"/>
      <c r="N898" s="87"/>
      <c r="O898" s="87"/>
      <c r="P898" s="87"/>
      <c r="Q898" s="87"/>
      <c r="R898" s="87"/>
      <c r="S898" s="87"/>
      <c r="T898" s="88">
        <f>MIN($B$8,AVERAGE(U994:U995)/(1+J898+$D$8/10000))+$B$7</f>
        <v>67.013377974371267</v>
      </c>
      <c r="U898" s="88">
        <f t="shared" si="37"/>
        <v>80.744364711758664</v>
      </c>
    </row>
    <row r="899" spans="1:21" x14ac:dyDescent="0.35">
      <c r="A899" s="30"/>
      <c r="B899" s="4"/>
      <c r="C899" s="4"/>
      <c r="D899" s="4"/>
      <c r="E899" s="4"/>
      <c r="F899" s="4"/>
      <c r="G899" s="4"/>
      <c r="H899" s="17"/>
      <c r="J899" s="40">
        <f>(I849+$B$4)*EXP(10*$J$22)</f>
        <v>0.42799920417910364</v>
      </c>
      <c r="K899" s="40">
        <f>(J849+$B$4)*EXP(10*$K$22)</f>
        <v>0.51475312958418062</v>
      </c>
      <c r="L899" s="87"/>
      <c r="M899" s="87"/>
      <c r="N899" s="87"/>
      <c r="O899" s="87"/>
      <c r="P899" s="87"/>
      <c r="Q899" s="87"/>
      <c r="R899" s="87"/>
      <c r="S899" s="87"/>
      <c r="T899" s="88">
        <f>MIN($B$8,AVERAGE(U996:U997)/(1+J899+$D$8/10000))+$B$7</f>
        <v>66.854492170223466</v>
      </c>
      <c r="U899" s="88">
        <f t="shared" si="37"/>
        <v>80.604469777893101</v>
      </c>
    </row>
    <row r="900" spans="1:21" x14ac:dyDescent="0.35">
      <c r="A900" s="30"/>
      <c r="B900" s="4"/>
      <c r="C900" s="4"/>
      <c r="D900" s="4"/>
      <c r="E900" s="4"/>
      <c r="F900" s="4"/>
      <c r="G900" s="4"/>
      <c r="H900" s="17"/>
      <c r="J900" s="8">
        <f>I850*EXP(10*J$22)</f>
        <v>0.42613578891308196</v>
      </c>
      <c r="K900" s="8">
        <f>J850*EXP(10*K$22)</f>
        <v>0.51305726609835856</v>
      </c>
      <c r="L900" s="87"/>
      <c r="M900" s="87"/>
      <c r="N900" s="87"/>
      <c r="O900" s="87"/>
      <c r="P900" s="87"/>
      <c r="Q900" s="87"/>
      <c r="R900" s="87"/>
      <c r="S900" s="87"/>
      <c r="T900" s="88">
        <f>MIN($B$8,AVERAGE(U998:U999)/(1+J900+$D$8/10000))+$B$7</f>
        <v>66.811073600969024</v>
      </c>
      <c r="U900" s="88">
        <f t="shared" si="37"/>
        <v>80.700279285080669</v>
      </c>
    </row>
    <row r="901" spans="1:21" x14ac:dyDescent="0.35">
      <c r="A901" s="30"/>
      <c r="B901" s="4"/>
      <c r="C901" s="4"/>
      <c r="D901" s="4"/>
      <c r="E901" s="4"/>
      <c r="F901" s="4"/>
      <c r="G901" s="4"/>
      <c r="H901" s="17"/>
      <c r="J901" s="40">
        <f>(I850+$B$4)*EXP(10*$J$22)</f>
        <v>0.42865550739198044</v>
      </c>
      <c r="K901" s="40">
        <f>(J850+$B$4)*EXP(10*$K$22)</f>
        <v>0.5155320354008458</v>
      </c>
      <c r="L901" s="87"/>
      <c r="M901" s="87"/>
      <c r="N901" s="87"/>
      <c r="O901" s="87"/>
      <c r="P901" s="87"/>
      <c r="Q901" s="87"/>
      <c r="R901" s="87"/>
      <c r="S901" s="87"/>
      <c r="T901" s="88">
        <f>MIN($B$8,AVERAGE(U1000:U1001)/(1+J901+$D$8/10000))+$B$7</f>
        <v>66.786711172897725</v>
      </c>
      <c r="U901" s="88">
        <f t="shared" si="37"/>
        <v>80.56054488265768</v>
      </c>
    </row>
    <row r="902" spans="1:21" x14ac:dyDescent="0.35">
      <c r="A902" s="30"/>
      <c r="B902" s="4"/>
      <c r="C902" s="4"/>
      <c r="D902" s="4"/>
      <c r="E902" s="4"/>
      <c r="F902" s="4"/>
      <c r="G902" s="4"/>
      <c r="H902" s="17"/>
      <c r="J902" s="8">
        <f>I851*EXP(10*J$22)</f>
        <v>0.42928498490803202</v>
      </c>
      <c r="K902" s="8">
        <f>J851*EXP(10*K$22)</f>
        <v>0.51617512706960245</v>
      </c>
      <c r="L902" s="87"/>
      <c r="M902" s="87"/>
      <c r="N902" s="87"/>
      <c r="O902" s="87"/>
      <c r="P902" s="87"/>
      <c r="Q902" s="87"/>
      <c r="R902" s="87"/>
      <c r="S902" s="87"/>
      <c r="T902" s="88">
        <f>MIN($B$8,AVERAGE(U1002:U1003)/(1+J902+$D$8/10000))+$B$7</f>
        <v>66.620425159442718</v>
      </c>
      <c r="U902" s="88">
        <f t="shared" si="37"/>
        <v>80.524316910834798</v>
      </c>
    </row>
    <row r="903" spans="1:21" x14ac:dyDescent="0.35">
      <c r="A903" s="30"/>
      <c r="B903" s="4"/>
      <c r="C903" s="4"/>
      <c r="D903" s="4"/>
      <c r="E903" s="4"/>
      <c r="F903" s="4"/>
      <c r="G903" s="4"/>
      <c r="H903" s="17"/>
      <c r="J903" s="40">
        <f>(I851+$B$4)*EXP(10*$J$22)</f>
        <v>0.4318047033869305</v>
      </c>
      <c r="K903" s="40">
        <f>(J851+$B$4)*EXP(10*$K$22)</f>
        <v>0.51864989637208969</v>
      </c>
      <c r="L903" s="87"/>
      <c r="M903" s="87"/>
      <c r="N903" s="87"/>
      <c r="O903" s="87"/>
      <c r="P903" s="87"/>
      <c r="Q903" s="87"/>
      <c r="R903" s="87"/>
      <c r="S903" s="87"/>
      <c r="T903" s="88">
        <f>MIN($B$8,AVERAGE(U1004:U1005)/(1+J903+$D$8/10000))+$B$7</f>
        <v>66.463021937700375</v>
      </c>
      <c r="U903" s="88">
        <f t="shared" si="37"/>
        <v>80.385222336536344</v>
      </c>
    </row>
    <row r="904" spans="1:21" x14ac:dyDescent="0.35">
      <c r="A904" s="30"/>
      <c r="B904" s="4"/>
      <c r="C904" s="4"/>
      <c r="D904" s="4"/>
      <c r="E904" s="4"/>
      <c r="F904" s="4"/>
      <c r="G904" s="4"/>
      <c r="H904" s="17"/>
      <c r="J904" s="8">
        <f>I852*EXP(10*J$22)</f>
        <v>0.4271198910460125</v>
      </c>
      <c r="K904" s="8">
        <f>J852*EXP(10*K$22)</f>
        <v>0.51386936562053431</v>
      </c>
      <c r="L904" s="87"/>
      <c r="M904" s="87"/>
      <c r="N904" s="87"/>
      <c r="O904" s="87"/>
      <c r="P904" s="87"/>
      <c r="Q904" s="87"/>
      <c r="R904" s="87"/>
      <c r="S904" s="87"/>
      <c r="T904" s="88">
        <f>MIN($B$8,AVERAGE(U1006:U1007)/(1+J904+$D$8/10000))+$B$7</f>
        <v>66.558755845663654</v>
      </c>
      <c r="U904" s="88">
        <f t="shared" si="37"/>
        <v>80.654369022773452</v>
      </c>
    </row>
    <row r="905" spans="1:21" x14ac:dyDescent="0.35">
      <c r="A905" s="30"/>
      <c r="B905" s="4"/>
      <c r="C905" s="4"/>
      <c r="D905" s="4"/>
      <c r="E905" s="4"/>
      <c r="F905" s="4"/>
      <c r="G905" s="4"/>
      <c r="H905" s="17"/>
      <c r="J905" s="40">
        <f>(I852+$B$4)*EXP(10*$J$22)</f>
        <v>0.42963960952491098</v>
      </c>
      <c r="K905" s="40">
        <f>(J852+$B$4)*EXP(10*$K$22)</f>
        <v>0.51634413492302145</v>
      </c>
      <c r="L905" s="87"/>
      <c r="M905" s="87"/>
      <c r="N905" s="87"/>
      <c r="O905" s="87"/>
      <c r="P905" s="87"/>
      <c r="Q905" s="87"/>
      <c r="R905" s="87"/>
      <c r="S905" s="87"/>
      <c r="T905" s="88">
        <f>MIN($B$8,AVERAGE(U1008:U1009)/(1+J905+$D$8/10000))+$B$7</f>
        <v>66.685285418593125</v>
      </c>
      <c r="U905" s="88">
        <f t="shared" si="37"/>
        <v>80.514801698916997</v>
      </c>
    </row>
    <row r="906" spans="1:21" x14ac:dyDescent="0.35">
      <c r="A906" s="30"/>
      <c r="B906" s="4"/>
      <c r="C906" s="4"/>
      <c r="D906" s="4"/>
      <c r="E906" s="4"/>
      <c r="F906" s="4"/>
      <c r="G906" s="4"/>
      <c r="H906" s="17"/>
      <c r="J906" s="8">
        <f>I853*EXP(10*J$22)</f>
        <v>0.43026908704096256</v>
      </c>
      <c r="K906" s="8">
        <f>J853*EXP(10*K$22)</f>
        <v>0.51698722659177809</v>
      </c>
      <c r="L906" s="87"/>
      <c r="M906" s="87"/>
      <c r="N906" s="87"/>
      <c r="O906" s="87"/>
      <c r="P906" s="87"/>
      <c r="Q906" s="87"/>
      <c r="R906" s="87"/>
      <c r="S906" s="87"/>
      <c r="T906" s="88">
        <f>MIN($B$8,AVERAGE(U1010:U1011)/(1+J906+$D$8/10000))+$B$7</f>
        <v>66.519417441810987</v>
      </c>
      <c r="U906" s="88">
        <f t="shared" si="37"/>
        <v>80.478616994709142</v>
      </c>
    </row>
    <row r="907" spans="1:21" x14ac:dyDescent="0.35">
      <c r="A907" s="30"/>
      <c r="B907" s="4"/>
      <c r="C907" s="4"/>
      <c r="D907" s="4"/>
      <c r="E907" s="4"/>
      <c r="F907" s="4"/>
      <c r="G907" s="4"/>
      <c r="H907" s="17"/>
      <c r="J907" s="40">
        <f>(I853+$B$4)*EXP(10*$J$22)</f>
        <v>0.43278880551986104</v>
      </c>
      <c r="K907" s="40">
        <f>(J853+$B$4)*EXP(10*$K$22)</f>
        <v>0.51946199589426523</v>
      </c>
      <c r="L907" s="87"/>
      <c r="M907" s="87"/>
      <c r="N907" s="87"/>
      <c r="O907" s="87"/>
      <c r="P907" s="87"/>
      <c r="Q907" s="87"/>
      <c r="R907" s="87"/>
      <c r="S907" s="87"/>
      <c r="T907" s="88">
        <f>MIN($B$8,AVERAGE(U1012:U1013)/(1+J907+$D$8/10000))+$B$7</f>
        <v>66.362394585686332</v>
      </c>
      <c r="U907" s="88">
        <f t="shared" si="37"/>
        <v>80.339688353081712</v>
      </c>
    </row>
    <row r="908" spans="1:21" x14ac:dyDescent="0.35">
      <c r="A908" s="30"/>
      <c r="B908" s="4"/>
      <c r="C908" s="4"/>
      <c r="D908" s="4"/>
      <c r="E908" s="4"/>
      <c r="F908" s="4"/>
      <c r="G908" s="4"/>
      <c r="H908" s="17"/>
      <c r="J908" s="8">
        <f>I854*EXP(10*J$22)</f>
        <v>0.43092539025383936</v>
      </c>
      <c r="K908" s="8">
        <f>J854*EXP(10*K$22)</f>
        <v>0.51776613240844327</v>
      </c>
      <c r="L908" s="87"/>
      <c r="M908" s="87"/>
      <c r="N908" s="87"/>
      <c r="O908" s="87"/>
      <c r="P908" s="87"/>
      <c r="Q908" s="87"/>
      <c r="R908" s="87"/>
      <c r="S908" s="87"/>
      <c r="T908" s="88">
        <f>MIN($B$8,AVERAGE(U1014:U1015)/(1+J908+$D$8/10000))+$B$7</f>
        <v>66.319579820671578</v>
      </c>
      <c r="U908" s="88">
        <f t="shared" si="37"/>
        <v>80.434836267291416</v>
      </c>
    </row>
    <row r="909" spans="1:21" x14ac:dyDescent="0.35">
      <c r="A909" s="30"/>
      <c r="B909" s="4"/>
      <c r="C909" s="4"/>
      <c r="D909" s="4"/>
      <c r="E909" s="4"/>
      <c r="F909" s="4"/>
      <c r="G909" s="4"/>
      <c r="H909" s="17"/>
      <c r="J909" s="40">
        <f>(I854+$B$4)*EXP(10*$J$22)</f>
        <v>0.43344510873273784</v>
      </c>
      <c r="K909" s="40">
        <f>(J854+$B$4)*EXP(10*$K$22)</f>
        <v>0.5202409017109304</v>
      </c>
      <c r="L909" s="87"/>
      <c r="M909" s="87"/>
      <c r="N909" s="87"/>
      <c r="O909" s="87"/>
      <c r="P909" s="87"/>
      <c r="Q909" s="87"/>
      <c r="R909" s="87"/>
      <c r="S909" s="87"/>
      <c r="T909" s="88">
        <f>MIN($B$8,AVERAGE(U1016:U1017)/(1+J909+$D$8/10000))+$B$7</f>
        <v>66.295423409332557</v>
      </c>
      <c r="U909" s="88">
        <f t="shared" si="37"/>
        <v>80.29606649720337</v>
      </c>
    </row>
    <row r="910" spans="1:21" x14ac:dyDescent="0.35">
      <c r="A910" s="30"/>
      <c r="B910" s="4"/>
      <c r="C910" s="4"/>
      <c r="D910" s="4"/>
      <c r="E910" s="4"/>
      <c r="F910" s="4"/>
      <c r="G910" s="4"/>
      <c r="H910" s="17"/>
      <c r="J910" s="8">
        <f>I855*EXP(10*J$22)</f>
        <v>0.43407458624878942</v>
      </c>
      <c r="K910" s="8">
        <f>J855*EXP(10*K$22)</f>
        <v>0.52088399337968705</v>
      </c>
      <c r="L910" s="87"/>
      <c r="M910" s="87"/>
      <c r="N910" s="87"/>
      <c r="O910" s="87"/>
      <c r="P910" s="87"/>
      <c r="Q910" s="87"/>
      <c r="R910" s="87"/>
      <c r="S910" s="87"/>
      <c r="T910" s="88">
        <f>MIN($B$8,AVERAGE(U1018:U1019)/(1+J910+$D$8/10000))+$B$7</f>
        <v>66.131158807084546</v>
      </c>
      <c r="U910" s="88">
        <f t="shared" si="37"/>
        <v>80.26008833328126</v>
      </c>
    </row>
    <row r="911" spans="1:21" x14ac:dyDescent="0.35">
      <c r="A911" s="30"/>
      <c r="B911" s="4"/>
      <c r="C911" s="4"/>
      <c r="D911" s="4"/>
      <c r="E911" s="4"/>
      <c r="F911" s="4"/>
      <c r="G911" s="4"/>
      <c r="H911" s="17"/>
      <c r="J911" s="40">
        <f>(I855+$B$4)*EXP(10*$J$22)</f>
        <v>0.4365943047276879</v>
      </c>
      <c r="K911" s="40">
        <f>(J855+$B$4)*EXP(10*$K$22)</f>
        <v>0.52335876268217429</v>
      </c>
      <c r="L911" s="87"/>
      <c r="M911" s="87"/>
      <c r="N911" s="87"/>
      <c r="O911" s="87"/>
      <c r="P911" s="87"/>
      <c r="Q911" s="87"/>
      <c r="R911" s="87"/>
      <c r="S911" s="87"/>
      <c r="T911" s="88">
        <f>MIN($B$8,AVERAGE(U1020:U1021)/(1+J911+$D$8/10000))+$B$7</f>
        <v>65.975595236447873</v>
      </c>
      <c r="U911" s="88">
        <f t="shared" si="37"/>
        <v>80.121951784873602</v>
      </c>
    </row>
    <row r="912" spans="1:21" x14ac:dyDescent="0.35">
      <c r="A912" s="30"/>
      <c r="B912" s="4"/>
      <c r="C912" s="4"/>
      <c r="D912" s="4"/>
      <c r="E912" s="4"/>
      <c r="F912" s="4"/>
      <c r="G912" s="4"/>
      <c r="H912" s="17"/>
      <c r="J912" s="8">
        <f>I856*EXP(10*J$22)</f>
        <v>0.42819789844169837</v>
      </c>
      <c r="K912" s="8">
        <f>J856*EXP(10*K$22)</f>
        <v>0.51508707849507851</v>
      </c>
      <c r="L912" s="87"/>
      <c r="M912" s="87"/>
      <c r="N912" s="87"/>
      <c r="O912" s="87"/>
      <c r="P912" s="87"/>
      <c r="Q912" s="87"/>
      <c r="R912" s="87"/>
      <c r="S912" s="87"/>
      <c r="T912" s="88">
        <f>MIN($B$8,AVERAGE(U1022:U1023)/(1+J912+$D$8/10000))+$B$7</f>
        <v>66.251574909041864</v>
      </c>
      <c r="U912" s="88">
        <f t="shared" si="37"/>
        <v>80.58563120069698</v>
      </c>
    </row>
    <row r="913" spans="1:21" x14ac:dyDescent="0.35">
      <c r="A913" s="30"/>
      <c r="B913" s="4"/>
      <c r="C913" s="4"/>
      <c r="D913" s="4"/>
      <c r="E913" s="4"/>
      <c r="F913" s="4"/>
      <c r="G913" s="4"/>
      <c r="H913" s="17"/>
      <c r="J913" s="40">
        <f>(I856+$B$4)*EXP(10*$J$22)</f>
        <v>0.43071761692059685</v>
      </c>
      <c r="K913" s="40">
        <f>(J856+$B$4)*EXP(10*$K$22)</f>
        <v>0.51756184779756575</v>
      </c>
      <c r="L913" s="87"/>
      <c r="M913" s="87"/>
      <c r="N913" s="87"/>
      <c r="O913" s="87"/>
      <c r="P913" s="87"/>
      <c r="Q913" s="87"/>
      <c r="R913" s="87"/>
      <c r="S913" s="87"/>
      <c r="T913" s="88">
        <f>MIN($B$8,AVERAGE(U1024:U1025)/(1+J913+$D$8/10000))+$B$7</f>
        <v>66.574468744630906</v>
      </c>
      <c r="U913" s="88">
        <f t="shared" si="37"/>
        <v>80.446313843922425</v>
      </c>
    </row>
    <row r="914" spans="1:21" x14ac:dyDescent="0.35">
      <c r="A914" s="30"/>
      <c r="B914" s="4"/>
      <c r="C914" s="4"/>
      <c r="D914" s="4"/>
      <c r="E914" s="4"/>
      <c r="F914" s="4"/>
      <c r="G914" s="4"/>
      <c r="H914" s="17"/>
      <c r="J914" s="8">
        <f>I857*EXP(10*J$22)</f>
        <v>0.43134709443664843</v>
      </c>
      <c r="K914" s="8">
        <f>J857*EXP(10*K$22)</f>
        <v>0.5182049394663224</v>
      </c>
      <c r="L914" s="87"/>
      <c r="M914" s="87"/>
      <c r="N914" s="87"/>
      <c r="O914" s="87"/>
      <c r="P914" s="87"/>
      <c r="Q914" s="87"/>
      <c r="R914" s="87"/>
      <c r="S914" s="87"/>
      <c r="T914" s="88">
        <f>MIN($B$8,AVERAGE(U1026:U1027)/(1+J914+$D$8/10000))+$B$7</f>
        <v>66.409057082884004</v>
      </c>
      <c r="U914" s="88">
        <f t="shared" si="37"/>
        <v>80.410193872777057</v>
      </c>
    </row>
    <row r="915" spans="1:21" x14ac:dyDescent="0.35">
      <c r="A915" s="30"/>
      <c r="B915" s="4"/>
      <c r="C915" s="4"/>
      <c r="D915" s="4"/>
      <c r="E915" s="4"/>
      <c r="F915" s="4"/>
      <c r="G915" s="4"/>
      <c r="H915" s="17"/>
      <c r="J915" s="40">
        <f>(I857+$B$4)*EXP(10*$J$22)</f>
        <v>0.43386681291554691</v>
      </c>
      <c r="K915" s="40">
        <f>(J857+$B$4)*EXP(10*$K$22)</f>
        <v>0.52067970876880953</v>
      </c>
      <c r="L915" s="87"/>
      <c r="M915" s="87"/>
      <c r="N915" s="87"/>
      <c r="O915" s="87"/>
      <c r="P915" s="87"/>
      <c r="Q915" s="87"/>
      <c r="R915" s="87"/>
      <c r="S915" s="87"/>
      <c r="T915" s="88">
        <f>MIN($B$8,AVERAGE(U1028:U1029)/(1+J915+$D$8/10000))+$B$7</f>
        <v>66.252449470192488</v>
      </c>
      <c r="U915" s="88">
        <f t="shared" si="37"/>
        <v>80.271513485126079</v>
      </c>
    </row>
    <row r="916" spans="1:21" x14ac:dyDescent="0.35">
      <c r="A916" s="30"/>
      <c r="B916" s="4"/>
      <c r="C916" s="4"/>
      <c r="D916" s="4"/>
      <c r="E916" s="4"/>
      <c r="F916" s="4"/>
      <c r="G916" s="4"/>
      <c r="H916" s="17"/>
      <c r="J916" s="8">
        <f>I858*EXP(10*J$22)</f>
        <v>0.43200339764952517</v>
      </c>
      <c r="K916" s="8">
        <f>J858*EXP(10*K$22)</f>
        <v>0.51898384528298758</v>
      </c>
      <c r="L916" s="87"/>
      <c r="M916" s="87"/>
      <c r="N916" s="87"/>
      <c r="O916" s="87"/>
      <c r="P916" s="87"/>
      <c r="Q916" s="87"/>
      <c r="R916" s="87"/>
      <c r="S916" s="87"/>
      <c r="T916" s="88">
        <f>MIN($B$8,AVERAGE(U1030:U1031)/(1+J916+$D$8/10000))+$B$7</f>
        <v>66.209769108801538</v>
      </c>
      <c r="U916" s="88">
        <f t="shared" si="37"/>
        <v>80.366491426537209</v>
      </c>
    </row>
    <row r="917" spans="1:21" x14ac:dyDescent="0.35">
      <c r="A917" s="30"/>
      <c r="B917" s="4"/>
      <c r="C917" s="4"/>
      <c r="D917" s="4"/>
      <c r="E917" s="4"/>
      <c r="F917" s="4"/>
      <c r="G917" s="4"/>
      <c r="H917" s="17"/>
      <c r="J917" s="40">
        <f>(I858+$B$4)*EXP(10*$J$22)</f>
        <v>0.43452311612842365</v>
      </c>
      <c r="K917" s="40">
        <f>(J858+$B$4)*EXP(10*$K$22)</f>
        <v>0.52145861458547471</v>
      </c>
      <c r="L917" s="87"/>
      <c r="M917" s="87"/>
      <c r="N917" s="87"/>
      <c r="O917" s="87"/>
      <c r="P917" s="87"/>
      <c r="Q917" s="87"/>
      <c r="R917" s="87"/>
      <c r="S917" s="87"/>
      <c r="T917" s="88">
        <f>MIN($B$8,AVERAGE(U1032:U1033)/(1+J917+$D$8/10000))+$B$7</f>
        <v>66.185658770727883</v>
      </c>
      <c r="U917" s="88">
        <f t="shared" si="37"/>
        <v>80.227969484901863</v>
      </c>
    </row>
    <row r="918" spans="1:21" x14ac:dyDescent="0.35">
      <c r="A918" s="30"/>
      <c r="B918" s="4"/>
      <c r="C918" s="4"/>
      <c r="D918" s="4"/>
      <c r="E918" s="4"/>
      <c r="F918" s="4"/>
      <c r="G918" s="4"/>
      <c r="H918" s="17"/>
      <c r="J918" s="8">
        <f>I859*EXP(10*J$22)</f>
        <v>0.43515259364447523</v>
      </c>
      <c r="K918" s="8">
        <f>J859*EXP(10*K$22)</f>
        <v>0.52210170625423136</v>
      </c>
      <c r="L918" s="87"/>
      <c r="M918" s="87"/>
      <c r="N918" s="87"/>
      <c r="O918" s="87"/>
      <c r="P918" s="87"/>
      <c r="Q918" s="87"/>
      <c r="R918" s="87"/>
      <c r="S918" s="87"/>
      <c r="T918" s="88">
        <f>MIN($B$8,AVERAGE(U1034:U1035)/(1+J918+$D$8/10000))+$B$7</f>
        <v>66.021844596077983</v>
      </c>
      <c r="U918" s="88">
        <f t="shared" si="37"/>
        <v>80.192055500840979</v>
      </c>
    </row>
    <row r="919" spans="1:21" x14ac:dyDescent="0.35">
      <c r="A919" s="30"/>
      <c r="B919" s="4"/>
      <c r="C919" s="4"/>
      <c r="D919" s="4"/>
      <c r="E919" s="4"/>
      <c r="F919" s="4"/>
      <c r="G919" s="4"/>
      <c r="H919" s="17"/>
      <c r="J919" s="40">
        <f>(I859+$B$4)*EXP(10*$J$22)</f>
        <v>0.43767231212337371</v>
      </c>
      <c r="K919" s="40">
        <f>(J859+$B$4)*EXP(10*$K$22)</f>
        <v>0.5245764755567186</v>
      </c>
      <c r="L919" s="87"/>
      <c r="M919" s="87"/>
      <c r="N919" s="87"/>
      <c r="O919" s="87"/>
      <c r="P919" s="87"/>
      <c r="Q919" s="87"/>
      <c r="R919" s="87"/>
      <c r="S919" s="87"/>
      <c r="T919" s="88">
        <f>MIN($B$8,AVERAGE(U1036:U1037)/(1+J919+$D$8/10000))+$B$7</f>
        <v>65.866691088880856</v>
      </c>
      <c r="U919" s="88">
        <f t="shared" si="37"/>
        <v>80.054165087272779</v>
      </c>
    </row>
    <row r="920" spans="1:21" x14ac:dyDescent="0.35">
      <c r="A920" s="30"/>
      <c r="B920" s="4"/>
      <c r="C920" s="4"/>
      <c r="D920" s="4"/>
      <c r="E920" s="4"/>
      <c r="F920" s="4"/>
      <c r="G920" s="4"/>
      <c r="H920" s="17"/>
      <c r="J920" s="8">
        <f>I860*EXP(10*J$22)</f>
        <v>0.43298749978245576</v>
      </c>
      <c r="K920" s="8">
        <f>J860*EXP(10*K$22)</f>
        <v>0.51979594480516322</v>
      </c>
      <c r="L920" s="87"/>
      <c r="M920" s="87"/>
      <c r="N920" s="87"/>
      <c r="O920" s="87"/>
      <c r="P920" s="87"/>
      <c r="Q920" s="87"/>
      <c r="R920" s="87"/>
      <c r="S920" s="87"/>
      <c r="T920" s="88">
        <f>MIN($B$8,AVERAGE(U1038:U1039)/(1+J920+$D$8/10000))+$B$7</f>
        <v>65.961197858193145</v>
      </c>
      <c r="U920" s="88">
        <f t="shared" si="37"/>
        <v>80.32097976505176</v>
      </c>
    </row>
    <row r="921" spans="1:21" x14ac:dyDescent="0.35">
      <c r="A921" s="30"/>
      <c r="B921" s="4"/>
      <c r="C921" s="4"/>
      <c r="D921" s="4"/>
      <c r="E921" s="4"/>
      <c r="F921" s="4"/>
      <c r="G921" s="4"/>
      <c r="H921" s="17"/>
      <c r="J921" s="40">
        <f>(I860+$B$4)*EXP(10*$J$22)</f>
        <v>0.43550721826135425</v>
      </c>
      <c r="K921" s="40">
        <f>(J860+$B$4)*EXP(10*$K$22)</f>
        <v>0.52227071410765047</v>
      </c>
      <c r="L921" s="87"/>
      <c r="M921" s="87"/>
      <c r="N921" s="87"/>
      <c r="O921" s="87"/>
      <c r="P921" s="87"/>
      <c r="Q921" s="87"/>
      <c r="R921" s="87"/>
      <c r="S921" s="87"/>
      <c r="T921" s="88">
        <f>MIN($B$8,AVERAGE(U1040:U1041)/(1+J921+$D$8/10000))+$B$7</f>
        <v>66.085713840098776</v>
      </c>
      <c r="U921" s="88">
        <f t="shared" si="37"/>
        <v>80.1826227327646</v>
      </c>
    </row>
    <row r="922" spans="1:21" x14ac:dyDescent="0.35">
      <c r="A922" s="30"/>
      <c r="B922" s="4"/>
      <c r="C922" s="4"/>
      <c r="D922" s="4"/>
      <c r="E922" s="4"/>
      <c r="F922" s="4"/>
      <c r="G922" s="4"/>
      <c r="H922" s="17"/>
      <c r="J922" s="8">
        <f>I861*EXP(10*J$22)</f>
        <v>0.43613669577740583</v>
      </c>
      <c r="K922" s="8">
        <f>J861*EXP(10*K$22)</f>
        <v>0.522913805776407</v>
      </c>
      <c r="L922" s="87"/>
      <c r="M922" s="87"/>
      <c r="N922" s="87"/>
      <c r="O922" s="87"/>
      <c r="P922" s="87"/>
      <c r="Q922" s="87"/>
      <c r="R922" s="87"/>
      <c r="S922" s="87"/>
      <c r="T922" s="88">
        <f>MIN($B$8,AVERAGE(U1042:U1043)/(1+J922+$D$8/10000))+$B$7</f>
        <v>65.922309415031378</v>
      </c>
      <c r="U922" s="88">
        <f t="shared" si="37"/>
        <v>80.146751455204978</v>
      </c>
    </row>
    <row r="923" spans="1:21" x14ac:dyDescent="0.35">
      <c r="A923" s="30"/>
      <c r="B923" s="4"/>
      <c r="C923" s="4"/>
      <c r="D923" s="4"/>
      <c r="E923" s="4"/>
      <c r="F923" s="4"/>
      <c r="G923" s="4"/>
      <c r="H923" s="17"/>
      <c r="J923" s="40">
        <f>(I861+$B$4)*EXP(10*$J$22)</f>
        <v>0.43865641425630431</v>
      </c>
      <c r="K923" s="40">
        <f>(J861+$B$4)*EXP(10*$K$22)</f>
        <v>0.52538857507889425</v>
      </c>
      <c r="L923" s="87"/>
      <c r="M923" s="87"/>
      <c r="N923" s="87"/>
      <c r="O923" s="87"/>
      <c r="P923" s="87"/>
      <c r="Q923" s="87"/>
      <c r="R923" s="87"/>
      <c r="S923" s="87"/>
      <c r="T923" s="88">
        <f>MIN($B$8,AVERAGE(U1044:U1045)/(1+J923+$D$8/10000))+$B$7</f>
        <v>65.76752898215895</v>
      </c>
      <c r="U923" s="88">
        <f t="shared" si="37"/>
        <v>80.009024824860546</v>
      </c>
    </row>
    <row r="924" spans="1:21" x14ac:dyDescent="0.35">
      <c r="A924" s="30"/>
      <c r="B924" s="4"/>
      <c r="C924" s="4"/>
      <c r="D924" s="4"/>
      <c r="E924" s="4"/>
      <c r="F924" s="4"/>
      <c r="G924" s="4"/>
      <c r="H924" s="17"/>
      <c r="J924" s="8">
        <f>I862*EXP(10*J$22)</f>
        <v>0.43679299899028262</v>
      </c>
      <c r="K924" s="8">
        <f>J862*EXP(10*K$22)</f>
        <v>0.52369271159307218</v>
      </c>
      <c r="L924" s="87"/>
      <c r="M924" s="87"/>
      <c r="N924" s="87"/>
      <c r="O924" s="87"/>
      <c r="P924" s="87"/>
      <c r="Q924" s="87"/>
      <c r="R924" s="87"/>
      <c r="S924" s="87"/>
      <c r="T924" s="88">
        <f>MIN($B$8,AVERAGE(U1046:U1047)/(1+J924+$D$8/10000))+$B$7</f>
        <v>65.725439239188546</v>
      </c>
      <c r="U924" s="88">
        <f t="shared" si="37"/>
        <v>80.103349753164181</v>
      </c>
    </row>
    <row r="925" spans="1:21" x14ac:dyDescent="0.35">
      <c r="A925" s="30"/>
      <c r="B925" s="4"/>
      <c r="C925" s="4"/>
      <c r="D925" s="4"/>
      <c r="E925" s="4"/>
      <c r="F925" s="4"/>
      <c r="G925" s="4"/>
      <c r="H925" s="17"/>
      <c r="J925" s="40">
        <f>(I862+$B$4)*EXP(10*$J$22)</f>
        <v>0.4393127174691811</v>
      </c>
      <c r="K925" s="40">
        <f>(J862+$B$4)*EXP(10*$K$22)</f>
        <v>0.52616748089555943</v>
      </c>
      <c r="L925" s="87"/>
      <c r="M925" s="87"/>
      <c r="N925" s="87"/>
      <c r="O925" s="87"/>
      <c r="P925" s="87"/>
      <c r="Q925" s="87"/>
      <c r="R925" s="87"/>
      <c r="S925" s="87"/>
      <c r="T925" s="88">
        <f>MIN($B$8,AVERAGE(U1048:U1049)/(1+J925+$D$8/10000))+$B$7</f>
        <v>65.701532302423715</v>
      </c>
      <c r="U925" s="88">
        <f t="shared" si="37"/>
        <v>79.965779937571995</v>
      </c>
    </row>
    <row r="926" spans="1:21" x14ac:dyDescent="0.35">
      <c r="A926" s="30"/>
      <c r="B926" s="4"/>
      <c r="C926" s="4"/>
      <c r="D926" s="4"/>
      <c r="E926" s="4"/>
      <c r="F926" s="4"/>
      <c r="G926" s="4"/>
      <c r="H926" s="17"/>
      <c r="J926" s="8">
        <f>I863*EXP(10*J$22)</f>
        <v>0.43994219498523268</v>
      </c>
      <c r="K926" s="8">
        <f>J863*EXP(10*K$22)</f>
        <v>0.52681057256431607</v>
      </c>
      <c r="L926" s="87"/>
      <c r="M926" s="87"/>
      <c r="N926" s="87"/>
      <c r="O926" s="87"/>
      <c r="P926" s="87"/>
      <c r="Q926" s="87"/>
      <c r="R926" s="87"/>
      <c r="S926" s="87"/>
      <c r="T926" s="88">
        <f>MIN($B$8,AVERAGE(U1050:U1051)/(1+J926+$D$8/10000))+$B$7</f>
        <v>65.539699531529408</v>
      </c>
      <c r="U926" s="88">
        <f t="shared" si="37"/>
        <v>79.930112526376263</v>
      </c>
    </row>
    <row r="927" spans="1:21" x14ac:dyDescent="0.35">
      <c r="A927" s="30"/>
      <c r="B927" s="4"/>
      <c r="C927" s="4"/>
      <c r="D927" s="4"/>
      <c r="E927" s="4"/>
      <c r="F927" s="4"/>
      <c r="G927" s="4"/>
      <c r="H927" s="17"/>
      <c r="J927" s="40">
        <f>(I863+$B$4)*EXP(10*$J$22)</f>
        <v>0.44246191346413116</v>
      </c>
      <c r="K927" s="40">
        <f>(J863+$B$4)*EXP(10*$K$22)</f>
        <v>0.52928534186680321</v>
      </c>
      <c r="L927" s="87"/>
      <c r="M927" s="87"/>
      <c r="N927" s="87"/>
      <c r="O927" s="87"/>
      <c r="P927" s="87"/>
      <c r="Q927" s="87"/>
      <c r="R927" s="87"/>
      <c r="S927" s="87"/>
      <c r="T927" s="88">
        <f>MIN($B$8,AVERAGE(U1052:U1053)/(1+J927+$D$8/10000))+$B$7</f>
        <v>65.386350466554433</v>
      </c>
      <c r="U927" s="88">
        <f t="shared" si="37"/>
        <v>79.793167746232783</v>
      </c>
    </row>
    <row r="928" spans="1:21" x14ac:dyDescent="0.35">
      <c r="A928" s="30"/>
      <c r="B928" s="4"/>
      <c r="C928" s="4"/>
      <c r="D928" s="4"/>
      <c r="E928" s="4"/>
      <c r="F928" s="4"/>
      <c r="G928" s="4"/>
      <c r="H928" s="17"/>
      <c r="J928" s="38"/>
      <c r="K928" s="8">
        <f>J864*EXP(10*K$22)</f>
        <v>0.51340116204783448</v>
      </c>
      <c r="L928" s="87"/>
      <c r="M928" s="87"/>
      <c r="N928" s="87"/>
      <c r="O928" s="87"/>
      <c r="P928" s="87"/>
      <c r="Q928" s="87"/>
      <c r="R928" s="87"/>
      <c r="S928" s="87"/>
      <c r="T928" s="87"/>
      <c r="U928" s="88">
        <f t="shared" ref="U928:U991" si="38">MIN($B$8,((100+$B$7)/(1+K928+$D$8/10000)))+$B$7</f>
        <v>80.680831171673915</v>
      </c>
    </row>
    <row r="929" spans="1:21" x14ac:dyDescent="0.35">
      <c r="A929" s="30"/>
      <c r="B929" s="4"/>
      <c r="C929" s="4"/>
      <c r="D929" s="4"/>
      <c r="E929" s="4"/>
      <c r="F929" s="4"/>
      <c r="G929" s="4"/>
      <c r="H929" s="17"/>
      <c r="K929" s="40">
        <f>(J864+$B$4)*EXP(10*$K$22)</f>
        <v>0.51587593135032161</v>
      </c>
      <c r="L929" s="87"/>
      <c r="M929" s="87"/>
      <c r="N929" s="87"/>
      <c r="O929" s="87"/>
      <c r="P929" s="87"/>
      <c r="Q929" s="87"/>
      <c r="R929" s="87"/>
      <c r="S929" s="87"/>
      <c r="T929" s="87"/>
      <c r="U929" s="88">
        <f t="shared" si="38"/>
        <v>80.541167557826512</v>
      </c>
    </row>
    <row r="930" spans="1:21" x14ac:dyDescent="0.35">
      <c r="A930" s="30"/>
      <c r="B930" s="4"/>
      <c r="C930" s="4"/>
      <c r="D930" s="4"/>
      <c r="E930" s="4"/>
      <c r="F930" s="4"/>
      <c r="G930" s="4"/>
      <c r="H930" s="17"/>
      <c r="K930" s="8">
        <f>J865*EXP(10*K$22)</f>
        <v>0.51651902301907826</v>
      </c>
      <c r="L930" s="87"/>
      <c r="M930" s="87"/>
      <c r="N930" s="87"/>
      <c r="O930" s="87"/>
      <c r="P930" s="87"/>
      <c r="Q930" s="87"/>
      <c r="R930" s="87"/>
      <c r="S930" s="87"/>
      <c r="T930" s="87"/>
      <c r="U930" s="88">
        <f t="shared" si="38"/>
        <v>80.504957917804532</v>
      </c>
    </row>
    <row r="931" spans="1:21" x14ac:dyDescent="0.35">
      <c r="A931" s="30"/>
      <c r="B931" s="4"/>
      <c r="C931" s="4"/>
      <c r="D931" s="4"/>
      <c r="E931" s="4"/>
      <c r="F931" s="4"/>
      <c r="G931" s="4"/>
      <c r="H931" s="17"/>
      <c r="K931" s="40">
        <f>(J865+$B$4)*EXP(10*$J$22)</f>
        <v>0.52842026431795164</v>
      </c>
      <c r="L931" s="87"/>
      <c r="M931" s="87"/>
      <c r="N931" s="87"/>
      <c r="O931" s="87"/>
      <c r="P931" s="87"/>
      <c r="Q931" s="87"/>
      <c r="R931" s="87"/>
      <c r="S931" s="87"/>
      <c r="T931" s="87"/>
      <c r="U931" s="88">
        <f t="shared" si="38"/>
        <v>79.840981815565655</v>
      </c>
    </row>
    <row r="932" spans="1:21" x14ac:dyDescent="0.35">
      <c r="A932" s="30"/>
      <c r="B932" s="4"/>
      <c r="C932" s="4"/>
      <c r="D932" s="4"/>
      <c r="E932" s="4"/>
      <c r="F932" s="4"/>
      <c r="G932" s="4"/>
      <c r="H932" s="17"/>
      <c r="K932" s="8">
        <f>J866*EXP(10*K$22)</f>
        <v>0.51729792883574344</v>
      </c>
      <c r="L932" s="87"/>
      <c r="M932" s="87"/>
      <c r="N932" s="87"/>
      <c r="O932" s="87"/>
      <c r="P932" s="87"/>
      <c r="Q932" s="87"/>
      <c r="R932" s="87"/>
      <c r="S932" s="87"/>
      <c r="T932" s="87"/>
      <c r="U932" s="88">
        <f t="shared" si="38"/>
        <v>80.461147035734314</v>
      </c>
    </row>
    <row r="933" spans="1:21" x14ac:dyDescent="0.35">
      <c r="A933" s="30"/>
      <c r="B933" s="4"/>
      <c r="C933" s="4"/>
      <c r="D933" s="4"/>
      <c r="E933" s="4"/>
      <c r="F933" s="4"/>
      <c r="G933" s="4"/>
      <c r="H933" s="17"/>
      <c r="K933" s="40">
        <f>(J866+$B$4)*EXP(10*$K$22)</f>
        <v>0.51977269813823068</v>
      </c>
      <c r="L933" s="87"/>
      <c r="M933" s="87"/>
      <c r="N933" s="87"/>
      <c r="O933" s="87"/>
      <c r="P933" s="87"/>
      <c r="Q933" s="87"/>
      <c r="R933" s="87"/>
      <c r="S933" s="87"/>
      <c r="T933" s="87"/>
      <c r="U933" s="88">
        <f t="shared" si="38"/>
        <v>80.322281799986513</v>
      </c>
    </row>
    <row r="934" spans="1:21" x14ac:dyDescent="0.35">
      <c r="A934" s="30"/>
      <c r="B934" s="4"/>
      <c r="C934" s="4"/>
      <c r="D934" s="4"/>
      <c r="E934" s="4"/>
      <c r="F934" s="4"/>
      <c r="G934" s="4"/>
      <c r="H934" s="17"/>
      <c r="K934" s="8">
        <f>J867*EXP(10*K$22)</f>
        <v>0.52041578980698733</v>
      </c>
      <c r="L934" s="87"/>
      <c r="M934" s="87"/>
      <c r="N934" s="87"/>
      <c r="O934" s="87"/>
      <c r="P934" s="87"/>
      <c r="Q934" s="87"/>
      <c r="R934" s="87"/>
      <c r="S934" s="87"/>
      <c r="T934" s="87"/>
      <c r="U934" s="88">
        <f t="shared" si="38"/>
        <v>80.286278913480217</v>
      </c>
    </row>
    <row r="935" spans="1:21" x14ac:dyDescent="0.35">
      <c r="A935" s="30"/>
      <c r="B935" s="4"/>
      <c r="C935" s="4"/>
      <c r="D935" s="4"/>
      <c r="E935" s="4"/>
      <c r="F935" s="4"/>
      <c r="G935" s="4"/>
      <c r="H935" s="17"/>
      <c r="K935" s="40">
        <f>(J867+$B$4)*EXP(10*$K$22)</f>
        <v>0.52289055910947457</v>
      </c>
      <c r="L935" s="87"/>
      <c r="M935" s="87"/>
      <c r="N935" s="87"/>
      <c r="O935" s="87"/>
      <c r="P935" s="87"/>
      <c r="Q935" s="87"/>
      <c r="R935" s="87"/>
      <c r="S935" s="87"/>
      <c r="T935" s="87"/>
      <c r="U935" s="88">
        <f t="shared" si="38"/>
        <v>80.148047552209135</v>
      </c>
    </row>
    <row r="936" spans="1:21" x14ac:dyDescent="0.35">
      <c r="A936" s="30"/>
      <c r="B936" s="4"/>
      <c r="C936" s="4"/>
      <c r="D936" s="4"/>
      <c r="E936" s="4"/>
      <c r="F936" s="4"/>
      <c r="G936" s="4"/>
      <c r="H936" s="17"/>
      <c r="K936" s="8">
        <f>J868*EXP(10*K$22)</f>
        <v>0.51811002835791897</v>
      </c>
      <c r="L936" s="87"/>
      <c r="M936" s="87"/>
      <c r="N936" s="87"/>
      <c r="O936" s="87"/>
      <c r="P936" s="87"/>
      <c r="Q936" s="87"/>
      <c r="R936" s="87"/>
      <c r="S936" s="87"/>
      <c r="T936" s="87"/>
      <c r="U936" s="88">
        <f t="shared" si="38"/>
        <v>80.415522515404191</v>
      </c>
    </row>
    <row r="937" spans="1:21" x14ac:dyDescent="0.35">
      <c r="A937" s="30"/>
      <c r="B937" s="4"/>
      <c r="C937" s="4"/>
      <c r="D937" s="4"/>
      <c r="E937" s="4"/>
      <c r="F937" s="4"/>
      <c r="G937" s="4"/>
      <c r="H937" s="17"/>
      <c r="K937" s="40">
        <f>(J868+$B$4)*EXP(10*$K$22)</f>
        <v>0.52058479766040622</v>
      </c>
      <c r="L937" s="87"/>
      <c r="M937" s="87"/>
      <c r="N937" s="87"/>
      <c r="O937" s="87"/>
      <c r="P937" s="87"/>
      <c r="Q937" s="87"/>
      <c r="R937" s="87"/>
      <c r="S937" s="87"/>
      <c r="T937" s="87"/>
      <c r="U937" s="88">
        <f t="shared" si="38"/>
        <v>80.276822802235017</v>
      </c>
    </row>
    <row r="938" spans="1:21" x14ac:dyDescent="0.35">
      <c r="A938" s="30"/>
      <c r="B938" s="4"/>
      <c r="C938" s="4"/>
      <c r="D938" s="4"/>
      <c r="E938" s="4"/>
      <c r="F938" s="4"/>
      <c r="G938" s="4"/>
      <c r="H938" s="17"/>
      <c r="K938" s="8">
        <f>J869*EXP(10*K$22)</f>
        <v>0.52122788932916286</v>
      </c>
      <c r="L938" s="87"/>
      <c r="M938" s="87"/>
      <c r="N938" s="87"/>
      <c r="O938" s="87"/>
      <c r="P938" s="87"/>
      <c r="Q938" s="87"/>
      <c r="R938" s="87"/>
      <c r="S938" s="87"/>
      <c r="T938" s="87"/>
      <c r="U938" s="88">
        <f t="shared" si="38"/>
        <v>80.240862780856006</v>
      </c>
    </row>
    <row r="939" spans="1:21" x14ac:dyDescent="0.35">
      <c r="A939" s="30"/>
      <c r="B939" s="4"/>
      <c r="C939" s="4"/>
      <c r="D939" s="4"/>
      <c r="E939" s="4"/>
      <c r="F939" s="4"/>
      <c r="G939" s="4"/>
      <c r="H939" s="17"/>
      <c r="K939" s="40">
        <f>(J869+$B$4)*EXP(10*$K$22)</f>
        <v>0.52370265863165011</v>
      </c>
      <c r="L939" s="87"/>
      <c r="M939" s="87"/>
      <c r="N939" s="87"/>
      <c r="O939" s="87"/>
      <c r="P939" s="87"/>
      <c r="Q939" s="87"/>
      <c r="R939" s="87"/>
      <c r="S939" s="87"/>
      <c r="T939" s="87"/>
      <c r="U939" s="88">
        <f t="shared" si="38"/>
        <v>80.102795810458588</v>
      </c>
    </row>
    <row r="940" spans="1:21" x14ac:dyDescent="0.35">
      <c r="A940" s="30"/>
      <c r="B940" s="4"/>
      <c r="C940" s="4"/>
      <c r="D940" s="4"/>
      <c r="E940" s="4"/>
      <c r="F940" s="4"/>
      <c r="G940" s="4"/>
      <c r="H940" s="17"/>
      <c r="K940" s="8">
        <f>J870*EXP(10*K$22)</f>
        <v>0.52200679514582793</v>
      </c>
      <c r="L940" s="87"/>
      <c r="M940" s="87"/>
      <c r="N940" s="87"/>
      <c r="O940" s="87"/>
      <c r="P940" s="87"/>
      <c r="Q940" s="87"/>
      <c r="R940" s="87"/>
      <c r="S940" s="87"/>
      <c r="T940" s="87"/>
      <c r="U940" s="88">
        <f t="shared" si="38"/>
        <v>80.197353761068442</v>
      </c>
    </row>
    <row r="941" spans="1:21" x14ac:dyDescent="0.35">
      <c r="A941" s="30"/>
      <c r="B941" s="4"/>
      <c r="C941" s="4"/>
      <c r="D941" s="4"/>
      <c r="E941" s="4"/>
      <c r="F941" s="4"/>
      <c r="G941" s="4"/>
      <c r="H941" s="17"/>
      <c r="K941" s="40">
        <f>(J870+$B$4)*EXP(10*$K$22)</f>
        <v>0.52448156444831517</v>
      </c>
      <c r="L941" s="87"/>
      <c r="M941" s="87"/>
      <c r="N941" s="87"/>
      <c r="O941" s="87"/>
      <c r="P941" s="87"/>
      <c r="Q941" s="87"/>
      <c r="R941" s="87"/>
      <c r="S941" s="87"/>
      <c r="T941" s="87"/>
      <c r="U941" s="88">
        <f t="shared" si="38"/>
        <v>80.059444186880228</v>
      </c>
    </row>
    <row r="942" spans="1:21" x14ac:dyDescent="0.35">
      <c r="A942" s="30"/>
      <c r="B942" s="4"/>
      <c r="C942" s="4"/>
      <c r="D942" s="4"/>
      <c r="E942" s="4"/>
      <c r="F942" s="4"/>
      <c r="G942" s="4"/>
      <c r="H942" s="17"/>
      <c r="K942" s="8">
        <f>J871*EXP(10*K$22)</f>
        <v>0.52512465611707171</v>
      </c>
      <c r="L942" s="87"/>
      <c r="M942" s="87"/>
      <c r="N942" s="87"/>
      <c r="O942" s="87"/>
      <c r="P942" s="87"/>
      <c r="Q942" s="87"/>
      <c r="R942" s="87"/>
      <c r="S942" s="87"/>
      <c r="T942" s="87"/>
      <c r="U942" s="88">
        <f t="shared" si="38"/>
        <v>80.023688787787037</v>
      </c>
    </row>
    <row r="943" spans="1:21" x14ac:dyDescent="0.35">
      <c r="A943" s="30"/>
      <c r="B943" s="4"/>
      <c r="C943" s="4"/>
      <c r="D943" s="4"/>
      <c r="E943" s="4"/>
      <c r="F943" s="4"/>
      <c r="G943" s="4"/>
      <c r="H943" s="17"/>
      <c r="K943" s="40">
        <f>(J871+$B$4)*EXP(10*$K$22)</f>
        <v>0.52759942541955895</v>
      </c>
      <c r="L943" s="87"/>
      <c r="M943" s="87"/>
      <c r="N943" s="87"/>
      <c r="O943" s="87"/>
      <c r="P943" s="87"/>
      <c r="Q943" s="87"/>
      <c r="R943" s="87"/>
      <c r="S943" s="87"/>
      <c r="T943" s="87"/>
      <c r="U943" s="88">
        <f t="shared" si="38"/>
        <v>79.886406563328592</v>
      </c>
    </row>
    <row r="944" spans="1:21" x14ac:dyDescent="0.35">
      <c r="A944" s="30"/>
      <c r="B944" s="4"/>
      <c r="C944" s="4"/>
      <c r="D944" s="4"/>
      <c r="E944" s="4"/>
      <c r="F944" s="4"/>
      <c r="G944" s="4"/>
      <c r="H944" s="17"/>
      <c r="K944" s="8">
        <f>J872*EXP(10*K$22)</f>
        <v>0.51932774123246339</v>
      </c>
      <c r="L944" s="87"/>
      <c r="M944" s="87"/>
      <c r="N944" s="87"/>
      <c r="O944" s="87"/>
      <c r="P944" s="87"/>
      <c r="Q944" s="87"/>
      <c r="R944" s="87"/>
      <c r="S944" s="87"/>
      <c r="T944" s="87"/>
      <c r="U944" s="88">
        <f t="shared" si="38"/>
        <v>80.347212193954192</v>
      </c>
    </row>
    <row r="945" spans="1:21" x14ac:dyDescent="0.35">
      <c r="A945" s="30"/>
      <c r="B945" s="4"/>
      <c r="C945" s="4"/>
      <c r="D945" s="4"/>
      <c r="E945" s="4"/>
      <c r="F945" s="4"/>
      <c r="G945" s="4"/>
      <c r="H945" s="17"/>
      <c r="K945" s="40">
        <f>(J872+$B$4)*EXP(10*$K$22)</f>
        <v>0.52180251053495064</v>
      </c>
      <c r="L945" s="87"/>
      <c r="M945" s="87"/>
      <c r="N945" s="87"/>
      <c r="O945" s="87"/>
      <c r="P945" s="87"/>
      <c r="Q945" s="87"/>
      <c r="R945" s="87"/>
      <c r="S945" s="87"/>
      <c r="T945" s="87"/>
      <c r="U945" s="88">
        <f t="shared" si="38"/>
        <v>80.208760121673492</v>
      </c>
    </row>
    <row r="946" spans="1:21" x14ac:dyDescent="0.35">
      <c r="A946" s="30"/>
      <c r="B946" s="4"/>
      <c r="C946" s="4"/>
      <c r="D946" s="4"/>
      <c r="E946" s="4"/>
      <c r="F946" s="4"/>
      <c r="G946" s="4"/>
      <c r="H946" s="17"/>
      <c r="K946" s="8">
        <f>J873*EXP(10*K$22)</f>
        <v>0.52244560220370728</v>
      </c>
      <c r="L946" s="87"/>
      <c r="M946" s="87"/>
      <c r="N946" s="87"/>
      <c r="O946" s="87"/>
      <c r="P946" s="87"/>
      <c r="Q946" s="87"/>
      <c r="R946" s="87"/>
      <c r="S946" s="87"/>
      <c r="T946" s="87"/>
      <c r="U946" s="88">
        <f t="shared" si="38"/>
        <v>80.172864231637959</v>
      </c>
    </row>
    <row r="947" spans="1:21" x14ac:dyDescent="0.35">
      <c r="A947" s="30"/>
      <c r="B947" s="4"/>
      <c r="C947" s="4"/>
      <c r="D947" s="4"/>
      <c r="E947" s="4"/>
      <c r="F947" s="4"/>
      <c r="G947" s="4"/>
      <c r="H947" s="17"/>
      <c r="K947" s="40">
        <f>(J873+$B$4)*EXP(10*$K$22)</f>
        <v>0.52492037150619442</v>
      </c>
      <c r="L947" s="87"/>
      <c r="M947" s="87"/>
      <c r="N947" s="87"/>
      <c r="O947" s="87"/>
      <c r="P947" s="87"/>
      <c r="Q947" s="87"/>
      <c r="R947" s="87"/>
      <c r="S947" s="87"/>
      <c r="T947" s="87"/>
      <c r="U947" s="88">
        <f t="shared" si="38"/>
        <v>80.035043210222653</v>
      </c>
    </row>
    <row r="948" spans="1:21" x14ac:dyDescent="0.35">
      <c r="A948" s="30"/>
      <c r="B948" s="4"/>
      <c r="C948" s="4"/>
      <c r="D948" s="4"/>
      <c r="E948" s="4"/>
      <c r="F948" s="4"/>
      <c r="G948" s="4"/>
      <c r="H948" s="17"/>
      <c r="K948" s="8">
        <f>J874*EXP(10*K$22)</f>
        <v>0.52322450802037246</v>
      </c>
      <c r="L948" s="87"/>
      <c r="M948" s="87"/>
      <c r="N948" s="87"/>
      <c r="O948" s="87"/>
      <c r="P948" s="87"/>
      <c r="Q948" s="87"/>
      <c r="R948" s="87"/>
      <c r="S948" s="87"/>
      <c r="T948" s="87"/>
      <c r="U948" s="88">
        <f t="shared" si="38"/>
        <v>80.129432765752</v>
      </c>
    </row>
    <row r="949" spans="1:21" x14ac:dyDescent="0.35">
      <c r="A949" s="30"/>
      <c r="B949" s="4"/>
      <c r="C949" s="4"/>
      <c r="D949" s="4"/>
      <c r="E949" s="4"/>
      <c r="F949" s="4"/>
      <c r="G949" s="4"/>
      <c r="H949" s="17"/>
      <c r="K949" s="40">
        <f>(J874+$B$4)*EXP(10*$K$22)</f>
        <v>0.52569927732285959</v>
      </c>
      <c r="L949" s="87"/>
      <c r="M949" s="87"/>
      <c r="N949" s="87"/>
      <c r="O949" s="87"/>
      <c r="P949" s="87"/>
      <c r="Q949" s="87"/>
      <c r="R949" s="87"/>
      <c r="S949" s="87"/>
      <c r="T949" s="87"/>
      <c r="U949" s="88">
        <f t="shared" si="38"/>
        <v>79.991768720280362</v>
      </c>
    </row>
    <row r="950" spans="1:21" x14ac:dyDescent="0.35">
      <c r="A950" s="30"/>
      <c r="B950" s="4"/>
      <c r="C950" s="4"/>
      <c r="D950" s="4"/>
      <c r="E950" s="4"/>
      <c r="F950" s="4"/>
      <c r="G950" s="4"/>
      <c r="H950" s="17"/>
      <c r="K950" s="8">
        <f>J875*EXP(10*K$22)</f>
        <v>0.52634236899161624</v>
      </c>
      <c r="L950" s="87"/>
      <c r="M950" s="87"/>
      <c r="N950" s="87"/>
      <c r="O950" s="87"/>
      <c r="P950" s="87"/>
      <c r="Q950" s="87"/>
      <c r="R950" s="87"/>
      <c r="S950" s="87"/>
      <c r="T950" s="87"/>
      <c r="U950" s="88">
        <f t="shared" si="38"/>
        <v>79.956076906165308</v>
      </c>
    </row>
    <row r="951" spans="1:21" x14ac:dyDescent="0.35">
      <c r="A951" s="30"/>
      <c r="B951" s="4"/>
      <c r="C951" s="4"/>
      <c r="D951" s="4"/>
      <c r="E951" s="4"/>
      <c r="F951" s="4"/>
      <c r="G951" s="4"/>
      <c r="H951" s="17"/>
      <c r="K951" s="40">
        <f>(J875+$B$4)*EXP(10*$K$22)</f>
        <v>0.52881713829410348</v>
      </c>
      <c r="L951" s="87"/>
      <c r="M951" s="87"/>
      <c r="N951" s="87"/>
      <c r="O951" s="87"/>
      <c r="P951" s="87"/>
      <c r="Q951" s="87"/>
      <c r="R951" s="87"/>
      <c r="S951" s="87"/>
      <c r="T951" s="87"/>
      <c r="U951" s="88">
        <f t="shared" si="38"/>
        <v>79.819038537708707</v>
      </c>
    </row>
    <row r="952" spans="1:21" x14ac:dyDescent="0.35">
      <c r="A952" s="30"/>
      <c r="B952" s="4"/>
      <c r="C952" s="4"/>
      <c r="D952" s="4"/>
      <c r="E952" s="4"/>
      <c r="F952" s="4"/>
      <c r="G952" s="4"/>
      <c r="H952" s="17"/>
      <c r="K952" s="8">
        <f>J876*EXP(10*K$22)</f>
        <v>0.52403660754254799</v>
      </c>
      <c r="L952" s="87"/>
      <c r="M952" s="87"/>
      <c r="N952" s="87"/>
      <c r="O952" s="87"/>
      <c r="P952" s="87"/>
      <c r="Q952" s="87"/>
      <c r="R952" s="87"/>
      <c r="S952" s="87"/>
      <c r="T952" s="87"/>
      <c r="U952" s="88">
        <f t="shared" si="38"/>
        <v>80.084203138774257</v>
      </c>
    </row>
    <row r="953" spans="1:21" x14ac:dyDescent="0.35">
      <c r="A953" s="30"/>
      <c r="B953" s="4"/>
      <c r="C953" s="4"/>
      <c r="D953" s="4"/>
      <c r="E953" s="4"/>
      <c r="F953" s="4"/>
      <c r="G953" s="4"/>
      <c r="H953" s="17"/>
      <c r="K953" s="40">
        <f>(J876+$B$4)*EXP(10*$K$22)</f>
        <v>0.52651137684503524</v>
      </c>
      <c r="L953" s="87"/>
      <c r="M953" s="87"/>
      <c r="N953" s="87"/>
      <c r="O953" s="87"/>
      <c r="P953" s="87"/>
      <c r="Q953" s="87"/>
      <c r="R953" s="87"/>
      <c r="S953" s="87"/>
      <c r="T953" s="87"/>
      <c r="U953" s="88">
        <f t="shared" si="38"/>
        <v>79.946702473498775</v>
      </c>
    </row>
    <row r="954" spans="1:21" x14ac:dyDescent="0.35">
      <c r="A954" s="30"/>
      <c r="B954" s="4"/>
      <c r="C954" s="4"/>
      <c r="D954" s="4"/>
      <c r="E954" s="4"/>
      <c r="F954" s="4"/>
      <c r="G954" s="4"/>
      <c r="H954" s="17"/>
      <c r="K954" s="8">
        <f>J877*EXP(10*K$22)</f>
        <v>0.52715446851379189</v>
      </c>
      <c r="L954" s="87"/>
      <c r="M954" s="87"/>
      <c r="N954" s="87"/>
      <c r="O954" s="87"/>
      <c r="P954" s="87"/>
      <c r="Q954" s="87"/>
      <c r="R954" s="87"/>
      <c r="S954" s="87"/>
      <c r="T954" s="87"/>
      <c r="U954" s="88">
        <f t="shared" si="38"/>
        <v>79.911052970330971</v>
      </c>
    </row>
    <row r="955" spans="1:21" x14ac:dyDescent="0.35">
      <c r="A955" s="30"/>
      <c r="B955" s="4"/>
      <c r="C955" s="4"/>
      <c r="D955" s="4"/>
      <c r="E955" s="4"/>
      <c r="F955" s="4"/>
      <c r="G955" s="4"/>
      <c r="H955" s="17"/>
      <c r="K955" s="40">
        <f>(J877+$B$4)*EXP(10*$K$22)</f>
        <v>0.52962923781627913</v>
      </c>
      <c r="L955" s="87"/>
      <c r="M955" s="87"/>
      <c r="N955" s="87"/>
      <c r="O955" s="87"/>
      <c r="P955" s="87"/>
      <c r="Q955" s="87"/>
      <c r="R955" s="87"/>
      <c r="S955" s="87"/>
      <c r="T955" s="87"/>
      <c r="U955" s="88">
        <f t="shared" si="38"/>
        <v>79.774176869831749</v>
      </c>
    </row>
    <row r="956" spans="1:21" x14ac:dyDescent="0.35">
      <c r="A956" s="30"/>
      <c r="B956" s="4"/>
      <c r="C956" s="4"/>
      <c r="D956" s="4"/>
      <c r="E956" s="4"/>
      <c r="F956" s="4"/>
      <c r="G956" s="4"/>
      <c r="H956" s="17"/>
      <c r="K956" s="8">
        <f>J878*EXP(10*K$22)</f>
        <v>0.52793337433045706</v>
      </c>
      <c r="L956" s="87"/>
      <c r="M956" s="87"/>
      <c r="N956" s="87"/>
      <c r="O956" s="87"/>
      <c r="P956" s="87"/>
      <c r="Q956" s="87"/>
      <c r="R956" s="87"/>
      <c r="S956" s="87"/>
      <c r="T956" s="87"/>
      <c r="U956" s="88">
        <f t="shared" si="38"/>
        <v>79.867919460584076</v>
      </c>
    </row>
    <row r="957" spans="1:21" x14ac:dyDescent="0.35">
      <c r="A957" s="30"/>
      <c r="B957" s="4"/>
      <c r="C957" s="4"/>
      <c r="D957" s="4"/>
      <c r="E957" s="4"/>
      <c r="F957" s="4"/>
      <c r="G957" s="4"/>
      <c r="H957" s="17"/>
      <c r="K957" s="40">
        <f>(J878+$B$4)*EXP(10*$K$22)</f>
        <v>0.53040814363294431</v>
      </c>
      <c r="L957" s="87"/>
      <c r="M957" s="87"/>
      <c r="N957" s="87"/>
      <c r="O957" s="87"/>
      <c r="P957" s="87"/>
      <c r="Q957" s="87"/>
      <c r="R957" s="87"/>
      <c r="S957" s="87"/>
      <c r="T957" s="87"/>
      <c r="U957" s="88">
        <f t="shared" si="38"/>
        <v>79.73119872487942</v>
      </c>
    </row>
    <row r="958" spans="1:21" x14ac:dyDescent="0.35">
      <c r="A958" s="30"/>
      <c r="B958" s="4"/>
      <c r="C958" s="4"/>
      <c r="D958" s="4"/>
      <c r="E958" s="4"/>
      <c r="F958" s="4"/>
      <c r="G958" s="4"/>
      <c r="H958" s="17"/>
      <c r="K958" s="8">
        <f>J879*EXP(10*K$22)</f>
        <v>0.53105123530170095</v>
      </c>
      <c r="L958" s="87"/>
      <c r="M958" s="87"/>
      <c r="N958" s="87"/>
      <c r="O958" s="87"/>
      <c r="P958" s="87"/>
      <c r="Q958" s="87"/>
      <c r="R958" s="87"/>
      <c r="S958" s="87"/>
      <c r="T958" s="87"/>
      <c r="U958" s="88">
        <f t="shared" si="38"/>
        <v>79.69575120306115</v>
      </c>
    </row>
    <row r="959" spans="1:21" x14ac:dyDescent="0.35">
      <c r="A959" s="30"/>
      <c r="B959" s="4"/>
      <c r="C959" s="4"/>
      <c r="D959" s="4"/>
      <c r="E959" s="4"/>
      <c r="F959" s="4"/>
      <c r="G959" s="4"/>
      <c r="H959" s="17"/>
      <c r="K959" s="40">
        <f>(J879+$B$4)*EXP(10*$K$22)</f>
        <v>0.53352600460418809</v>
      </c>
      <c r="L959" s="87"/>
      <c r="M959" s="87"/>
      <c r="N959" s="87"/>
      <c r="O959" s="87"/>
      <c r="P959" s="87"/>
      <c r="Q959" s="87"/>
      <c r="R959" s="87"/>
      <c r="S959" s="87"/>
      <c r="T959" s="87"/>
      <c r="U959" s="88">
        <f t="shared" si="38"/>
        <v>79.559649731697249</v>
      </c>
    </row>
    <row r="960" spans="1:21" x14ac:dyDescent="0.35">
      <c r="A960" s="30"/>
      <c r="B960" s="4"/>
      <c r="C960" s="4"/>
      <c r="D960" s="4"/>
      <c r="E960" s="4"/>
      <c r="F960" s="4"/>
      <c r="G960" s="4"/>
      <c r="H960" s="17"/>
      <c r="K960" s="8">
        <f>J880*EXP(10*K$22)</f>
        <v>0.52066165103781215</v>
      </c>
      <c r="L960" s="87"/>
      <c r="M960" s="87"/>
      <c r="N960" s="87"/>
      <c r="O960" s="87"/>
      <c r="P960" s="87"/>
      <c r="Q960" s="87"/>
      <c r="R960" s="87"/>
      <c r="S960" s="87"/>
      <c r="T960" s="87"/>
      <c r="U960" s="88">
        <f t="shared" si="38"/>
        <v>80.2725235757039</v>
      </c>
    </row>
    <row r="961" spans="1:21" x14ac:dyDescent="0.35">
      <c r="A961" s="30"/>
      <c r="B961" s="4"/>
      <c r="C961" s="4"/>
      <c r="D961" s="4"/>
      <c r="E961" s="4"/>
      <c r="F961" s="4"/>
      <c r="G961" s="4"/>
      <c r="H961" s="17"/>
      <c r="K961" s="40">
        <f>(J880+$B$4)*EXP(10*$K$22)</f>
        <v>0.52313642034029928</v>
      </c>
      <c r="L961" s="87"/>
      <c r="M961" s="87"/>
      <c r="N961" s="87"/>
      <c r="O961" s="87"/>
      <c r="P961" s="87"/>
      <c r="Q961" s="87"/>
      <c r="R961" s="87"/>
      <c r="S961" s="87"/>
      <c r="T961" s="87"/>
      <c r="U961" s="88">
        <f t="shared" si="38"/>
        <v>80.13434201436003</v>
      </c>
    </row>
    <row r="962" spans="1:21" x14ac:dyDescent="0.35">
      <c r="A962" s="30"/>
      <c r="B962" s="4"/>
      <c r="C962" s="4"/>
      <c r="D962" s="4"/>
      <c r="E962" s="4"/>
      <c r="F962" s="4"/>
      <c r="G962" s="4"/>
      <c r="H962" s="17"/>
      <c r="K962" s="8">
        <f>J881*EXP(10*K$22)</f>
        <v>0.52377951200905593</v>
      </c>
      <c r="L962" s="87"/>
      <c r="M962" s="87"/>
      <c r="N962" s="87"/>
      <c r="O962" s="87"/>
      <c r="P962" s="87"/>
      <c r="Q962" s="87"/>
      <c r="R962" s="87"/>
      <c r="S962" s="87"/>
      <c r="T962" s="87"/>
      <c r="U962" s="88">
        <f t="shared" si="38"/>
        <v>80.098516178529081</v>
      </c>
    </row>
    <row r="963" spans="1:21" x14ac:dyDescent="0.35">
      <c r="A963" s="30"/>
      <c r="B963" s="4"/>
      <c r="C963" s="4"/>
      <c r="D963" s="4"/>
      <c r="E963" s="4"/>
      <c r="F963" s="4"/>
      <c r="G963" s="4"/>
      <c r="H963" s="17"/>
      <c r="K963" s="40">
        <f>(J881+$B$4)*EXP(10*$K$22)</f>
        <v>0.52625428131154317</v>
      </c>
      <c r="L963" s="87"/>
      <c r="M963" s="87"/>
      <c r="N963" s="87"/>
      <c r="O963" s="87"/>
      <c r="P963" s="87"/>
      <c r="Q963" s="87"/>
      <c r="R963" s="87"/>
      <c r="S963" s="87"/>
      <c r="T963" s="87"/>
      <c r="U963" s="88">
        <f t="shared" si="38"/>
        <v>79.960963821614442</v>
      </c>
    </row>
    <row r="964" spans="1:21" x14ac:dyDescent="0.35">
      <c r="A964" s="30"/>
      <c r="B964" s="4"/>
      <c r="C964" s="4"/>
      <c r="D964" s="4"/>
      <c r="E964" s="4"/>
      <c r="F964" s="4"/>
      <c r="G964" s="4"/>
      <c r="H964" s="17"/>
      <c r="K964" s="8">
        <f>J882*EXP(10*K$22)</f>
        <v>0.5245584178257211</v>
      </c>
      <c r="L964" s="87"/>
      <c r="M964" s="87"/>
      <c r="N964" s="87"/>
      <c r="O964" s="87"/>
      <c r="P964" s="87"/>
      <c r="Q964" s="87"/>
      <c r="R964" s="87"/>
      <c r="S964" s="87"/>
      <c r="T964" s="87"/>
      <c r="U964" s="88">
        <f t="shared" si="38"/>
        <v>80.055169429172139</v>
      </c>
    </row>
    <row r="965" spans="1:21" x14ac:dyDescent="0.35">
      <c r="A965" s="30"/>
      <c r="B965" s="4"/>
      <c r="C965" s="4"/>
      <c r="D965" s="4"/>
      <c r="E965" s="4"/>
      <c r="F965" s="4"/>
      <c r="G965" s="4"/>
      <c r="H965" s="17"/>
      <c r="K965" s="40">
        <f>(J882+$B$4)*EXP(10*$K$22)</f>
        <v>0.52703318712820835</v>
      </c>
      <c r="L965" s="87"/>
      <c r="M965" s="87"/>
      <c r="N965" s="87"/>
      <c r="O965" s="87"/>
      <c r="P965" s="87"/>
      <c r="Q965" s="87"/>
      <c r="R965" s="87"/>
      <c r="S965" s="87"/>
      <c r="T965" s="87"/>
      <c r="U965" s="88">
        <f t="shared" si="38"/>
        <v>79.917773589548347</v>
      </c>
    </row>
    <row r="966" spans="1:21" x14ac:dyDescent="0.35">
      <c r="A966" s="30"/>
      <c r="B966" s="4"/>
      <c r="C966" s="4"/>
      <c r="D966" s="4"/>
      <c r="E966" s="4"/>
      <c r="F966" s="4"/>
      <c r="G966" s="4"/>
      <c r="H966" s="17"/>
      <c r="K966" s="8">
        <f>J883*EXP(10*K$22)</f>
        <v>0.52767627879696499</v>
      </c>
      <c r="L966" s="87"/>
      <c r="M966" s="87"/>
      <c r="N966" s="87"/>
      <c r="O966" s="87"/>
      <c r="P966" s="87"/>
      <c r="Q966" s="87"/>
      <c r="R966" s="87"/>
      <c r="S966" s="87"/>
      <c r="T966" s="87"/>
      <c r="U966" s="88">
        <f t="shared" si="38"/>
        <v>79.882151233367239</v>
      </c>
    </row>
    <row r="967" spans="1:21" x14ac:dyDescent="0.35">
      <c r="A967" s="30"/>
      <c r="B967" s="4"/>
      <c r="C967" s="4"/>
      <c r="D967" s="4"/>
      <c r="E967" s="4"/>
      <c r="F967" s="4"/>
      <c r="G967" s="4"/>
      <c r="H967" s="17"/>
      <c r="K967" s="40">
        <f>(J883+$B$4)*EXP(10*$K$22)</f>
        <v>0.53015104809945224</v>
      </c>
      <c r="L967" s="87"/>
      <c r="M967" s="87"/>
      <c r="N967" s="87"/>
      <c r="O967" s="87"/>
      <c r="P967" s="87"/>
      <c r="Q967" s="87"/>
      <c r="R967" s="87"/>
      <c r="S967" s="87"/>
      <c r="T967" s="87"/>
      <c r="U967" s="88">
        <f t="shared" si="38"/>
        <v>79.745379245247335</v>
      </c>
    </row>
    <row r="968" spans="1:21" x14ac:dyDescent="0.35">
      <c r="A968" s="30"/>
      <c r="B968" s="4"/>
      <c r="C968" s="4"/>
      <c r="D968" s="4"/>
      <c r="E968" s="4"/>
      <c r="F968" s="4"/>
      <c r="G968" s="4"/>
      <c r="H968" s="17"/>
      <c r="K968" s="8">
        <f>J884*EXP(10*K$22)</f>
        <v>0.52537051734789664</v>
      </c>
      <c r="L968" s="87"/>
      <c r="M968" s="87"/>
      <c r="N968" s="87"/>
      <c r="O968" s="87"/>
      <c r="P968" s="87"/>
      <c r="Q968" s="87"/>
      <c r="R968" s="87"/>
      <c r="S968" s="87"/>
      <c r="T968" s="87"/>
      <c r="U968" s="88">
        <f t="shared" si="38"/>
        <v>80.010027974896147</v>
      </c>
    </row>
    <row r="969" spans="1:21" x14ac:dyDescent="0.35">
      <c r="A969" s="30"/>
      <c r="B969" s="4"/>
      <c r="C969" s="4"/>
      <c r="D969" s="4"/>
      <c r="E969" s="4"/>
      <c r="F969" s="4"/>
      <c r="G969" s="4"/>
      <c r="H969" s="17"/>
      <c r="K969" s="40">
        <f>(J884+$B$4)*EXP(10*$K$22)</f>
        <v>0.52784528665038388</v>
      </c>
      <c r="L969" s="87"/>
      <c r="M969" s="87"/>
      <c r="N969" s="87"/>
      <c r="O969" s="87"/>
      <c r="P969" s="87"/>
      <c r="Q969" s="87"/>
      <c r="R969" s="87"/>
      <c r="S969" s="87"/>
      <c r="T969" s="87"/>
      <c r="U969" s="88">
        <f t="shared" si="38"/>
        <v>79.872795038380815</v>
      </c>
    </row>
    <row r="970" spans="1:21" x14ac:dyDescent="0.35">
      <c r="A970" s="30"/>
      <c r="B970" s="4"/>
      <c r="C970" s="4"/>
      <c r="D970" s="4"/>
      <c r="E970" s="4"/>
      <c r="F970" s="4"/>
      <c r="G970" s="4"/>
      <c r="H970" s="17"/>
      <c r="K970" s="8">
        <f>J885*EXP(10*K$22)</f>
        <v>0.52848837831914053</v>
      </c>
      <c r="L970" s="87"/>
      <c r="M970" s="87"/>
      <c r="N970" s="87"/>
      <c r="O970" s="87"/>
      <c r="P970" s="87"/>
      <c r="Q970" s="87"/>
      <c r="R970" s="87"/>
      <c r="S970" s="87"/>
      <c r="T970" s="87"/>
      <c r="U970" s="88">
        <f t="shared" si="38"/>
        <v>79.837214869734993</v>
      </c>
    </row>
    <row r="971" spans="1:21" x14ac:dyDescent="0.35">
      <c r="A971" s="30"/>
      <c r="B971" s="4"/>
      <c r="C971" s="4"/>
      <c r="D971" s="4"/>
      <c r="E971" s="4"/>
      <c r="F971" s="4"/>
      <c r="G971" s="4"/>
      <c r="H971" s="17"/>
      <c r="K971" s="40">
        <f>(J885+$B$4)*EXP(10*$K$22)</f>
        <v>0.53096314762162777</v>
      </c>
      <c r="L971" s="87"/>
      <c r="M971" s="87"/>
      <c r="N971" s="87"/>
      <c r="O971" s="87"/>
      <c r="P971" s="87"/>
      <c r="Q971" s="87"/>
      <c r="R971" s="87"/>
      <c r="S971" s="87"/>
      <c r="T971" s="87"/>
      <c r="U971" s="88">
        <f t="shared" si="38"/>
        <v>79.700604676808254</v>
      </c>
    </row>
    <row r="972" spans="1:21" x14ac:dyDescent="0.35">
      <c r="A972" s="30"/>
      <c r="B972" s="4"/>
      <c r="C972" s="4"/>
      <c r="D972" s="4"/>
      <c r="E972" s="4"/>
      <c r="F972" s="4"/>
      <c r="G972" s="4"/>
      <c r="H972" s="17"/>
      <c r="K972" s="8">
        <f>J886*EXP(10*K$22)</f>
        <v>0.5292672841358057</v>
      </c>
      <c r="L972" s="87"/>
      <c r="M972" s="87"/>
      <c r="N972" s="87"/>
      <c r="O972" s="87"/>
      <c r="P972" s="87"/>
      <c r="Q972" s="87"/>
      <c r="R972" s="87"/>
      <c r="S972" s="87"/>
      <c r="T972" s="87"/>
      <c r="U972" s="88">
        <f t="shared" si="38"/>
        <v>79.794165206654881</v>
      </c>
    </row>
    <row r="973" spans="1:21" x14ac:dyDescent="0.35">
      <c r="A973" s="30"/>
      <c r="B973" s="4"/>
      <c r="C973" s="4"/>
      <c r="D973" s="4"/>
      <c r="E973" s="4"/>
      <c r="F973" s="4"/>
      <c r="G973" s="4"/>
      <c r="H973" s="17"/>
      <c r="K973" s="40">
        <f>(J886+$B$4)*EXP(10*$K$22)</f>
        <v>0.53174205343829295</v>
      </c>
      <c r="L973" s="87"/>
      <c r="M973" s="87"/>
      <c r="N973" s="87"/>
      <c r="O973" s="87"/>
      <c r="P973" s="87"/>
      <c r="Q973" s="87"/>
      <c r="R973" s="87"/>
      <c r="S973" s="87"/>
      <c r="T973" s="87"/>
      <c r="U973" s="88">
        <f t="shared" si="38"/>
        <v>79.657709926132711</v>
      </c>
    </row>
    <row r="974" spans="1:21" x14ac:dyDescent="0.35">
      <c r="A974" s="30"/>
      <c r="B974" s="4"/>
      <c r="C974" s="4"/>
      <c r="D974" s="4"/>
      <c r="E974" s="4"/>
      <c r="F974" s="4"/>
      <c r="G974" s="4"/>
      <c r="H974" s="17"/>
      <c r="K974" s="8">
        <f>J887*EXP(10*K$22)</f>
        <v>0.53238514510704948</v>
      </c>
      <c r="L974" s="87"/>
      <c r="M974" s="87"/>
      <c r="N974" s="87"/>
      <c r="O974" s="87"/>
      <c r="P974" s="87"/>
      <c r="Q974" s="87"/>
      <c r="R974" s="87"/>
      <c r="S974" s="87"/>
      <c r="T974" s="87"/>
      <c r="U974" s="88">
        <f t="shared" si="38"/>
        <v>79.622331150707794</v>
      </c>
    </row>
    <row r="975" spans="1:21" x14ac:dyDescent="0.35">
      <c r="A975" s="30"/>
      <c r="B975" s="4"/>
      <c r="C975" s="4"/>
      <c r="D975" s="4"/>
      <c r="E975" s="4"/>
      <c r="F975" s="4"/>
      <c r="G975" s="4"/>
      <c r="H975" s="17"/>
      <c r="K975" s="40">
        <f>(J887+$B$4)*EXP(10*$K$22)</f>
        <v>0.53485991440953673</v>
      </c>
      <c r="L975" s="87"/>
      <c r="M975" s="87"/>
      <c r="N975" s="87"/>
      <c r="O975" s="87"/>
      <c r="P975" s="87"/>
      <c r="Q975" s="87"/>
      <c r="R975" s="87"/>
      <c r="S975" s="87"/>
      <c r="T975" s="87"/>
      <c r="U975" s="88">
        <f t="shared" si="38"/>
        <v>79.486493333907177</v>
      </c>
    </row>
    <row r="976" spans="1:21" x14ac:dyDescent="0.35">
      <c r="A976" s="30"/>
      <c r="B976" s="4"/>
      <c r="C976" s="4"/>
      <c r="D976" s="4"/>
      <c r="E976" s="4"/>
      <c r="F976" s="4"/>
      <c r="G976" s="4"/>
      <c r="H976" s="17"/>
      <c r="K976" s="8">
        <f>J888*EXP(10*K$22)</f>
        <v>0.52658823022244117</v>
      </c>
      <c r="L976" s="87"/>
      <c r="M976" s="87"/>
      <c r="N976" s="87"/>
      <c r="O976" s="87"/>
      <c r="P976" s="87"/>
      <c r="Q976" s="87"/>
      <c r="R976" s="87"/>
      <c r="S976" s="87"/>
      <c r="T976" s="87"/>
      <c r="U976" s="88">
        <f t="shared" si="38"/>
        <v>79.942440378854982</v>
      </c>
    </row>
    <row r="977" spans="1:21" x14ac:dyDescent="0.35">
      <c r="A977" s="30"/>
      <c r="B977" s="4"/>
      <c r="C977" s="4"/>
      <c r="D977" s="4"/>
      <c r="E977" s="4"/>
      <c r="F977" s="4"/>
      <c r="G977" s="4"/>
      <c r="H977" s="17"/>
      <c r="K977" s="40">
        <f>(J888+$B$4)*EXP(10*$K$22)</f>
        <v>0.52906299952492841</v>
      </c>
      <c r="L977" s="87"/>
      <c r="M977" s="87"/>
      <c r="N977" s="87"/>
      <c r="O977" s="87"/>
      <c r="P977" s="87"/>
      <c r="Q977" s="87"/>
      <c r="R977" s="87"/>
      <c r="S977" s="87"/>
      <c r="T977" s="87"/>
      <c r="U977" s="88">
        <f t="shared" si="38"/>
        <v>79.805451167085437</v>
      </c>
    </row>
    <row r="978" spans="1:21" x14ac:dyDescent="0.35">
      <c r="A978" s="30"/>
      <c r="B978" s="4"/>
      <c r="C978" s="4"/>
      <c r="D978" s="4"/>
      <c r="E978" s="4"/>
      <c r="F978" s="4"/>
      <c r="G978" s="4"/>
      <c r="H978" s="17"/>
      <c r="K978" s="8">
        <f>J889*EXP(10*K$22)</f>
        <v>0.52970609119368506</v>
      </c>
      <c r="L978" s="87"/>
      <c r="M978" s="87"/>
      <c r="N978" s="87"/>
      <c r="O978" s="87"/>
      <c r="P978" s="87"/>
      <c r="Q978" s="87"/>
      <c r="R978" s="87"/>
      <c r="S978" s="87"/>
      <c r="T978" s="87"/>
      <c r="U978" s="88">
        <f t="shared" si="38"/>
        <v>79.769934116770571</v>
      </c>
    </row>
    <row r="979" spans="1:21" x14ac:dyDescent="0.35">
      <c r="A979" s="30"/>
      <c r="B979" s="4"/>
      <c r="C979" s="4"/>
      <c r="D979" s="4"/>
      <c r="E979" s="4"/>
      <c r="F979" s="4"/>
      <c r="G979" s="4"/>
      <c r="H979" s="17"/>
      <c r="K979" s="40">
        <f>(J889+$B$4)*EXP(10*$K$22)</f>
        <v>0.53218086049617219</v>
      </c>
      <c r="L979" s="87"/>
      <c r="M979" s="87"/>
      <c r="N979" s="87"/>
      <c r="O979" s="87"/>
      <c r="P979" s="87"/>
      <c r="Q979" s="87"/>
      <c r="R979" s="87"/>
      <c r="S979" s="87"/>
      <c r="T979" s="87"/>
      <c r="U979" s="88">
        <f t="shared" si="38"/>
        <v>79.633565992222813</v>
      </c>
    </row>
    <row r="980" spans="1:21" x14ac:dyDescent="0.35">
      <c r="A980" s="30"/>
      <c r="B980" s="4"/>
      <c r="C980" s="4"/>
      <c r="D980" s="4"/>
      <c r="E980" s="4"/>
      <c r="F980" s="4"/>
      <c r="G980" s="4"/>
      <c r="H980" s="17"/>
      <c r="K980" s="8">
        <f>J890*EXP(10*K$22)</f>
        <v>0.53048499701035023</v>
      </c>
      <c r="L980" s="87"/>
      <c r="M980" s="87"/>
      <c r="N980" s="87"/>
      <c r="O980" s="87"/>
      <c r="P980" s="87"/>
      <c r="Q980" s="87"/>
      <c r="R980" s="87"/>
      <c r="S980" s="87"/>
      <c r="T980" s="87"/>
      <c r="U980" s="88">
        <f t="shared" si="38"/>
        <v>79.726960783189412</v>
      </c>
    </row>
    <row r="981" spans="1:21" x14ac:dyDescent="0.35">
      <c r="A981" s="30"/>
      <c r="B981" s="4"/>
      <c r="C981" s="4"/>
      <c r="D981" s="4"/>
      <c r="E981" s="4"/>
      <c r="F981" s="4"/>
      <c r="G981" s="4"/>
      <c r="H981" s="17"/>
      <c r="K981" s="40">
        <f>(J890+$B$4)*EXP(10*$K$22)</f>
        <v>0.53295976631283737</v>
      </c>
      <c r="L981" s="87"/>
      <c r="M981" s="87"/>
      <c r="N981" s="87"/>
      <c r="O981" s="87"/>
      <c r="P981" s="87"/>
      <c r="Q981" s="87"/>
      <c r="R981" s="87"/>
      <c r="S981" s="87"/>
      <c r="T981" s="87"/>
      <c r="U981" s="88">
        <f t="shared" si="38"/>
        <v>79.590747159596191</v>
      </c>
    </row>
    <row r="982" spans="1:21" x14ac:dyDescent="0.35">
      <c r="A982" s="30"/>
      <c r="B982" s="4"/>
      <c r="C982" s="4"/>
      <c r="D982" s="4"/>
      <c r="E982" s="4"/>
      <c r="F982" s="4"/>
      <c r="G982" s="4"/>
      <c r="H982" s="17"/>
      <c r="K982" s="8">
        <f>J891*EXP(10*K$22)</f>
        <v>0.53360285798159401</v>
      </c>
      <c r="L982" s="87"/>
      <c r="M982" s="87"/>
      <c r="N982" s="87"/>
      <c r="O982" s="87"/>
      <c r="P982" s="87"/>
      <c r="Q982" s="87"/>
      <c r="R982" s="87"/>
      <c r="S982" s="87"/>
      <c r="T982" s="87"/>
      <c r="U982" s="88">
        <f t="shared" si="38"/>
        <v>79.55543096759753</v>
      </c>
    </row>
    <row r="983" spans="1:21" x14ac:dyDescent="0.35">
      <c r="A983" s="30"/>
      <c r="B983" s="4"/>
      <c r="C983" s="4"/>
      <c r="D983" s="4"/>
      <c r="E983" s="4"/>
      <c r="F983" s="4"/>
      <c r="G983" s="4"/>
      <c r="H983" s="17"/>
      <c r="K983" s="40">
        <f>(J891+$B$4)*EXP(10*$K$22)</f>
        <v>0.53607762728408126</v>
      </c>
      <c r="L983" s="87"/>
      <c r="M983" s="87"/>
      <c r="N983" s="87"/>
      <c r="O983" s="87"/>
      <c r="P983" s="87"/>
      <c r="Q983" s="87"/>
      <c r="R983" s="87"/>
      <c r="S983" s="87"/>
      <c r="T983" s="87"/>
      <c r="U983" s="88">
        <f t="shared" si="38"/>
        <v>79.419833170048776</v>
      </c>
    </row>
    <row r="984" spans="1:21" x14ac:dyDescent="0.35">
      <c r="A984" s="30"/>
      <c r="B984" s="4"/>
      <c r="C984" s="4"/>
      <c r="D984" s="4"/>
      <c r="E984" s="4"/>
      <c r="F984" s="4"/>
      <c r="G984" s="4"/>
      <c r="H984" s="17"/>
      <c r="K984" s="8">
        <f>J892*EXP(10*K$22)</f>
        <v>0.53129709653252577</v>
      </c>
      <c r="L984" s="87"/>
      <c r="M984" s="87"/>
      <c r="N984" s="87"/>
      <c r="O984" s="87"/>
      <c r="P984" s="87"/>
      <c r="Q984" s="87"/>
      <c r="R984" s="87"/>
      <c r="S984" s="87"/>
      <c r="T984" s="87"/>
      <c r="U984" s="88">
        <f t="shared" si="38"/>
        <v>79.682207980693249</v>
      </c>
    </row>
    <row r="985" spans="1:21" x14ac:dyDescent="0.35">
      <c r="A985" s="30"/>
      <c r="B985" s="4"/>
      <c r="C985" s="4"/>
      <c r="D985" s="4"/>
      <c r="E985" s="4"/>
      <c r="F985" s="4"/>
      <c r="G985" s="4"/>
      <c r="H985" s="17"/>
      <c r="K985" s="40">
        <f>(J892+$B$4)*EXP(10*$K$22)</f>
        <v>0.5337718658350129</v>
      </c>
      <c r="L985" s="87"/>
      <c r="M985" s="87"/>
      <c r="N985" s="87"/>
      <c r="O985" s="87"/>
      <c r="P985" s="87"/>
      <c r="Q985" s="87"/>
      <c r="R985" s="87"/>
      <c r="S985" s="87"/>
      <c r="T985" s="87"/>
      <c r="U985" s="88">
        <f t="shared" si="38"/>
        <v>79.546155162815708</v>
      </c>
    </row>
    <row r="986" spans="1:21" x14ac:dyDescent="0.35">
      <c r="A986" s="30"/>
      <c r="B986" s="4"/>
      <c r="C986" s="4"/>
      <c r="D986" s="4"/>
      <c r="E986" s="4"/>
      <c r="F986" s="4"/>
      <c r="G986" s="4"/>
      <c r="H986" s="17"/>
      <c r="K986" s="8">
        <f>J893*EXP(10*K$22)</f>
        <v>0.53441495750376955</v>
      </c>
      <c r="L986" s="87"/>
      <c r="M986" s="87"/>
      <c r="N986" s="87"/>
      <c r="O986" s="87"/>
      <c r="P986" s="87"/>
      <c r="Q986" s="87"/>
      <c r="R986" s="87"/>
      <c r="S986" s="87"/>
      <c r="T986" s="87"/>
      <c r="U986" s="88">
        <f t="shared" si="38"/>
        <v>79.510880615796864</v>
      </c>
    </row>
    <row r="987" spans="1:21" x14ac:dyDescent="0.35">
      <c r="A987" s="30"/>
      <c r="B987" s="4"/>
      <c r="C987" s="4"/>
      <c r="D987" s="4"/>
      <c r="E987" s="4"/>
      <c r="F987" s="4"/>
      <c r="G987" s="4"/>
      <c r="H987" s="17"/>
      <c r="K987" s="40">
        <f>(J893+$B$4)*EXP(10*$K$22)</f>
        <v>0.5368897268062568</v>
      </c>
      <c r="L987" s="87"/>
      <c r="M987" s="87"/>
      <c r="N987" s="87"/>
      <c r="O987" s="87"/>
      <c r="P987" s="87"/>
      <c r="Q987" s="87"/>
      <c r="R987" s="87"/>
      <c r="S987" s="87"/>
      <c r="T987" s="87"/>
      <c r="U987" s="88">
        <f t="shared" si="38"/>
        <v>79.375442535005561</v>
      </c>
    </row>
    <row r="988" spans="1:21" x14ac:dyDescent="0.35">
      <c r="A988" s="30"/>
      <c r="B988" s="4"/>
      <c r="C988" s="4"/>
      <c r="D988" s="4"/>
      <c r="E988" s="4"/>
      <c r="F988" s="4"/>
      <c r="G988" s="4"/>
      <c r="H988" s="17"/>
      <c r="K988" s="8">
        <f>J894*EXP(10*K$22)</f>
        <v>0.53519386332043473</v>
      </c>
      <c r="L988" s="87"/>
      <c r="M988" s="87"/>
      <c r="N988" s="87"/>
      <c r="O988" s="87"/>
      <c r="P988" s="87"/>
      <c r="Q988" s="87"/>
      <c r="R988" s="87"/>
      <c r="S988" s="87"/>
      <c r="T988" s="87"/>
      <c r="U988" s="88">
        <f t="shared" si="38"/>
        <v>79.468200544358496</v>
      </c>
    </row>
    <row r="989" spans="1:21" x14ac:dyDescent="0.35">
      <c r="A989" s="30"/>
      <c r="B989" s="4"/>
      <c r="C989" s="4"/>
      <c r="D989" s="4"/>
      <c r="E989" s="4"/>
      <c r="F989" s="4"/>
      <c r="G989" s="4"/>
      <c r="H989" s="17"/>
      <c r="K989" s="40">
        <f>(J894+$B$4)*EXP(10*$K$22)</f>
        <v>0.53766863262292197</v>
      </c>
      <c r="L989" s="87"/>
      <c r="M989" s="87"/>
      <c r="N989" s="87"/>
      <c r="O989" s="87"/>
      <c r="P989" s="87"/>
      <c r="Q989" s="87"/>
      <c r="R989" s="87"/>
      <c r="S989" s="87"/>
      <c r="T989" s="87"/>
      <c r="U989" s="88">
        <f t="shared" si="38"/>
        <v>79.332915387096151</v>
      </c>
    </row>
    <row r="990" spans="1:21" x14ac:dyDescent="0.35">
      <c r="A990" s="30"/>
      <c r="B990" s="4"/>
      <c r="C990" s="4"/>
      <c r="D990" s="4"/>
      <c r="E990" s="4"/>
      <c r="F990" s="4"/>
      <c r="G990" s="4"/>
      <c r="H990" s="17"/>
      <c r="K990" s="8">
        <f>J895*EXP(10*K$22)</f>
        <v>0.53831172429167862</v>
      </c>
      <c r="L990" s="87"/>
      <c r="M990" s="87"/>
      <c r="N990" s="87"/>
      <c r="O990" s="87"/>
      <c r="P990" s="87"/>
      <c r="Q990" s="87"/>
      <c r="R990" s="87"/>
      <c r="S990" s="87"/>
      <c r="T990" s="87"/>
      <c r="U990" s="88">
        <f t="shared" si="38"/>
        <v>79.297839647664802</v>
      </c>
    </row>
    <row r="991" spans="1:21" x14ac:dyDescent="0.35">
      <c r="A991" s="30"/>
      <c r="B991" s="4"/>
      <c r="C991" s="4"/>
      <c r="D991" s="4"/>
      <c r="E991" s="4"/>
      <c r="F991" s="4"/>
      <c r="G991" s="4"/>
      <c r="H991" s="17"/>
      <c r="K991" s="40">
        <f>(J895+$B$4)*EXP(10*$K$22)</f>
        <v>0.54078649359416586</v>
      </c>
      <c r="L991" s="87"/>
      <c r="M991" s="87"/>
      <c r="N991" s="87"/>
      <c r="O991" s="87"/>
      <c r="P991" s="87"/>
      <c r="Q991" s="87"/>
      <c r="R991" s="87"/>
      <c r="S991" s="87"/>
      <c r="T991" s="87"/>
      <c r="U991" s="88">
        <f t="shared" si="38"/>
        <v>79.163164037810517</v>
      </c>
    </row>
    <row r="992" spans="1:21" x14ac:dyDescent="0.35">
      <c r="A992" s="30"/>
      <c r="B992" s="4"/>
      <c r="C992" s="4"/>
      <c r="D992" s="4"/>
      <c r="E992" s="4"/>
      <c r="F992" s="4"/>
      <c r="G992" s="4"/>
      <c r="H992" s="17"/>
      <c r="K992" s="8">
        <f>J896*EXP(10*K$22)</f>
        <v>0.52258501823654591</v>
      </c>
      <c r="L992" s="87"/>
      <c r="M992" s="87"/>
      <c r="N992" s="87"/>
      <c r="O992" s="87"/>
      <c r="P992" s="87"/>
      <c r="Q992" s="87"/>
      <c r="R992" s="87"/>
      <c r="S992" s="87"/>
      <c r="T992" s="87"/>
      <c r="U992" s="88">
        <f t="shared" ref="U992:U1055" si="39">MIN($B$8,((100+$B$7)/(1+K992+$D$8/10000)))+$B$7</f>
        <v>80.165086810632275</v>
      </c>
    </row>
    <row r="993" spans="1:21" x14ac:dyDescent="0.35">
      <c r="A993" s="30"/>
      <c r="B993" s="4"/>
      <c r="C993" s="4"/>
      <c r="D993" s="4"/>
      <c r="E993" s="4"/>
      <c r="F993" s="4"/>
      <c r="G993" s="4"/>
      <c r="H993" s="17"/>
      <c r="K993" s="40">
        <f>(J896+$B$4)*EXP(10*$K$22)</f>
        <v>0.52505978753903315</v>
      </c>
      <c r="L993" s="87"/>
      <c r="M993" s="87"/>
      <c r="N993" s="87"/>
      <c r="O993" s="87"/>
      <c r="P993" s="87"/>
      <c r="Q993" s="87"/>
      <c r="R993" s="87"/>
      <c r="S993" s="87"/>
      <c r="T993" s="87"/>
      <c r="U993" s="88">
        <f t="shared" si="39"/>
        <v>80.027293905998377</v>
      </c>
    </row>
    <row r="994" spans="1:21" x14ac:dyDescent="0.35">
      <c r="A994" s="30"/>
      <c r="B994" s="4"/>
      <c r="C994" s="4"/>
      <c r="D994" s="4"/>
      <c r="E994" s="4"/>
      <c r="F994" s="4"/>
      <c r="G994" s="4"/>
      <c r="H994" s="17"/>
      <c r="K994" s="8">
        <f>J897*EXP(10*K$22)</f>
        <v>0.5257028792077898</v>
      </c>
      <c r="L994" s="87"/>
      <c r="M994" s="87"/>
      <c r="N994" s="87"/>
      <c r="O994" s="87"/>
      <c r="P994" s="87"/>
      <c r="Q994" s="87"/>
      <c r="R994" s="87"/>
      <c r="S994" s="87"/>
      <c r="T994" s="87"/>
      <c r="U994" s="88">
        <f t="shared" si="39"/>
        <v>79.99156872098861</v>
      </c>
    </row>
    <row r="995" spans="1:21" x14ac:dyDescent="0.35">
      <c r="A995" s="30"/>
      <c r="B995" s="4"/>
      <c r="C995" s="4"/>
      <c r="D995" s="4"/>
      <c r="E995" s="4"/>
      <c r="F995" s="4"/>
      <c r="G995" s="4"/>
      <c r="H995" s="17"/>
      <c r="K995" s="40">
        <f>(J897+$B$4)*EXP(10*$K$22)</f>
        <v>0.52817764851027693</v>
      </c>
      <c r="L995" s="87"/>
      <c r="M995" s="87"/>
      <c r="N995" s="87"/>
      <c r="O995" s="87"/>
      <c r="P995" s="87"/>
      <c r="Q995" s="87"/>
      <c r="R995" s="87"/>
      <c r="S995" s="87"/>
      <c r="T995" s="87"/>
      <c r="U995" s="88">
        <f t="shared" si="39"/>
        <v>79.854402371064239</v>
      </c>
    </row>
    <row r="996" spans="1:21" x14ac:dyDescent="0.35">
      <c r="A996" s="30"/>
      <c r="B996" s="4"/>
      <c r="C996" s="4"/>
      <c r="D996" s="4"/>
      <c r="E996" s="4"/>
      <c r="F996" s="4"/>
      <c r="G996" s="4"/>
      <c r="H996" s="17"/>
      <c r="K996" s="8">
        <f>J898*EXP(10*K$22)</f>
        <v>0.52648178502445497</v>
      </c>
      <c r="L996" s="87"/>
      <c r="M996" s="87"/>
      <c r="N996" s="87"/>
      <c r="O996" s="87"/>
      <c r="P996" s="87"/>
      <c r="Q996" s="87"/>
      <c r="R996" s="87"/>
      <c r="S996" s="87"/>
      <c r="T996" s="87"/>
      <c r="U996" s="88">
        <f t="shared" si="39"/>
        <v>79.948343688866402</v>
      </c>
    </row>
    <row r="997" spans="1:21" x14ac:dyDescent="0.35">
      <c r="A997" s="30"/>
      <c r="B997" s="4"/>
      <c r="C997" s="4"/>
      <c r="D997" s="4"/>
      <c r="E997" s="4"/>
      <c r="F997" s="4"/>
      <c r="G997" s="4"/>
      <c r="H997" s="17"/>
      <c r="K997" s="40">
        <f>(J898+$B$4)*EXP(10*$K$22)</f>
        <v>0.52895655432694211</v>
      </c>
      <c r="L997" s="87"/>
      <c r="M997" s="87"/>
      <c r="N997" s="87"/>
      <c r="O997" s="87"/>
      <c r="P997" s="87"/>
      <c r="Q997" s="87"/>
      <c r="R997" s="87"/>
      <c r="S997" s="87"/>
      <c r="T997" s="87"/>
      <c r="U997" s="88">
        <f t="shared" si="39"/>
        <v>79.811333198040785</v>
      </c>
    </row>
    <row r="998" spans="1:21" x14ac:dyDescent="0.35">
      <c r="A998" s="30"/>
      <c r="B998" s="4"/>
      <c r="C998" s="4"/>
      <c r="D998" s="4"/>
      <c r="E998" s="4"/>
      <c r="F998" s="4"/>
      <c r="G998" s="4"/>
      <c r="H998" s="17"/>
      <c r="K998" s="8">
        <f>J899*EXP(10*K$22)</f>
        <v>0.52959964599569875</v>
      </c>
      <c r="L998" s="87"/>
      <c r="M998" s="87"/>
      <c r="N998" s="87"/>
      <c r="O998" s="87"/>
      <c r="P998" s="87"/>
      <c r="Q998" s="87"/>
      <c r="R998" s="87"/>
      <c r="S998" s="87"/>
      <c r="T998" s="87"/>
      <c r="U998" s="88">
        <f t="shared" si="39"/>
        <v>79.775810636999637</v>
      </c>
    </row>
    <row r="999" spans="1:21" x14ac:dyDescent="0.35">
      <c r="A999" s="30"/>
      <c r="B999" s="4"/>
      <c r="C999" s="4"/>
      <c r="D999" s="4"/>
      <c r="E999" s="4"/>
      <c r="F999" s="4"/>
      <c r="G999" s="4"/>
      <c r="H999" s="17"/>
      <c r="K999" s="40">
        <f>(J899+$B$4)*EXP(10*$K$22)</f>
        <v>0.532074415298186</v>
      </c>
      <c r="L999" s="87"/>
      <c r="M999" s="87"/>
      <c r="N999" s="87"/>
      <c r="O999" s="87"/>
      <c r="P999" s="87"/>
      <c r="Q999" s="87"/>
      <c r="R999" s="87"/>
      <c r="S999" s="87"/>
      <c r="T999" s="87"/>
      <c r="U999" s="88">
        <f t="shared" si="39"/>
        <v>79.639421377951038</v>
      </c>
    </row>
    <row r="1000" spans="1:21" x14ac:dyDescent="0.35">
      <c r="A1000" s="30"/>
      <c r="B1000" s="4"/>
      <c r="C1000" s="4"/>
      <c r="D1000" s="4"/>
      <c r="E1000" s="4"/>
      <c r="F1000" s="4"/>
      <c r="G1000" s="4"/>
      <c r="H1000" s="17"/>
      <c r="K1000" s="8">
        <f>J900*EXP(10*K$22)</f>
        <v>0.52729388454663051</v>
      </c>
      <c r="L1000" s="87"/>
      <c r="M1000" s="87"/>
      <c r="N1000" s="87"/>
      <c r="O1000" s="87"/>
      <c r="P1000" s="87"/>
      <c r="Q1000" s="87"/>
      <c r="R1000" s="87"/>
      <c r="S1000" s="87"/>
      <c r="T1000" s="87"/>
      <c r="U1000" s="88">
        <f t="shared" si="39"/>
        <v>79.903328917775596</v>
      </c>
    </row>
    <row r="1001" spans="1:21" x14ac:dyDescent="0.35">
      <c r="A1001" s="30"/>
      <c r="B1001" s="4"/>
      <c r="C1001" s="4"/>
      <c r="D1001" s="4"/>
      <c r="E1001" s="4"/>
      <c r="F1001" s="4"/>
      <c r="G1001" s="4"/>
      <c r="H1001" s="17"/>
      <c r="K1001" s="40">
        <f>(J900+$B$4)*EXP(10*$K$22)</f>
        <v>0.52976865384911775</v>
      </c>
      <c r="L1001" s="87"/>
      <c r="M1001" s="87"/>
      <c r="N1001" s="87"/>
      <c r="O1001" s="87"/>
      <c r="P1001" s="87"/>
      <c r="Q1001" s="87"/>
      <c r="R1001" s="87"/>
      <c r="S1001" s="87"/>
      <c r="T1001" s="87"/>
      <c r="U1001" s="88">
        <f t="shared" si="39"/>
        <v>79.766480645409402</v>
      </c>
    </row>
    <row r="1002" spans="1:21" x14ac:dyDescent="0.35">
      <c r="A1002" s="30"/>
      <c r="B1002" s="4"/>
      <c r="C1002" s="4"/>
      <c r="D1002" s="4"/>
      <c r="E1002" s="4"/>
      <c r="F1002" s="4"/>
      <c r="G1002" s="4"/>
      <c r="H1002" s="17"/>
      <c r="K1002" s="8">
        <f>J901*EXP(10*K$22)</f>
        <v>0.5304117455178744</v>
      </c>
      <c r="L1002" s="87"/>
      <c r="M1002" s="87"/>
      <c r="N1002" s="87"/>
      <c r="O1002" s="87"/>
      <c r="P1002" s="87"/>
      <c r="Q1002" s="87"/>
      <c r="R1002" s="87"/>
      <c r="S1002" s="87"/>
      <c r="T1002" s="87"/>
      <c r="U1002" s="88">
        <f t="shared" si="39"/>
        <v>79.731000094799086</v>
      </c>
    </row>
    <row r="1003" spans="1:21" x14ac:dyDescent="0.35">
      <c r="A1003" s="30"/>
      <c r="B1003" s="4"/>
      <c r="C1003" s="4"/>
      <c r="D1003" s="4"/>
      <c r="E1003" s="4"/>
      <c r="F1003" s="4"/>
      <c r="G1003" s="4"/>
      <c r="H1003" s="17"/>
      <c r="K1003" s="40">
        <f>(J901+$B$4)*EXP(10*$K$22)</f>
        <v>0.53288651482036165</v>
      </c>
      <c r="L1003" s="87"/>
      <c r="M1003" s="87"/>
      <c r="N1003" s="87"/>
      <c r="O1003" s="87"/>
      <c r="P1003" s="87"/>
      <c r="Q1003" s="87"/>
      <c r="R1003" s="87"/>
      <c r="S1003" s="87"/>
      <c r="T1003" s="87"/>
      <c r="U1003" s="88">
        <f t="shared" si="39"/>
        <v>79.594771952491698</v>
      </c>
    </row>
    <row r="1004" spans="1:21" x14ac:dyDescent="0.35">
      <c r="A1004" s="30"/>
      <c r="B1004" s="4"/>
      <c r="C1004" s="4"/>
      <c r="D1004" s="4"/>
      <c r="E1004" s="4"/>
      <c r="F1004" s="4"/>
      <c r="G1004" s="4"/>
      <c r="H1004" s="17"/>
      <c r="K1004" s="8">
        <f>J902*EXP(10*K$22)</f>
        <v>0.53119065133453958</v>
      </c>
      <c r="L1004" s="87"/>
      <c r="M1004" s="87"/>
      <c r="N1004" s="87"/>
      <c r="O1004" s="87"/>
      <c r="P1004" s="87"/>
      <c r="Q1004" s="87"/>
      <c r="R1004" s="87"/>
      <c r="S1004" s="87"/>
      <c r="T1004" s="87"/>
      <c r="U1004" s="88">
        <f t="shared" si="39"/>
        <v>79.688070900648569</v>
      </c>
    </row>
    <row r="1005" spans="1:21" x14ac:dyDescent="0.35">
      <c r="A1005" s="30"/>
      <c r="B1005" s="4"/>
      <c r="C1005" s="4"/>
      <c r="D1005" s="4"/>
      <c r="E1005" s="4"/>
      <c r="F1005" s="4"/>
      <c r="G1005" s="4"/>
      <c r="H1005" s="17"/>
      <c r="K1005" s="40">
        <f>(J902+$B$4)*EXP(10*$K$22)</f>
        <v>0.53366542063702682</v>
      </c>
      <c r="L1005" s="87"/>
      <c r="M1005" s="87"/>
      <c r="N1005" s="87"/>
      <c r="O1005" s="87"/>
      <c r="P1005" s="87"/>
      <c r="Q1005" s="87"/>
      <c r="R1005" s="87"/>
      <c r="S1005" s="87"/>
      <c r="T1005" s="87"/>
      <c r="U1005" s="88">
        <f t="shared" si="39"/>
        <v>79.551997021530582</v>
      </c>
    </row>
    <row r="1006" spans="1:21" x14ac:dyDescent="0.35">
      <c r="A1006" s="30"/>
      <c r="B1006" s="4"/>
      <c r="C1006" s="4"/>
      <c r="D1006" s="4"/>
      <c r="E1006" s="4"/>
      <c r="F1006" s="4"/>
      <c r="G1006" s="4"/>
      <c r="H1006" s="17"/>
      <c r="K1006" s="8">
        <f>J903*EXP(10*K$22)</f>
        <v>0.53430851230578347</v>
      </c>
      <c r="L1006" s="87"/>
      <c r="M1006" s="87"/>
      <c r="N1006" s="87"/>
      <c r="O1006" s="87"/>
      <c r="P1006" s="87"/>
      <c r="Q1006" s="87"/>
      <c r="R1006" s="87"/>
      <c r="S1006" s="87"/>
      <c r="T1006" s="87"/>
      <c r="U1006" s="88">
        <f t="shared" si="39"/>
        <v>79.516717020130386</v>
      </c>
    </row>
    <row r="1007" spans="1:21" x14ac:dyDescent="0.35">
      <c r="A1007" s="30"/>
      <c r="B1007" s="4"/>
      <c r="C1007" s="4"/>
      <c r="D1007" s="4"/>
      <c r="E1007" s="4"/>
      <c r="F1007" s="4"/>
      <c r="G1007" s="4"/>
      <c r="H1007" s="17"/>
      <c r="K1007" s="40">
        <f>(J903+$B$4)*EXP(10*$K$22)</f>
        <v>0.5367832816082706</v>
      </c>
      <c r="L1007" s="87"/>
      <c r="M1007" s="87"/>
      <c r="N1007" s="87"/>
      <c r="O1007" s="87"/>
      <c r="P1007" s="87"/>
      <c r="Q1007" s="87"/>
      <c r="R1007" s="87"/>
      <c r="S1007" s="87"/>
      <c r="T1007" s="87"/>
      <c r="U1007" s="88">
        <f t="shared" si="39"/>
        <v>79.381258020686573</v>
      </c>
    </row>
    <row r="1008" spans="1:21" x14ac:dyDescent="0.35">
      <c r="A1008" s="30"/>
      <c r="B1008" s="4"/>
      <c r="C1008" s="4"/>
      <c r="D1008" s="4"/>
      <c r="E1008" s="4"/>
      <c r="F1008" s="4"/>
      <c r="G1008" s="4"/>
      <c r="H1008" s="17"/>
      <c r="K1008" s="8">
        <f>J904*EXP(10*K$22)</f>
        <v>0.52851159742117493</v>
      </c>
      <c r="L1008" s="87"/>
      <c r="M1008" s="87"/>
      <c r="N1008" s="87"/>
      <c r="O1008" s="87"/>
      <c r="P1008" s="87"/>
      <c r="Q1008" s="87"/>
      <c r="R1008" s="87"/>
      <c r="S1008" s="87"/>
      <c r="T1008" s="87"/>
      <c r="U1008" s="88">
        <f t="shared" si="39"/>
        <v>79.835930856566549</v>
      </c>
    </row>
    <row r="1009" spans="1:21" x14ac:dyDescent="0.35">
      <c r="A1009" s="30"/>
      <c r="B1009" s="4"/>
      <c r="C1009" s="4"/>
      <c r="D1009" s="4"/>
      <c r="E1009" s="4"/>
      <c r="F1009" s="4"/>
      <c r="G1009" s="4"/>
      <c r="H1009" s="17"/>
      <c r="K1009" s="40">
        <f>(J904+$B$4)*EXP(10*$K$22)</f>
        <v>0.53098636672366206</v>
      </c>
      <c r="L1009" s="87"/>
      <c r="M1009" s="87"/>
      <c r="N1009" s="87"/>
      <c r="O1009" s="87"/>
      <c r="P1009" s="87"/>
      <c r="Q1009" s="87"/>
      <c r="R1009" s="87"/>
      <c r="S1009" s="87"/>
      <c r="T1009" s="87"/>
      <c r="U1009" s="88">
        <f t="shared" si="39"/>
        <v>79.699325285376503</v>
      </c>
    </row>
    <row r="1010" spans="1:21" x14ac:dyDescent="0.35">
      <c r="A1010" s="30"/>
      <c r="B1010" s="4"/>
      <c r="C1010" s="4"/>
      <c r="D1010" s="4"/>
      <c r="E1010" s="4"/>
      <c r="F1010" s="4"/>
      <c r="G1010" s="4"/>
      <c r="H1010" s="17"/>
      <c r="K1010" s="8">
        <f>J905*EXP(10*K$22)</f>
        <v>0.53162945839241871</v>
      </c>
      <c r="L1010" s="87"/>
      <c r="M1010" s="87"/>
      <c r="N1010" s="87"/>
      <c r="O1010" s="87"/>
      <c r="P1010" s="87"/>
      <c r="Q1010" s="87"/>
      <c r="R1010" s="87"/>
      <c r="S1010" s="87"/>
      <c r="T1010" s="87"/>
      <c r="U1010" s="88">
        <f t="shared" si="39"/>
        <v>79.6639075883201</v>
      </c>
    </row>
    <row r="1011" spans="1:21" x14ac:dyDescent="0.35">
      <c r="A1011" s="30"/>
      <c r="B1011" s="4"/>
      <c r="C1011" s="4"/>
      <c r="D1011" s="4"/>
      <c r="E1011" s="4"/>
      <c r="F1011" s="4"/>
      <c r="G1011" s="4"/>
      <c r="H1011" s="17"/>
      <c r="K1011" s="40">
        <f>(J905+$B$4)*EXP(10*$K$22)</f>
        <v>0.53410422769490595</v>
      </c>
      <c r="L1011" s="87"/>
      <c r="M1011" s="87"/>
      <c r="N1011" s="87"/>
      <c r="O1011" s="87"/>
      <c r="P1011" s="87"/>
      <c r="Q1011" s="87"/>
      <c r="R1011" s="87"/>
      <c r="S1011" s="87"/>
      <c r="T1011" s="87"/>
      <c r="U1011" s="88">
        <f t="shared" si="39"/>
        <v>79.527920500080057</v>
      </c>
    </row>
    <row r="1012" spans="1:21" x14ac:dyDescent="0.35">
      <c r="A1012" s="30"/>
      <c r="B1012" s="4"/>
      <c r="C1012" s="4"/>
      <c r="D1012" s="4"/>
      <c r="E1012" s="4"/>
      <c r="F1012" s="4"/>
      <c r="G1012" s="4"/>
      <c r="H1012" s="17"/>
      <c r="K1012" s="8">
        <f>J906*EXP(10*K$22)</f>
        <v>0.53240836420908388</v>
      </c>
      <c r="L1012" s="87"/>
      <c r="M1012" s="87"/>
      <c r="N1012" s="87"/>
      <c r="O1012" s="87"/>
      <c r="P1012" s="87"/>
      <c r="Q1012" s="87"/>
      <c r="R1012" s="87"/>
      <c r="S1012" s="87"/>
      <c r="T1012" s="87"/>
      <c r="U1012" s="88">
        <f t="shared" si="39"/>
        <v>79.621054403636975</v>
      </c>
    </row>
    <row r="1013" spans="1:21" x14ac:dyDescent="0.35">
      <c r="A1013" s="30"/>
      <c r="B1013" s="4"/>
      <c r="C1013" s="4"/>
      <c r="D1013" s="4"/>
      <c r="E1013" s="4"/>
      <c r="F1013" s="4"/>
      <c r="G1013" s="4"/>
      <c r="H1013" s="17"/>
      <c r="K1013" s="40">
        <f>(J906+$B$4)*EXP(10*$K$22)</f>
        <v>0.53488313351157113</v>
      </c>
      <c r="L1013" s="87"/>
      <c r="M1013" s="87"/>
      <c r="N1013" s="87"/>
      <c r="O1013" s="87"/>
      <c r="P1013" s="87"/>
      <c r="Q1013" s="87"/>
      <c r="R1013" s="87"/>
      <c r="S1013" s="87"/>
      <c r="T1013" s="87"/>
      <c r="U1013" s="88">
        <f t="shared" si="39"/>
        <v>79.485221169432776</v>
      </c>
    </row>
    <row r="1014" spans="1:21" x14ac:dyDescent="0.35">
      <c r="A1014" s="30"/>
      <c r="B1014" s="4"/>
      <c r="C1014" s="4"/>
      <c r="D1014" s="4"/>
      <c r="E1014" s="4"/>
      <c r="F1014" s="4"/>
      <c r="G1014" s="4"/>
      <c r="H1014" s="17"/>
      <c r="K1014" s="8">
        <f>J907*EXP(10*K$22)</f>
        <v>0.53552622518032778</v>
      </c>
      <c r="L1014" s="87"/>
      <c r="M1014" s="87"/>
      <c r="N1014" s="87"/>
      <c r="O1014" s="87"/>
      <c r="P1014" s="87"/>
      <c r="Q1014" s="87"/>
      <c r="R1014" s="87"/>
      <c r="S1014" s="87"/>
      <c r="T1014" s="87"/>
      <c r="U1014" s="88">
        <f t="shared" si="39"/>
        <v>79.450003489667338</v>
      </c>
    </row>
    <row r="1015" spans="1:21" x14ac:dyDescent="0.35">
      <c r="A1015" s="30"/>
      <c r="B1015" s="4"/>
      <c r="C1015" s="4"/>
      <c r="D1015" s="4"/>
      <c r="E1015" s="4"/>
      <c r="F1015" s="4"/>
      <c r="G1015" s="4"/>
      <c r="H1015" s="17"/>
      <c r="K1015" s="40">
        <f>(J907+$B$4)*EXP(10*$K$22)</f>
        <v>0.53800099448281491</v>
      </c>
      <c r="L1015" s="87"/>
      <c r="M1015" s="87"/>
      <c r="N1015" s="87"/>
      <c r="O1015" s="87"/>
      <c r="P1015" s="87"/>
      <c r="Q1015" s="87"/>
      <c r="R1015" s="87"/>
      <c r="S1015" s="87"/>
      <c r="T1015" s="87"/>
      <c r="U1015" s="88">
        <f t="shared" si="39"/>
        <v>79.314783506587943</v>
      </c>
    </row>
    <row r="1016" spans="1:21" x14ac:dyDescent="0.35">
      <c r="A1016" s="30"/>
      <c r="B1016" s="4"/>
      <c r="C1016" s="4"/>
      <c r="D1016" s="4"/>
      <c r="E1016" s="4"/>
      <c r="F1016" s="4"/>
      <c r="G1016" s="4"/>
      <c r="H1016" s="17"/>
      <c r="K1016" s="8">
        <f>J908*EXP(10*K$22)</f>
        <v>0.53322046373125953</v>
      </c>
      <c r="L1016" s="87"/>
      <c r="M1016" s="87"/>
      <c r="N1016" s="87"/>
      <c r="O1016" s="87"/>
      <c r="P1016" s="87"/>
      <c r="Q1016" s="87"/>
      <c r="R1016" s="87"/>
      <c r="S1016" s="87"/>
      <c r="T1016" s="87"/>
      <c r="U1016" s="88">
        <f t="shared" si="39"/>
        <v>79.576426652943098</v>
      </c>
    </row>
    <row r="1017" spans="1:21" x14ac:dyDescent="0.35">
      <c r="A1017" s="30"/>
      <c r="B1017" s="4"/>
      <c r="C1017" s="4"/>
      <c r="D1017" s="4"/>
      <c r="E1017" s="4"/>
      <c r="F1017" s="4"/>
      <c r="G1017" s="4"/>
      <c r="H1017" s="17"/>
      <c r="K1017" s="40">
        <f>(J908+$B$4)*EXP(10*$K$22)</f>
        <v>0.53569523303374667</v>
      </c>
      <c r="L1017" s="87"/>
      <c r="M1017" s="87"/>
      <c r="N1017" s="87"/>
      <c r="O1017" s="87"/>
      <c r="P1017" s="87"/>
      <c r="Q1017" s="87"/>
      <c r="R1017" s="87"/>
      <c r="S1017" s="87"/>
      <c r="T1017" s="87"/>
      <c r="U1017" s="88">
        <f t="shared" si="39"/>
        <v>79.440753551525361</v>
      </c>
    </row>
    <row r="1018" spans="1:21" x14ac:dyDescent="0.35">
      <c r="A1018" s="30"/>
      <c r="B1018" s="4"/>
      <c r="C1018" s="4"/>
      <c r="D1018" s="4"/>
      <c r="E1018" s="4"/>
      <c r="F1018" s="4"/>
      <c r="G1018" s="4"/>
      <c r="H1018" s="17"/>
      <c r="K1018" s="8">
        <f>J909*EXP(10*K$22)</f>
        <v>0.53633832470250342</v>
      </c>
      <c r="L1018" s="87"/>
      <c r="M1018" s="87"/>
      <c r="N1018" s="87"/>
      <c r="O1018" s="87"/>
      <c r="P1018" s="87"/>
      <c r="Q1018" s="87"/>
      <c r="R1018" s="87"/>
      <c r="S1018" s="87"/>
      <c r="T1018" s="87"/>
      <c r="U1018" s="88">
        <f t="shared" si="39"/>
        <v>79.40557734266352</v>
      </c>
    </row>
    <row r="1019" spans="1:21" x14ac:dyDescent="0.35">
      <c r="A1019" s="30"/>
      <c r="B1019" s="4"/>
      <c r="C1019" s="4"/>
      <c r="D1019" s="4"/>
      <c r="E1019" s="4"/>
      <c r="F1019" s="4"/>
      <c r="G1019" s="4"/>
      <c r="H1019" s="17"/>
      <c r="K1019" s="40">
        <f>(J909+$B$4)*EXP(10*$K$22)</f>
        <v>0.53881309400499056</v>
      </c>
      <c r="L1019" s="87"/>
      <c r="M1019" s="87"/>
      <c r="N1019" s="87"/>
      <c r="O1019" s="87"/>
      <c r="P1019" s="87"/>
      <c r="Q1019" s="87"/>
      <c r="R1019" s="87"/>
      <c r="S1019" s="87"/>
      <c r="T1019" s="87"/>
      <c r="U1019" s="88">
        <f t="shared" si="39"/>
        <v>79.270516409477281</v>
      </c>
    </row>
    <row r="1020" spans="1:21" x14ac:dyDescent="0.35">
      <c r="A1020" s="30"/>
      <c r="B1020" s="4"/>
      <c r="C1020" s="4"/>
      <c r="D1020" s="4"/>
      <c r="E1020" s="4"/>
      <c r="F1020" s="4"/>
      <c r="G1020" s="4"/>
      <c r="H1020" s="17"/>
      <c r="K1020" s="8">
        <f>J910*EXP(10*K$22)</f>
        <v>0.53711723051916849</v>
      </c>
      <c r="L1020" s="87"/>
      <c r="M1020" s="87"/>
      <c r="N1020" s="87"/>
      <c r="O1020" s="87"/>
      <c r="P1020" s="87"/>
      <c r="Q1020" s="87"/>
      <c r="R1020" s="87"/>
      <c r="S1020" s="87"/>
      <c r="T1020" s="87"/>
      <c r="U1020" s="88">
        <f t="shared" si="39"/>
        <v>79.36301619318165</v>
      </c>
    </row>
    <row r="1021" spans="1:21" x14ac:dyDescent="0.35">
      <c r="A1021" s="30"/>
      <c r="B1021" s="4"/>
      <c r="C1021" s="4"/>
      <c r="D1021" s="4"/>
      <c r="E1021" s="4"/>
      <c r="F1021" s="4"/>
      <c r="G1021" s="4"/>
      <c r="H1021" s="17"/>
      <c r="K1021" s="40">
        <f>(J910+$B$4)*EXP(10*$K$22)</f>
        <v>0.53959199982165573</v>
      </c>
      <c r="L1021" s="87"/>
      <c r="M1021" s="87"/>
      <c r="N1021" s="87"/>
      <c r="O1021" s="87"/>
      <c r="P1021" s="87"/>
      <c r="Q1021" s="87"/>
      <c r="R1021" s="87"/>
      <c r="S1021" s="87"/>
      <c r="T1021" s="87"/>
      <c r="U1021" s="88">
        <f t="shared" si="39"/>
        <v>79.228107545391111</v>
      </c>
    </row>
    <row r="1022" spans="1:21" x14ac:dyDescent="0.35">
      <c r="A1022" s="30"/>
      <c r="B1022" s="4"/>
      <c r="C1022" s="4"/>
      <c r="D1022" s="4"/>
      <c r="E1022" s="4"/>
      <c r="F1022" s="4"/>
      <c r="G1022" s="4"/>
      <c r="H1022" s="17"/>
      <c r="K1022" s="8">
        <f>J911*EXP(10*K$22)</f>
        <v>0.54023509149041238</v>
      </c>
      <c r="L1022" s="87"/>
      <c r="M1022" s="87"/>
      <c r="N1022" s="87"/>
      <c r="O1022" s="87"/>
      <c r="P1022" s="87"/>
      <c r="Q1022" s="87"/>
      <c r="R1022" s="87"/>
      <c r="S1022" s="87"/>
      <c r="T1022" s="87"/>
      <c r="U1022" s="88">
        <f t="shared" si="39"/>
        <v>79.193129314513058</v>
      </c>
    </row>
    <row r="1023" spans="1:21" x14ac:dyDescent="0.35">
      <c r="A1023" s="30"/>
      <c r="B1023" s="4"/>
      <c r="C1023" s="4"/>
      <c r="D1023" s="4"/>
      <c r="E1023" s="4"/>
      <c r="F1023" s="4"/>
      <c r="G1023" s="4"/>
      <c r="H1023" s="17"/>
      <c r="K1023" s="40">
        <f>(J911+$B$4)*EXP(10*$K$22)</f>
        <v>0.54270986079289962</v>
      </c>
      <c r="L1023" s="87"/>
      <c r="M1023" s="87"/>
      <c r="N1023" s="87"/>
      <c r="O1023" s="87"/>
      <c r="P1023" s="87"/>
      <c r="Q1023" s="87"/>
      <c r="R1023" s="87"/>
      <c r="S1023" s="87"/>
      <c r="T1023" s="87"/>
      <c r="U1023" s="88">
        <f t="shared" si="39"/>
        <v>79.058827674130526</v>
      </c>
    </row>
    <row r="1024" spans="1:21" x14ac:dyDescent="0.35">
      <c r="A1024" s="30"/>
      <c r="B1024" s="4"/>
      <c r="C1024" s="4"/>
      <c r="D1024" s="4"/>
      <c r="E1024" s="4"/>
      <c r="F1024" s="4"/>
      <c r="G1024" s="4"/>
      <c r="H1024" s="17"/>
      <c r="K1024" s="8">
        <f>J912*EXP(10*K$22)</f>
        <v>0.52984550722652368</v>
      </c>
      <c r="L1024" s="87"/>
      <c r="M1024" s="87"/>
      <c r="N1024" s="87"/>
      <c r="O1024" s="87"/>
      <c r="P1024" s="87"/>
      <c r="Q1024" s="87"/>
      <c r="R1024" s="87"/>
      <c r="S1024" s="87"/>
      <c r="T1024" s="87"/>
      <c r="U1024" s="88">
        <f t="shared" si="39"/>
        <v>79.762238754135424</v>
      </c>
    </row>
    <row r="1025" spans="1:21" x14ac:dyDescent="0.35">
      <c r="A1025" s="30"/>
      <c r="B1025" s="4"/>
      <c r="C1025" s="4"/>
      <c r="D1025" s="4"/>
      <c r="E1025" s="4"/>
      <c r="F1025" s="4"/>
      <c r="G1025" s="4"/>
      <c r="H1025" s="17"/>
      <c r="K1025" s="40">
        <f>(J912+$B$4)*EXP(10*$K$22)</f>
        <v>0.53232027652901082</v>
      </c>
      <c r="L1025" s="87"/>
      <c r="M1025" s="87"/>
      <c r="N1025" s="87"/>
      <c r="O1025" s="87"/>
      <c r="P1025" s="87"/>
      <c r="Q1025" s="87"/>
      <c r="R1025" s="87"/>
      <c r="S1025" s="87"/>
      <c r="T1025" s="87"/>
      <c r="U1025" s="88">
        <f t="shared" si="39"/>
        <v>79.625898302958248</v>
      </c>
    </row>
    <row r="1026" spans="1:21" x14ac:dyDescent="0.35">
      <c r="A1026" s="30"/>
      <c r="B1026" s="4"/>
      <c r="C1026" s="4"/>
      <c r="D1026" s="4"/>
      <c r="E1026" s="4"/>
      <c r="F1026" s="4"/>
      <c r="G1026" s="4"/>
      <c r="H1026" s="17"/>
      <c r="K1026" s="8">
        <f>J913*EXP(10*K$22)</f>
        <v>0.53296336819776746</v>
      </c>
      <c r="L1026" s="87"/>
      <c r="M1026" s="87"/>
      <c r="N1026" s="87"/>
      <c r="O1026" s="87"/>
      <c r="P1026" s="87"/>
      <c r="Q1026" s="87"/>
      <c r="R1026" s="87"/>
      <c r="S1026" s="87"/>
      <c r="T1026" s="87"/>
      <c r="U1026" s="88">
        <f t="shared" si="39"/>
        <v>79.590549265592927</v>
      </c>
    </row>
    <row r="1027" spans="1:21" x14ac:dyDescent="0.35">
      <c r="A1027" s="30"/>
      <c r="B1027" s="4"/>
      <c r="C1027" s="4"/>
      <c r="D1027" s="4"/>
      <c r="E1027" s="4"/>
      <c r="F1027" s="4"/>
      <c r="G1027" s="4"/>
      <c r="H1027" s="17"/>
      <c r="K1027" s="40">
        <f>(J913+$B$4)*EXP(10*$K$22)</f>
        <v>0.53543813750025471</v>
      </c>
      <c r="L1027" s="87"/>
      <c r="M1027" s="87"/>
      <c r="N1027" s="87"/>
      <c r="O1027" s="87"/>
      <c r="P1027" s="87"/>
      <c r="Q1027" s="87"/>
      <c r="R1027" s="87"/>
      <c r="S1027" s="87"/>
      <c r="T1027" s="87"/>
      <c r="U1027" s="88">
        <f t="shared" si="39"/>
        <v>79.454825499773833</v>
      </c>
    </row>
    <row r="1028" spans="1:21" x14ac:dyDescent="0.35">
      <c r="A1028" s="30"/>
      <c r="B1028" s="4"/>
      <c r="C1028" s="4"/>
      <c r="D1028" s="4"/>
      <c r="E1028" s="4"/>
      <c r="F1028" s="4"/>
      <c r="G1028" s="4"/>
      <c r="H1028" s="17"/>
      <c r="K1028" s="8">
        <f>J914*EXP(10*K$22)</f>
        <v>0.53374227401443264</v>
      </c>
      <c r="L1028" s="87"/>
      <c r="M1028" s="87"/>
      <c r="N1028" s="87"/>
      <c r="O1028" s="87"/>
      <c r="P1028" s="87"/>
      <c r="Q1028" s="87"/>
      <c r="R1028" s="87"/>
      <c r="S1028" s="87"/>
      <c r="T1028" s="87"/>
      <c r="U1028" s="88">
        <f t="shared" si="39"/>
        <v>79.547779111919823</v>
      </c>
    </row>
    <row r="1029" spans="1:21" x14ac:dyDescent="0.35">
      <c r="A1029" s="30"/>
      <c r="B1029" s="4"/>
      <c r="C1029" s="4"/>
      <c r="D1029" s="4"/>
      <c r="E1029" s="4"/>
      <c r="F1029" s="4"/>
      <c r="G1029" s="4"/>
      <c r="H1029" s="17"/>
      <c r="K1029" s="40">
        <f>(J914+$B$4)*EXP(10*$K$22)</f>
        <v>0.53621704331691988</v>
      </c>
      <c r="L1029" s="87"/>
      <c r="M1029" s="87"/>
      <c r="N1029" s="87"/>
      <c r="O1029" s="87"/>
      <c r="P1029" s="87"/>
      <c r="Q1029" s="87"/>
      <c r="R1029" s="87"/>
      <c r="S1029" s="87"/>
      <c r="T1029" s="87"/>
      <c r="U1029" s="88">
        <f t="shared" si="39"/>
        <v>79.412208753599586</v>
      </c>
    </row>
    <row r="1030" spans="1:21" x14ac:dyDescent="0.35">
      <c r="A1030" s="30"/>
      <c r="B1030" s="4"/>
      <c r="C1030" s="4"/>
      <c r="D1030" s="4"/>
      <c r="E1030" s="4"/>
      <c r="F1030" s="4"/>
      <c r="G1030" s="4"/>
      <c r="H1030" s="17"/>
      <c r="K1030" s="8">
        <f>J915*EXP(10*K$22)</f>
        <v>0.53686013498567653</v>
      </c>
      <c r="L1030" s="87"/>
      <c r="M1030" s="87"/>
      <c r="N1030" s="87"/>
      <c r="O1030" s="87"/>
      <c r="P1030" s="87"/>
      <c r="Q1030" s="87"/>
      <c r="R1030" s="87"/>
      <c r="S1030" s="87"/>
      <c r="T1030" s="87"/>
      <c r="U1030" s="88">
        <f t="shared" si="39"/>
        <v>79.377059153005789</v>
      </c>
    </row>
    <row r="1031" spans="1:21" x14ac:dyDescent="0.35">
      <c r="A1031" s="30"/>
      <c r="B1031" s="4"/>
      <c r="C1031" s="4"/>
      <c r="D1031" s="4"/>
      <c r="E1031" s="4"/>
      <c r="F1031" s="4"/>
      <c r="G1031" s="4"/>
      <c r="H1031" s="17"/>
      <c r="K1031" s="40">
        <f>(J915+$B$4)*EXP(10*$K$22)</f>
        <v>0.53933490428816377</v>
      </c>
      <c r="L1031" s="87"/>
      <c r="M1031" s="87"/>
      <c r="N1031" s="87"/>
      <c r="O1031" s="87"/>
      <c r="P1031" s="87"/>
      <c r="Q1031" s="87"/>
      <c r="R1031" s="87"/>
      <c r="S1031" s="87"/>
      <c r="T1031" s="87"/>
      <c r="U1031" s="88">
        <f t="shared" si="39"/>
        <v>79.24210026845482</v>
      </c>
    </row>
    <row r="1032" spans="1:21" x14ac:dyDescent="0.35">
      <c r="A1032" s="30"/>
      <c r="B1032" s="4"/>
      <c r="C1032" s="4"/>
      <c r="D1032" s="4"/>
      <c r="E1032" s="4"/>
      <c r="F1032" s="4"/>
      <c r="G1032" s="4"/>
      <c r="H1032" s="17"/>
      <c r="K1032" s="8">
        <f>J916*EXP(10*K$22)</f>
        <v>0.53455437353660817</v>
      </c>
      <c r="L1032" s="87"/>
      <c r="M1032" s="87"/>
      <c r="N1032" s="87"/>
      <c r="O1032" s="87"/>
      <c r="P1032" s="87"/>
      <c r="Q1032" s="87"/>
      <c r="R1032" s="87"/>
      <c r="S1032" s="87"/>
      <c r="T1032" s="87"/>
      <c r="U1032" s="88">
        <f t="shared" si="39"/>
        <v>79.503237780651887</v>
      </c>
    </row>
    <row r="1033" spans="1:21" x14ac:dyDescent="0.35">
      <c r="A1033" s="30"/>
      <c r="B1033" s="4"/>
      <c r="C1033" s="4"/>
      <c r="D1033" s="4"/>
      <c r="E1033" s="4"/>
      <c r="F1033" s="4"/>
      <c r="G1033" s="4"/>
      <c r="H1033" s="17"/>
      <c r="K1033" s="40">
        <f>(J916+$B$4)*EXP(10*$K$22)</f>
        <v>0.53702914283909542</v>
      </c>
      <c r="L1033" s="87"/>
      <c r="M1033" s="87"/>
      <c r="N1033" s="87"/>
      <c r="O1033" s="87"/>
      <c r="P1033" s="87"/>
      <c r="Q1033" s="87"/>
      <c r="R1033" s="87"/>
      <c r="S1033" s="87"/>
      <c r="T1033" s="87"/>
      <c r="U1033" s="88">
        <f t="shared" si="39"/>
        <v>79.367827090626022</v>
      </c>
    </row>
    <row r="1034" spans="1:21" x14ac:dyDescent="0.35">
      <c r="A1034" s="30"/>
      <c r="B1034" s="4"/>
      <c r="C1034" s="4"/>
      <c r="D1034" s="4"/>
      <c r="E1034" s="4"/>
      <c r="F1034" s="4"/>
      <c r="G1034" s="4"/>
      <c r="H1034" s="17"/>
      <c r="K1034" s="8">
        <f>J917*EXP(10*K$22)</f>
        <v>0.53767223450785206</v>
      </c>
      <c r="L1034" s="87"/>
      <c r="M1034" s="87"/>
      <c r="N1034" s="87"/>
      <c r="O1034" s="87"/>
      <c r="P1034" s="87"/>
      <c r="Q1034" s="87"/>
      <c r="R1034" s="87"/>
      <c r="S1034" s="87"/>
      <c r="T1034" s="87"/>
      <c r="U1034" s="88">
        <f t="shared" si="39"/>
        <v>79.332718840778426</v>
      </c>
    </row>
    <row r="1035" spans="1:21" x14ac:dyDescent="0.35">
      <c r="A1035" s="30"/>
      <c r="B1035" s="4"/>
      <c r="C1035" s="4"/>
      <c r="D1035" s="4"/>
      <c r="E1035" s="4"/>
      <c r="F1035" s="4"/>
      <c r="G1035" s="4"/>
      <c r="H1035" s="17"/>
      <c r="K1035" s="40">
        <f>(J917+$B$4)*EXP(10*$K$22)</f>
        <v>0.54014700381033931</v>
      </c>
      <c r="L1035" s="87"/>
      <c r="M1035" s="87"/>
      <c r="N1035" s="87"/>
      <c r="O1035" s="87"/>
      <c r="P1035" s="87"/>
      <c r="Q1035" s="87"/>
      <c r="R1035" s="87"/>
      <c r="S1035" s="87"/>
      <c r="T1035" s="87"/>
      <c r="U1035" s="88">
        <f t="shared" si="39"/>
        <v>79.197918545809927</v>
      </c>
    </row>
    <row r="1036" spans="1:21" x14ac:dyDescent="0.35">
      <c r="A1036" s="30"/>
      <c r="B1036" s="4"/>
      <c r="C1036" s="4"/>
      <c r="D1036" s="4"/>
      <c r="E1036" s="4"/>
      <c r="F1036" s="4"/>
      <c r="G1036" s="4"/>
      <c r="H1036" s="17"/>
      <c r="K1036" s="8">
        <f>J918*EXP(10*K$22)</f>
        <v>0.53845114032451724</v>
      </c>
      <c r="L1036" s="87"/>
      <c r="M1036" s="87"/>
      <c r="N1036" s="87"/>
      <c r="O1036" s="87"/>
      <c r="P1036" s="87"/>
      <c r="Q1036" s="87"/>
      <c r="R1036" s="87"/>
      <c r="S1036" s="87"/>
      <c r="T1036" s="87"/>
      <c r="U1036" s="88">
        <f t="shared" si="39"/>
        <v>79.290239875404367</v>
      </c>
    </row>
    <row r="1037" spans="1:21" x14ac:dyDescent="0.35">
      <c r="A1037" s="30"/>
      <c r="B1037" s="4"/>
      <c r="C1037" s="4"/>
      <c r="D1037" s="4"/>
      <c r="E1037" s="4"/>
      <c r="F1037" s="4"/>
      <c r="G1037" s="4"/>
      <c r="H1037" s="17"/>
      <c r="K1037" s="40">
        <f>(J918+$B$4)*EXP(10*$K$22)</f>
        <v>0.54092590962700449</v>
      </c>
      <c r="L1037" s="87"/>
      <c r="M1037" s="87"/>
      <c r="N1037" s="87"/>
      <c r="O1037" s="87"/>
      <c r="P1037" s="87"/>
      <c r="Q1037" s="87"/>
      <c r="R1037" s="87"/>
      <c r="S1037" s="87"/>
      <c r="T1037" s="87"/>
      <c r="U1037" s="88">
        <f t="shared" si="39"/>
        <v>79.155591425351659</v>
      </c>
    </row>
    <row r="1038" spans="1:21" x14ac:dyDescent="0.35">
      <c r="A1038" s="30"/>
      <c r="B1038" s="38"/>
      <c r="C1038" s="38"/>
      <c r="D1038" s="38"/>
      <c r="E1038" s="38"/>
      <c r="F1038" s="38"/>
      <c r="G1038" s="38"/>
      <c r="H1038" s="75"/>
      <c r="I1038" s="74"/>
      <c r="J1038" s="74"/>
      <c r="K1038" s="8">
        <f>J919*EXP(10*K$22)</f>
        <v>0.54156900129576113</v>
      </c>
      <c r="L1038" s="82"/>
      <c r="M1038" s="82"/>
      <c r="N1038" s="82"/>
      <c r="O1038" s="82"/>
      <c r="P1038" s="82"/>
      <c r="Q1038" s="82"/>
      <c r="R1038" s="82"/>
      <c r="S1038" s="82"/>
      <c r="T1038" s="82"/>
      <c r="U1038" s="88">
        <f t="shared" si="39"/>
        <v>79.120680580842873</v>
      </c>
    </row>
    <row r="1039" spans="1:21" x14ac:dyDescent="0.35">
      <c r="A1039" s="30"/>
      <c r="B1039" s="4"/>
      <c r="C1039" s="4"/>
      <c r="D1039" s="4"/>
      <c r="E1039" s="4"/>
      <c r="F1039" s="4"/>
      <c r="G1039" s="4"/>
      <c r="H1039" s="17"/>
      <c r="K1039" s="40">
        <f>(J919+$B$4)*EXP(10*$K$22)</f>
        <v>0.54404377059824827</v>
      </c>
      <c r="L1039" s="87"/>
      <c r="M1039" s="87"/>
      <c r="N1039" s="87"/>
      <c r="O1039" s="87"/>
      <c r="P1039" s="87"/>
      <c r="Q1039" s="87"/>
      <c r="R1039" s="87"/>
      <c r="S1039" s="87"/>
      <c r="T1039" s="87"/>
      <c r="U1039" s="88">
        <f t="shared" si="39"/>
        <v>78.98663738491787</v>
      </c>
    </row>
    <row r="1040" spans="1:21" x14ac:dyDescent="0.35">
      <c r="A1040" s="30"/>
      <c r="B1040" s="4"/>
      <c r="C1040" s="4"/>
      <c r="D1040" s="4"/>
      <c r="E1040" s="4"/>
      <c r="F1040" s="4"/>
      <c r="G1040" s="4"/>
      <c r="H1040" s="17"/>
      <c r="K1040" s="8">
        <f>J920*EXP(10*K$22)</f>
        <v>0.53577208641115259</v>
      </c>
      <c r="L1040" s="87"/>
      <c r="M1040" s="87"/>
      <c r="N1040" s="87"/>
      <c r="O1040" s="87"/>
      <c r="P1040" s="87"/>
      <c r="Q1040" s="87"/>
      <c r="R1040" s="87"/>
      <c r="S1040" s="87"/>
      <c r="T1040" s="87"/>
      <c r="U1040" s="88">
        <f t="shared" si="39"/>
        <v>79.436548053403953</v>
      </c>
    </row>
    <row r="1041" spans="1:21" x14ac:dyDescent="0.35">
      <c r="A1041" s="30"/>
      <c r="B1041" s="4"/>
      <c r="C1041" s="4"/>
      <c r="D1041" s="4"/>
      <c r="E1041" s="4"/>
      <c r="F1041" s="4"/>
      <c r="G1041" s="4"/>
      <c r="H1041" s="17"/>
      <c r="K1041" s="40">
        <f>(J920+$B$4)*EXP(10*$K$22)</f>
        <v>0.53824685571363984</v>
      </c>
      <c r="L1041" s="87"/>
      <c r="M1041" s="87"/>
      <c r="N1041" s="87"/>
      <c r="O1041" s="87"/>
      <c r="P1041" s="87"/>
      <c r="Q1041" s="87"/>
      <c r="R1041" s="87"/>
      <c r="S1041" s="87"/>
      <c r="T1041" s="87"/>
      <c r="U1041" s="88">
        <f t="shared" si="39"/>
        <v>79.301376251947872</v>
      </c>
    </row>
    <row r="1042" spans="1:21" x14ac:dyDescent="0.35">
      <c r="A1042" s="30"/>
      <c r="B1042" s="4"/>
      <c r="C1042" s="4"/>
      <c r="D1042" s="4"/>
      <c r="E1042" s="4"/>
      <c r="F1042" s="4"/>
      <c r="G1042" s="4"/>
      <c r="H1042" s="17"/>
      <c r="K1042" s="8">
        <f>J921*EXP(10*K$22)</f>
        <v>0.53888994738239648</v>
      </c>
      <c r="L1042" s="87"/>
      <c r="M1042" s="87"/>
      <c r="N1042" s="87"/>
      <c r="O1042" s="87"/>
      <c r="P1042" s="87"/>
      <c r="Q1042" s="87"/>
      <c r="R1042" s="87"/>
      <c r="S1042" s="87"/>
      <c r="T1042" s="87"/>
      <c r="U1042" s="88">
        <f t="shared" si="39"/>
        <v>79.266329869394042</v>
      </c>
    </row>
    <row r="1043" spans="1:21" x14ac:dyDescent="0.35">
      <c r="A1043" s="30"/>
      <c r="B1043" s="4"/>
      <c r="C1043" s="4"/>
      <c r="D1043" s="4"/>
      <c r="E1043" s="4"/>
      <c r="F1043" s="4"/>
      <c r="G1043" s="4"/>
      <c r="H1043" s="17"/>
      <c r="K1043" s="40">
        <f>(J921+$B$4)*EXP(10*$K$22)</f>
        <v>0.54136471668488373</v>
      </c>
      <c r="L1043" s="87"/>
      <c r="M1043" s="87"/>
      <c r="N1043" s="87"/>
      <c r="O1043" s="87"/>
      <c r="P1043" s="87"/>
      <c r="Q1043" s="87"/>
      <c r="R1043" s="87"/>
      <c r="S1043" s="87"/>
      <c r="T1043" s="87"/>
      <c r="U1043" s="88">
        <f t="shared" si="39"/>
        <v>79.131766850256838</v>
      </c>
    </row>
    <row r="1044" spans="1:21" x14ac:dyDescent="0.35">
      <c r="A1044" s="30"/>
      <c r="B1044" s="4"/>
      <c r="C1044" s="4"/>
      <c r="D1044" s="4"/>
      <c r="E1044" s="4"/>
      <c r="F1044" s="4"/>
      <c r="G1044" s="4"/>
      <c r="H1044" s="17"/>
      <c r="K1044" s="8">
        <f>J922*EXP(10*K$22)</f>
        <v>0.53966885319906166</v>
      </c>
      <c r="L1044" s="87"/>
      <c r="M1044" s="87"/>
      <c r="N1044" s="87"/>
      <c r="O1044" s="87"/>
      <c r="P1044" s="87"/>
      <c r="Q1044" s="87"/>
      <c r="R1044" s="87"/>
      <c r="S1044" s="87"/>
      <c r="T1044" s="87"/>
      <c r="U1044" s="88">
        <f t="shared" si="39"/>
        <v>79.223925721403077</v>
      </c>
    </row>
    <row r="1045" spans="1:21" x14ac:dyDescent="0.35">
      <c r="A1045" s="30"/>
      <c r="B1045" s="4"/>
      <c r="C1045" s="4"/>
      <c r="D1045" s="4"/>
      <c r="E1045" s="4"/>
      <c r="F1045" s="4"/>
      <c r="G1045" s="4"/>
      <c r="H1045" s="17"/>
      <c r="K1045" s="40">
        <f>(J922+$B$4)*EXP(10*$K$22)</f>
        <v>0.54214362250154891</v>
      </c>
      <c r="L1045" s="87"/>
      <c r="M1045" s="87"/>
      <c r="N1045" s="87"/>
      <c r="O1045" s="87"/>
      <c r="P1045" s="87"/>
      <c r="Q1045" s="87"/>
      <c r="R1045" s="87"/>
      <c r="S1045" s="87"/>
      <c r="T1045" s="87"/>
      <c r="U1045" s="88">
        <f t="shared" si="39"/>
        <v>79.089514146553967</v>
      </c>
    </row>
    <row r="1046" spans="1:21" x14ac:dyDescent="0.35">
      <c r="A1046" s="30"/>
      <c r="B1046" s="4"/>
      <c r="C1046" s="4"/>
      <c r="D1046" s="4"/>
      <c r="E1046" s="4"/>
      <c r="F1046" s="4"/>
      <c r="G1046" s="4"/>
      <c r="H1046" s="17"/>
      <c r="K1046" s="8">
        <f>J923*EXP(10*K$22)</f>
        <v>0.54278671417030555</v>
      </c>
      <c r="L1046" s="87"/>
      <c r="M1046" s="87"/>
      <c r="N1046" s="87"/>
      <c r="O1046" s="87"/>
      <c r="P1046" s="87"/>
      <c r="Q1046" s="87"/>
      <c r="R1046" s="87"/>
      <c r="S1046" s="87"/>
      <c r="T1046" s="87"/>
      <c r="U1046" s="88">
        <f t="shared" si="39"/>
        <v>79.054664648503817</v>
      </c>
    </row>
    <row r="1047" spans="1:21" x14ac:dyDescent="0.35">
      <c r="A1047" s="30"/>
      <c r="B1047" s="4"/>
      <c r="C1047" s="4"/>
      <c r="D1047" s="4"/>
      <c r="E1047" s="4"/>
      <c r="F1047" s="4"/>
      <c r="G1047" s="4"/>
      <c r="H1047" s="17"/>
      <c r="K1047" s="40">
        <f>(J923+$B$4)*EXP(10*$K$22)</f>
        <v>0.54526148347279269</v>
      </c>
      <c r="L1047" s="87"/>
      <c r="M1047" s="87"/>
      <c r="N1047" s="87"/>
      <c r="O1047" s="87"/>
      <c r="P1047" s="87"/>
      <c r="Q1047" s="87"/>
      <c r="R1047" s="87"/>
      <c r="S1047" s="87"/>
      <c r="T1047" s="87"/>
      <c r="U1047" s="88">
        <f t="shared" si="39"/>
        <v>78.920856733121127</v>
      </c>
    </row>
    <row r="1048" spans="1:21" x14ac:dyDescent="0.35">
      <c r="A1048" s="30"/>
      <c r="B1048" s="4"/>
      <c r="C1048" s="4"/>
      <c r="D1048" s="4"/>
      <c r="E1048" s="4"/>
      <c r="F1048" s="4"/>
      <c r="G1048" s="4"/>
      <c r="H1048" s="17"/>
      <c r="K1048" s="8">
        <f>J924*EXP(10*K$22)</f>
        <v>0.54048095272123731</v>
      </c>
      <c r="L1048" s="87"/>
      <c r="M1048" s="87"/>
      <c r="N1048" s="87"/>
      <c r="O1048" s="87"/>
      <c r="P1048" s="87"/>
      <c r="Q1048" s="87"/>
      <c r="R1048" s="87"/>
      <c r="S1048" s="87"/>
      <c r="T1048" s="87"/>
      <c r="U1048" s="88">
        <f t="shared" si="39"/>
        <v>79.179765333893044</v>
      </c>
    </row>
    <row r="1049" spans="1:21" x14ac:dyDescent="0.35">
      <c r="A1049" s="30"/>
      <c r="B1049" s="4"/>
      <c r="C1049" s="4"/>
      <c r="D1049" s="4"/>
      <c r="E1049" s="4"/>
      <c r="F1049" s="4"/>
      <c r="G1049" s="4"/>
      <c r="H1049" s="17"/>
      <c r="K1049" s="40">
        <f>(J924+$B$4)*EXP(10*$K$22)</f>
        <v>0.54295572202372444</v>
      </c>
      <c r="L1049" s="87"/>
      <c r="M1049" s="87"/>
      <c r="N1049" s="87"/>
      <c r="O1049" s="87"/>
      <c r="P1049" s="87"/>
      <c r="Q1049" s="87"/>
      <c r="R1049" s="87"/>
      <c r="S1049" s="87"/>
      <c r="T1049" s="87"/>
      <c r="U1049" s="88">
        <f t="shared" si="39"/>
        <v>79.045511385175161</v>
      </c>
    </row>
    <row r="1050" spans="1:21" x14ac:dyDescent="0.35">
      <c r="A1050" s="30"/>
      <c r="B1050" s="4"/>
      <c r="C1050" s="4"/>
      <c r="D1050" s="4"/>
      <c r="E1050" s="4"/>
      <c r="F1050" s="4"/>
      <c r="G1050" s="4"/>
      <c r="H1050" s="17"/>
      <c r="K1050" s="8">
        <f>J925*EXP(10*K$22)</f>
        <v>0.54359881369248109</v>
      </c>
      <c r="L1050" s="87"/>
      <c r="M1050" s="87"/>
      <c r="N1050" s="87"/>
      <c r="O1050" s="87"/>
      <c r="P1050" s="87"/>
      <c r="Q1050" s="87"/>
      <c r="R1050" s="87"/>
      <c r="S1050" s="87"/>
      <c r="T1050" s="87"/>
      <c r="U1050" s="88">
        <f t="shared" si="39"/>
        <v>79.010702709586653</v>
      </c>
    </row>
    <row r="1051" spans="1:21" x14ac:dyDescent="0.35">
      <c r="A1051" s="30"/>
      <c r="B1051" s="4"/>
      <c r="C1051" s="4"/>
      <c r="D1051" s="4"/>
      <c r="E1051" s="4"/>
      <c r="F1051" s="4"/>
      <c r="G1051" s="4"/>
      <c r="H1051" s="17"/>
      <c r="K1051" s="40">
        <f>(J925+$B$4)*EXP(10*$K$22)</f>
        <v>0.54607358299496833</v>
      </c>
      <c r="L1051" s="87"/>
      <c r="M1051" s="87"/>
      <c r="N1051" s="87"/>
      <c r="O1051" s="87"/>
      <c r="P1051" s="87"/>
      <c r="Q1051" s="87"/>
      <c r="R1051" s="87"/>
      <c r="S1051" s="87"/>
      <c r="T1051" s="87"/>
      <c r="U1051" s="88">
        <f t="shared" si="39"/>
        <v>78.877051359959196</v>
      </c>
    </row>
    <row r="1052" spans="1:21" x14ac:dyDescent="0.35">
      <c r="A1052" s="30"/>
      <c r="B1052" s="4"/>
      <c r="C1052" s="4"/>
      <c r="D1052" s="4"/>
      <c r="E1052" s="4"/>
      <c r="F1052" s="4"/>
      <c r="G1052" s="4"/>
      <c r="H1052" s="17"/>
      <c r="K1052" s="8">
        <f>J926*EXP(10*K$22)</f>
        <v>0.54437771950914626</v>
      </c>
      <c r="L1052" s="87"/>
      <c r="M1052" s="87"/>
      <c r="N1052" s="87"/>
      <c r="O1052" s="87"/>
      <c r="P1052" s="87"/>
      <c r="Q1052" s="87"/>
      <c r="R1052" s="87"/>
      <c r="S1052" s="87"/>
      <c r="T1052" s="87"/>
      <c r="U1052" s="88">
        <f t="shared" si="39"/>
        <v>78.968586026437009</v>
      </c>
    </row>
    <row r="1053" spans="1:21" x14ac:dyDescent="0.35">
      <c r="A1053" s="30"/>
      <c r="B1053" s="4"/>
      <c r="C1053" s="4"/>
      <c r="D1053" s="4"/>
      <c r="E1053" s="4"/>
      <c r="F1053" s="4"/>
      <c r="G1053" s="4"/>
      <c r="H1053" s="17"/>
      <c r="K1053" s="40">
        <f>(J926+$B$4)*EXP(10*$K$22)</f>
        <v>0.54685248881163351</v>
      </c>
      <c r="L1053" s="87"/>
      <c r="M1053" s="87"/>
      <c r="N1053" s="87"/>
      <c r="O1053" s="87"/>
      <c r="P1053" s="87"/>
      <c r="Q1053" s="87"/>
      <c r="R1053" s="87"/>
      <c r="S1053" s="87"/>
      <c r="T1053" s="87"/>
      <c r="U1053" s="88">
        <f t="shared" si="39"/>
        <v>78.835084585075336</v>
      </c>
    </row>
    <row r="1054" spans="1:21" x14ac:dyDescent="0.35">
      <c r="A1054" s="30"/>
      <c r="B1054" s="4"/>
      <c r="C1054" s="4"/>
      <c r="D1054" s="4"/>
      <c r="E1054" s="4"/>
      <c r="F1054" s="4"/>
      <c r="G1054" s="4"/>
      <c r="H1054" s="17"/>
      <c r="K1054" s="8">
        <f>J927*EXP(10*K$22)</f>
        <v>0.54749558048039015</v>
      </c>
      <c r="L1054" s="87"/>
      <c r="M1054" s="87"/>
      <c r="N1054" s="87"/>
      <c r="O1054" s="87"/>
      <c r="P1054" s="87"/>
      <c r="Q1054" s="87"/>
      <c r="R1054" s="87"/>
      <c r="S1054" s="87"/>
      <c r="T1054" s="87"/>
      <c r="U1054" s="88">
        <f t="shared" si="39"/>
        <v>78.800470797088195</v>
      </c>
    </row>
    <row r="1055" spans="1:21" x14ac:dyDescent="0.35">
      <c r="A1055" s="30"/>
      <c r="B1055" s="4"/>
      <c r="C1055" s="4"/>
      <c r="D1055" s="4"/>
      <c r="E1055" s="4"/>
      <c r="F1055" s="4"/>
      <c r="G1055" s="4"/>
      <c r="H1055" s="17"/>
      <c r="K1055" s="40">
        <f>(J927+$B$4)*EXP(10*$K$22)</f>
        <v>0.5499703497828774</v>
      </c>
      <c r="L1055" s="87"/>
      <c r="M1055" s="87"/>
      <c r="N1055" s="87"/>
      <c r="O1055" s="87"/>
      <c r="P1055" s="87"/>
      <c r="Q1055" s="87"/>
      <c r="R1055" s="87"/>
      <c r="S1055" s="87"/>
      <c r="T1055" s="87"/>
      <c r="U1055" s="88">
        <f t="shared" si="39"/>
        <v>78.667566901125468</v>
      </c>
    </row>
    <row r="1056" spans="1:21" x14ac:dyDescent="0.35">
      <c r="A1056" s="26" t="s">
        <v>33</v>
      </c>
      <c r="B1056" s="27">
        <v>1</v>
      </c>
      <c r="C1056" s="27">
        <v>2</v>
      </c>
      <c r="D1056" s="27">
        <v>3</v>
      </c>
      <c r="E1056" s="27">
        <v>4</v>
      </c>
      <c r="F1056" s="27">
        <v>5</v>
      </c>
      <c r="G1056" s="27">
        <v>6</v>
      </c>
      <c r="H1056" s="28">
        <v>7</v>
      </c>
      <c r="I1056" s="28">
        <v>8</v>
      </c>
      <c r="J1056" s="28">
        <v>9</v>
      </c>
      <c r="K1056" s="28">
        <v>10</v>
      </c>
      <c r="L1056" s="79"/>
    </row>
    <row r="1057" spans="1:21" x14ac:dyDescent="0.35">
      <c r="A1057" s="29" t="s">
        <v>49</v>
      </c>
      <c r="B1057" s="5">
        <f t="shared" ref="B1057:K1057" si="40">B21-0.001</f>
        <v>5.0299999999999997E-2</v>
      </c>
      <c r="C1057" s="5">
        <f t="shared" si="40"/>
        <v>5.16E-2</v>
      </c>
      <c r="D1057" s="5">
        <f t="shared" si="40"/>
        <v>5.1200000000000002E-2</v>
      </c>
      <c r="E1057" s="5">
        <f t="shared" si="40"/>
        <v>5.1499999999999997E-2</v>
      </c>
      <c r="F1057" s="5">
        <f t="shared" si="40"/>
        <v>5.1999999999999998E-2</v>
      </c>
      <c r="G1057" s="5">
        <f t="shared" si="40"/>
        <v>5.0499999999999996E-2</v>
      </c>
      <c r="H1057" s="5">
        <f t="shared" si="40"/>
        <v>5.0499999999999996E-2</v>
      </c>
      <c r="I1057" s="5">
        <f t="shared" si="40"/>
        <v>5.0499999999999996E-2</v>
      </c>
      <c r="J1057" s="5">
        <f t="shared" si="40"/>
        <v>5.0499999999999996E-2</v>
      </c>
      <c r="K1057" s="5">
        <f t="shared" si="40"/>
        <v>5.0499999999999996E-2</v>
      </c>
      <c r="L1057" s="80"/>
    </row>
    <row r="1058" spans="1:21" x14ac:dyDescent="0.35">
      <c r="A1058" s="29" t="s">
        <v>36</v>
      </c>
      <c r="B1058" s="5">
        <v>2.5569999999999999E-2</v>
      </c>
      <c r="C1058" s="5">
        <v>2.3439999999999999E-2</v>
      </c>
      <c r="D1058" s="5">
        <v>2.2499999999999999E-2</v>
      </c>
      <c r="E1058" s="5">
        <v>2.35E-2</v>
      </c>
      <c r="F1058" s="5">
        <v>2.0299999999999999E-2</v>
      </c>
      <c r="G1058" s="5">
        <v>2.3E-2</v>
      </c>
      <c r="H1058" s="5">
        <v>1.8929999999999999E-2</v>
      </c>
      <c r="I1058" s="5">
        <v>2.23E-2</v>
      </c>
      <c r="J1058" s="5">
        <v>2.3099999999999999E-2</v>
      </c>
      <c r="K1058" s="5">
        <v>2.1299999999999999E-2</v>
      </c>
      <c r="L1058" s="80"/>
    </row>
    <row r="1059" spans="1:21" x14ac:dyDescent="0.35">
      <c r="A1059" s="29" t="s">
        <v>38</v>
      </c>
      <c r="B1059" s="6">
        <f t="shared" ref="B1059:K1059" si="41">B1057+($B$9*(10*B1058))/10000</f>
        <v>5.7122075999999994E-2</v>
      </c>
      <c r="C1059" s="6">
        <f t="shared" si="41"/>
        <v>5.7853792000000001E-2</v>
      </c>
      <c r="D1059" s="6">
        <f t="shared" si="41"/>
        <v>5.7203000000000004E-2</v>
      </c>
      <c r="E1059" s="6">
        <f t="shared" si="41"/>
        <v>5.7769799999999996E-2</v>
      </c>
      <c r="F1059" s="6">
        <f t="shared" si="41"/>
        <v>5.7416039999999995E-2</v>
      </c>
      <c r="G1059" s="6">
        <f t="shared" si="41"/>
        <v>5.6636399999999996E-2</v>
      </c>
      <c r="H1059" s="6">
        <f t="shared" si="41"/>
        <v>5.5550523999999997E-2</v>
      </c>
      <c r="I1059" s="6">
        <f t="shared" si="41"/>
        <v>5.6449639999999995E-2</v>
      </c>
      <c r="J1059" s="6">
        <f t="shared" si="41"/>
        <v>5.6663079999999998E-2</v>
      </c>
      <c r="K1059" s="6">
        <f t="shared" si="41"/>
        <v>5.6182839999999998E-2</v>
      </c>
      <c r="L1059" s="85"/>
    </row>
    <row r="1060" spans="1:21" x14ac:dyDescent="0.35">
      <c r="A1060" s="29" t="s">
        <v>8</v>
      </c>
      <c r="B1060" s="7">
        <f t="shared" ref="B1060:K1060" si="42">1/(1+B1059)^B1056</f>
        <v>0.9459645415635044</v>
      </c>
      <c r="C1060" s="7">
        <f t="shared" si="42"/>
        <v>0.89361141052918658</v>
      </c>
      <c r="D1060" s="7">
        <f t="shared" si="42"/>
        <v>0.84630097157057438</v>
      </c>
      <c r="E1060" s="7">
        <f t="shared" si="42"/>
        <v>0.79879501530644925</v>
      </c>
      <c r="F1060" s="7">
        <f t="shared" si="42"/>
        <v>0.75643311006309044</v>
      </c>
      <c r="G1060" s="7">
        <f t="shared" si="42"/>
        <v>0.71853279437933604</v>
      </c>
      <c r="H1060" s="7">
        <f t="shared" si="42"/>
        <v>0.6849309959356259</v>
      </c>
      <c r="I1060" s="7">
        <f t="shared" si="42"/>
        <v>0.6444802371586007</v>
      </c>
      <c r="J1060" s="7">
        <f t="shared" si="42"/>
        <v>0.60893536857305042</v>
      </c>
      <c r="K1060" s="7">
        <f t="shared" si="42"/>
        <v>0.57890717003313785</v>
      </c>
      <c r="L1060" s="86"/>
    </row>
    <row r="1061" spans="1:21" x14ac:dyDescent="0.35">
      <c r="A1061" s="30"/>
      <c r="B1061" s="4"/>
      <c r="C1061" s="4"/>
      <c r="D1061" s="4"/>
      <c r="E1061" s="4"/>
      <c r="F1061" s="4"/>
      <c r="G1061" s="4"/>
      <c r="H1061" s="17"/>
      <c r="K1061" s="9">
        <f>(J1189+$B$4)*EXP(10*K$22)</f>
        <v>0.482871350833878</v>
      </c>
      <c r="L1061" s="86"/>
      <c r="M1061" s="87"/>
      <c r="N1061" s="87"/>
      <c r="O1061" s="87"/>
      <c r="P1061" s="87"/>
      <c r="Q1061" s="87"/>
      <c r="R1061" s="87"/>
      <c r="S1061" s="87"/>
      <c r="T1061" s="87"/>
      <c r="U1061" s="88">
        <f t="shared" ref="U1061:U1124" si="43">MIN($B$8,((100+$B$7)/(1+K1061+$D$8/10000)))+$B$7</f>
        <v>82.446674334013224</v>
      </c>
    </row>
    <row r="1062" spans="1:21" x14ac:dyDescent="0.35">
      <c r="A1062" s="30"/>
      <c r="B1062" s="4"/>
      <c r="C1062" s="4"/>
      <c r="D1062" s="4"/>
      <c r="E1062" s="4"/>
      <c r="F1062" s="4"/>
      <c r="G1062" s="38"/>
      <c r="H1062" s="17"/>
      <c r="K1062" s="8">
        <f>(J1189)*EXP(10*$K$22)</f>
        <v>0.48039658153139081</v>
      </c>
      <c r="L1062" s="87"/>
      <c r="M1062" s="87"/>
      <c r="N1062" s="87"/>
      <c r="O1062" s="87"/>
      <c r="P1062" s="87"/>
      <c r="Q1062" s="87"/>
      <c r="R1062" s="87"/>
      <c r="S1062" s="87"/>
      <c r="T1062" s="87"/>
      <c r="U1062" s="88">
        <f t="shared" si="43"/>
        <v>82.59338507562309</v>
      </c>
    </row>
    <row r="1063" spans="1:21" x14ac:dyDescent="0.35">
      <c r="A1063" s="30"/>
      <c r="B1063" s="4"/>
      <c r="C1063" s="4"/>
      <c r="D1063" s="4"/>
      <c r="E1063" s="4"/>
      <c r="F1063" s="4"/>
      <c r="G1063" s="4"/>
      <c r="H1063" s="17"/>
      <c r="K1063" s="9">
        <f>(J1190+$B$4)*EXP(10*$K$22)</f>
        <v>0.47975348986263416</v>
      </c>
      <c r="L1063" s="87"/>
      <c r="M1063" s="87"/>
      <c r="N1063" s="87"/>
      <c r="O1063" s="87"/>
      <c r="P1063" s="87"/>
      <c r="Q1063" s="87"/>
      <c r="R1063" s="87"/>
      <c r="S1063" s="87"/>
      <c r="T1063" s="87"/>
      <c r="U1063" s="88">
        <f t="shared" si="43"/>
        <v>82.631599088567</v>
      </c>
    </row>
    <row r="1064" spans="1:21" x14ac:dyDescent="0.35">
      <c r="A1064" s="30"/>
      <c r="B1064" s="4"/>
      <c r="C1064" s="4"/>
      <c r="D1064" s="4"/>
      <c r="E1064" s="4"/>
      <c r="F1064" s="4"/>
      <c r="G1064" s="38"/>
      <c r="H1064" s="17"/>
      <c r="K1064" s="8">
        <f>J1190*EXP(10*K$22)</f>
        <v>0.47727872056014697</v>
      </c>
      <c r="L1064" s="87"/>
      <c r="M1064" s="87"/>
      <c r="N1064" s="87"/>
      <c r="O1064" s="87"/>
      <c r="P1064" s="87"/>
      <c r="Q1064" s="87"/>
      <c r="R1064" s="87"/>
      <c r="S1064" s="87"/>
      <c r="T1064" s="87"/>
      <c r="U1064" s="88">
        <f t="shared" si="43"/>
        <v>82.779002986778778</v>
      </c>
    </row>
    <row r="1065" spans="1:21" x14ac:dyDescent="0.35">
      <c r="A1065" s="30"/>
      <c r="B1065" s="4"/>
      <c r="C1065" s="4"/>
      <c r="D1065" s="4"/>
      <c r="E1065" s="4"/>
      <c r="F1065" s="4"/>
      <c r="G1065" s="4"/>
      <c r="H1065" s="17"/>
      <c r="K1065" s="9">
        <f>(J1191+$B$4)*EXP(10*$K$22)</f>
        <v>0.47897458404596899</v>
      </c>
      <c r="L1065" s="87"/>
      <c r="M1065" s="87"/>
      <c r="N1065" s="87"/>
      <c r="O1065" s="87"/>
      <c r="P1065" s="87"/>
      <c r="Q1065" s="87"/>
      <c r="R1065" s="87"/>
      <c r="S1065" s="87"/>
      <c r="T1065" s="87"/>
      <c r="U1065" s="88">
        <f t="shared" si="43"/>
        <v>82.677933287490973</v>
      </c>
    </row>
    <row r="1066" spans="1:21" x14ac:dyDescent="0.35">
      <c r="A1066" s="30"/>
      <c r="B1066" s="4"/>
      <c r="C1066" s="4"/>
      <c r="D1066" s="4"/>
      <c r="E1066" s="4"/>
      <c r="F1066" s="4"/>
      <c r="G1066" s="38"/>
      <c r="H1066" s="17"/>
      <c r="K1066" s="8">
        <f>J1191*EXP(10*K$22)</f>
        <v>0.4764998147434818</v>
      </c>
      <c r="L1066" s="87"/>
      <c r="M1066" s="87"/>
      <c r="N1066" s="87"/>
      <c r="O1066" s="87"/>
      <c r="P1066" s="87"/>
      <c r="Q1066" s="87"/>
      <c r="R1066" s="87"/>
      <c r="S1066" s="87"/>
      <c r="T1066" s="87"/>
      <c r="U1066" s="88">
        <f t="shared" si="43"/>
        <v>82.825511117381581</v>
      </c>
    </row>
    <row r="1067" spans="1:21" x14ac:dyDescent="0.35">
      <c r="A1067" s="30"/>
      <c r="B1067" s="4"/>
      <c r="C1067" s="4"/>
      <c r="D1067" s="4"/>
      <c r="E1067" s="4"/>
      <c r="F1067" s="4"/>
      <c r="G1067" s="38"/>
      <c r="H1067" s="17"/>
      <c r="K1067" s="9">
        <f>(J1192+$B$4)*EXP(10*$K$22)</f>
        <v>0.47585672307472515</v>
      </c>
      <c r="L1067" s="87"/>
      <c r="M1067" s="87"/>
      <c r="N1067" s="87"/>
      <c r="O1067" s="87"/>
      <c r="P1067" s="87"/>
      <c r="Q1067" s="87"/>
      <c r="R1067" s="87"/>
      <c r="S1067" s="87"/>
      <c r="T1067" s="87"/>
      <c r="U1067" s="88">
        <f t="shared" si="43"/>
        <v>82.863951249516674</v>
      </c>
    </row>
    <row r="1068" spans="1:21" x14ac:dyDescent="0.35">
      <c r="A1068" s="30"/>
      <c r="B1068" s="4"/>
      <c r="C1068" s="4"/>
      <c r="D1068" s="4"/>
      <c r="E1068" s="4"/>
      <c r="F1068" s="4"/>
      <c r="G1068" s="4"/>
      <c r="H1068" s="17"/>
      <c r="K1068" s="8">
        <f>J1192*EXP(10*K$22)</f>
        <v>0.47338195377223791</v>
      </c>
      <c r="L1068" s="87"/>
      <c r="M1068" s="87"/>
      <c r="N1068" s="87"/>
      <c r="O1068" s="87"/>
      <c r="P1068" s="87"/>
      <c r="Q1068" s="87"/>
      <c r="R1068" s="87"/>
      <c r="S1068" s="87"/>
      <c r="T1068" s="87"/>
      <c r="U1068" s="88">
        <f t="shared" si="43"/>
        <v>83.012228397418198</v>
      </c>
    </row>
    <row r="1069" spans="1:21" x14ac:dyDescent="0.35">
      <c r="A1069" s="30"/>
      <c r="B1069" s="4"/>
      <c r="C1069" s="4"/>
      <c r="D1069" s="4"/>
      <c r="E1069" s="4"/>
      <c r="F1069" s="4"/>
      <c r="G1069" s="4"/>
      <c r="H1069" s="17"/>
      <c r="K1069" s="9">
        <f>(J1193+$B$4)*EXP(10*$K$22)</f>
        <v>0.56498218522262966</v>
      </c>
      <c r="L1069" s="87"/>
      <c r="M1069" s="87"/>
      <c r="N1069" s="87"/>
      <c r="O1069" s="87"/>
      <c r="P1069" s="87"/>
      <c r="Q1069" s="87"/>
      <c r="R1069" s="87"/>
      <c r="S1069" s="87"/>
      <c r="T1069" s="87"/>
      <c r="U1069" s="88">
        <f t="shared" si="43"/>
        <v>77.871391536430394</v>
      </c>
    </row>
    <row r="1070" spans="1:21" x14ac:dyDescent="0.35">
      <c r="A1070" s="30"/>
      <c r="B1070" s="4"/>
      <c r="C1070" s="4"/>
      <c r="D1070" s="4"/>
      <c r="E1070" s="4"/>
      <c r="F1070" s="4"/>
      <c r="G1070" s="38"/>
      <c r="H1070" s="17"/>
      <c r="K1070" s="8">
        <f>J1193*EXP(10*K$22)</f>
        <v>0.56250741592014253</v>
      </c>
      <c r="L1070" s="87"/>
      <c r="M1070" s="87"/>
      <c r="N1070" s="87"/>
      <c r="O1070" s="87"/>
      <c r="P1070" s="87"/>
      <c r="Q1070" s="87"/>
      <c r="R1070" s="87"/>
      <c r="S1070" s="87"/>
      <c r="T1070" s="87"/>
      <c r="U1070" s="88">
        <f t="shared" si="43"/>
        <v>78.001473783402233</v>
      </c>
    </row>
    <row r="1071" spans="1:21" x14ac:dyDescent="0.35">
      <c r="A1071" s="30"/>
      <c r="B1071" s="4"/>
      <c r="C1071" s="4"/>
      <c r="D1071" s="4"/>
      <c r="E1071" s="4"/>
      <c r="F1071" s="4"/>
      <c r="G1071" s="4"/>
      <c r="H1071" s="17"/>
      <c r="K1071" s="9">
        <f>(J1194+$B$4)*EXP(10*$K$22)</f>
        <v>0.56186432425138588</v>
      </c>
      <c r="L1071" s="87"/>
      <c r="M1071" s="87"/>
      <c r="N1071" s="87"/>
      <c r="O1071" s="87"/>
      <c r="P1071" s="87"/>
      <c r="Q1071" s="87"/>
      <c r="R1071" s="87"/>
      <c r="S1071" s="87"/>
      <c r="T1071" s="87"/>
      <c r="U1071" s="88">
        <f t="shared" si="43"/>
        <v>78.035351884367103</v>
      </c>
    </row>
    <row r="1072" spans="1:21" x14ac:dyDescent="0.35">
      <c r="A1072" s="30"/>
      <c r="B1072" s="4"/>
      <c r="C1072" s="4"/>
      <c r="D1072" s="4"/>
      <c r="E1072" s="4"/>
      <c r="F1072" s="4"/>
      <c r="G1072" s="38"/>
      <c r="H1072" s="15"/>
      <c r="I1072" s="16"/>
      <c r="J1072" s="16"/>
      <c r="K1072" s="8">
        <f>J1194*EXP(10*K$22)</f>
        <v>0.55938955494889864</v>
      </c>
      <c r="L1072" s="87"/>
      <c r="M1072" s="87"/>
      <c r="N1072" s="87"/>
      <c r="O1072" s="87"/>
      <c r="P1072" s="87"/>
      <c r="Q1072" s="87"/>
      <c r="R1072" s="87"/>
      <c r="S1072" s="87"/>
      <c r="T1072" s="87"/>
      <c r="U1072" s="88">
        <f t="shared" si="43"/>
        <v>78.16601272778631</v>
      </c>
    </row>
    <row r="1073" spans="1:21" x14ac:dyDescent="0.35">
      <c r="A1073" s="30"/>
      <c r="B1073" s="4"/>
      <c r="C1073" s="4"/>
      <c r="D1073" s="4"/>
      <c r="E1073" s="4"/>
      <c r="F1073" s="4"/>
      <c r="G1073" s="4"/>
      <c r="I1073" s="16"/>
      <c r="J1073" s="16"/>
      <c r="K1073" s="9">
        <f>(J1195+$B$4)*EXP(10*$K$22)</f>
        <v>0.56108541843472071</v>
      </c>
      <c r="L1073" s="87"/>
      <c r="M1073" s="87"/>
      <c r="N1073" s="87"/>
      <c r="O1073" s="87"/>
      <c r="P1073" s="87"/>
      <c r="Q1073" s="87"/>
      <c r="R1073" s="87"/>
      <c r="S1073" s="87"/>
      <c r="T1073" s="87"/>
      <c r="U1073" s="88">
        <f t="shared" si="43"/>
        <v>78.076426241475886</v>
      </c>
    </row>
    <row r="1074" spans="1:21" x14ac:dyDescent="0.35">
      <c r="A1074" s="30"/>
      <c r="B1074" s="4"/>
      <c r="C1074" s="4"/>
      <c r="D1074" s="4"/>
      <c r="E1074" s="4"/>
      <c r="F1074" s="38"/>
      <c r="G1074" s="38"/>
      <c r="J1074" s="16"/>
      <c r="K1074" s="8">
        <f>J1195*EXP(10*K$22)</f>
        <v>0.55861064913223346</v>
      </c>
      <c r="L1074" s="87"/>
      <c r="M1074" s="87"/>
      <c r="N1074" s="87"/>
      <c r="O1074" s="87"/>
      <c r="P1074" s="87"/>
      <c r="Q1074" s="87"/>
      <c r="R1074" s="87"/>
      <c r="S1074" s="87"/>
      <c r="T1074" s="87"/>
      <c r="U1074" s="88">
        <f t="shared" si="43"/>
        <v>78.207232232849265</v>
      </c>
    </row>
    <row r="1075" spans="1:21" x14ac:dyDescent="0.35">
      <c r="A1075" s="30"/>
      <c r="B1075" s="4"/>
      <c r="C1075" s="4"/>
      <c r="D1075" s="4"/>
      <c r="E1075" s="4"/>
      <c r="F1075" s="4"/>
      <c r="G1075" s="4"/>
      <c r="K1075" s="9">
        <f>(J1196+$B$4)*EXP(10*$K$22)</f>
        <v>0.55796755746347693</v>
      </c>
      <c r="L1075" s="87"/>
      <c r="M1075" s="87"/>
      <c r="N1075" s="87"/>
      <c r="O1075" s="87"/>
      <c r="P1075" s="87"/>
      <c r="Q1075" s="87"/>
      <c r="R1075" s="87"/>
      <c r="S1075" s="87"/>
      <c r="T1075" s="87"/>
      <c r="U1075" s="88">
        <f t="shared" si="43"/>
        <v>78.241299032783488</v>
      </c>
    </row>
    <row r="1076" spans="1:21" x14ac:dyDescent="0.35">
      <c r="A1076" s="30"/>
      <c r="B1076" s="4"/>
      <c r="C1076" s="4"/>
      <c r="D1076" s="4"/>
      <c r="E1076" s="4"/>
      <c r="F1076" s="38"/>
      <c r="G1076" s="38"/>
      <c r="K1076" s="8">
        <f>J1196*EXP(10*K$22)</f>
        <v>0.55549278816098968</v>
      </c>
      <c r="L1076" s="87"/>
      <c r="M1076" s="87"/>
      <c r="N1076" s="87"/>
      <c r="O1076" s="87"/>
      <c r="P1076" s="87"/>
      <c r="Q1076" s="87"/>
      <c r="R1076" s="87"/>
      <c r="S1076" s="87"/>
      <c r="T1076" s="87"/>
      <c r="U1076" s="88">
        <f t="shared" si="43"/>
        <v>78.372688461462957</v>
      </c>
    </row>
    <row r="1077" spans="1:21" x14ac:dyDescent="0.35">
      <c r="A1077" s="30"/>
      <c r="B1077" s="4"/>
      <c r="C1077" s="4"/>
      <c r="D1077" s="4"/>
      <c r="E1077" s="4"/>
      <c r="F1077" s="4"/>
      <c r="G1077" s="4"/>
      <c r="K1077" s="9">
        <f>(J1197+$B$4)*EXP(10*$K$22)</f>
        <v>0.56619989809717408</v>
      </c>
      <c r="L1077" s="87"/>
      <c r="M1077" s="87"/>
      <c r="N1077" s="87"/>
      <c r="O1077" s="87"/>
      <c r="P1077" s="87"/>
      <c r="Q1077" s="87"/>
      <c r="R1077" s="87"/>
      <c r="S1077" s="87"/>
      <c r="T1077" s="87"/>
      <c r="U1077" s="88">
        <f t="shared" si="43"/>
        <v>77.80755215936621</v>
      </c>
    </row>
    <row r="1078" spans="1:21" x14ac:dyDescent="0.35">
      <c r="A1078" s="30"/>
      <c r="B1078" s="4"/>
      <c r="C1078" s="4"/>
      <c r="D1078" s="4"/>
      <c r="E1078" s="38"/>
      <c r="F1078" s="38"/>
      <c r="G1078" s="38"/>
      <c r="K1078" s="8">
        <f>J1197*EXP(10*K$22)</f>
        <v>0.56372512879468695</v>
      </c>
      <c r="L1078" s="87"/>
      <c r="M1078" s="87"/>
      <c r="N1078" s="87"/>
      <c r="O1078" s="87"/>
      <c r="P1078" s="87"/>
      <c r="Q1078" s="87"/>
      <c r="R1078" s="87"/>
      <c r="S1078" s="87"/>
      <c r="T1078" s="87"/>
      <c r="U1078" s="88">
        <f t="shared" si="43"/>
        <v>77.937409472701447</v>
      </c>
    </row>
    <row r="1079" spans="1:21" x14ac:dyDescent="0.35">
      <c r="A1079" s="30"/>
      <c r="B1079" s="4"/>
      <c r="C1079" s="4"/>
      <c r="D1079" s="38"/>
      <c r="E1079" s="38"/>
      <c r="F1079" s="38"/>
      <c r="G1079" s="38"/>
      <c r="H1079" s="17"/>
      <c r="J1079" s="38"/>
      <c r="K1079" s="9">
        <f>(J1198+$B$4)*EXP(10*$K$22)</f>
        <v>0.56308203712593019</v>
      </c>
      <c r="L1079" s="87"/>
      <c r="M1079" s="87"/>
      <c r="N1079" s="87"/>
      <c r="O1079" s="87"/>
      <c r="P1079" s="87"/>
      <c r="Q1079" s="87"/>
      <c r="R1079" s="87"/>
      <c r="S1079" s="87"/>
      <c r="T1079" s="87"/>
      <c r="U1079" s="88">
        <f t="shared" si="43"/>
        <v>77.971228927978558</v>
      </c>
    </row>
    <row r="1080" spans="1:21" x14ac:dyDescent="0.35">
      <c r="A1080" s="30"/>
      <c r="B1080" s="4"/>
      <c r="C1080" s="4"/>
      <c r="D1080" s="4"/>
      <c r="E1080" s="4"/>
      <c r="F1080" s="4"/>
      <c r="G1080" s="4"/>
      <c r="H1080" s="19"/>
      <c r="I1080" s="16"/>
      <c r="J1080" s="4"/>
      <c r="K1080" s="8">
        <f>J1198*EXP(10*K$22)</f>
        <v>0.56060726782344306</v>
      </c>
      <c r="L1080" s="87"/>
      <c r="M1080" s="87"/>
      <c r="N1080" s="87"/>
      <c r="O1080" s="87"/>
      <c r="P1080" s="87"/>
      <c r="Q1080" s="87"/>
      <c r="R1080" s="87"/>
      <c r="S1080" s="87"/>
      <c r="T1080" s="87"/>
      <c r="U1080" s="88">
        <f t="shared" si="43"/>
        <v>78.101663336012905</v>
      </c>
    </row>
    <row r="1081" spans="1:21" x14ac:dyDescent="0.35">
      <c r="A1081" s="30"/>
      <c r="B1081" s="4"/>
      <c r="C1081" s="4"/>
      <c r="D1081" s="4"/>
      <c r="E1081" s="4"/>
      <c r="F1081" s="4"/>
      <c r="G1081" s="4"/>
      <c r="H1081" s="17"/>
      <c r="K1081" s="9">
        <f>(J1199+$B$4)*EXP(10*$K$22)</f>
        <v>0.56230313130926513</v>
      </c>
      <c r="L1081" s="87"/>
      <c r="M1081" s="87"/>
      <c r="N1081" s="87"/>
      <c r="O1081" s="87"/>
      <c r="P1081" s="87"/>
      <c r="Q1081" s="87"/>
      <c r="R1081" s="87"/>
      <c r="S1081" s="87"/>
      <c r="T1081" s="87"/>
      <c r="U1081" s="88">
        <f t="shared" si="43"/>
        <v>78.012232146154375</v>
      </c>
    </row>
    <row r="1082" spans="1:21" x14ac:dyDescent="0.35">
      <c r="A1082" s="30"/>
      <c r="B1082" s="4"/>
      <c r="C1082" s="4"/>
      <c r="D1082" s="4"/>
      <c r="E1082" s="4"/>
      <c r="F1082" s="4"/>
      <c r="G1082" s="38"/>
      <c r="H1082" s="17"/>
      <c r="K1082" s="8">
        <f>J1199*EXP(10*K$22)</f>
        <v>0.55982836200677788</v>
      </c>
      <c r="L1082" s="87"/>
      <c r="M1082" s="87"/>
      <c r="N1082" s="87"/>
      <c r="O1082" s="87"/>
      <c r="P1082" s="87"/>
      <c r="Q1082" s="87"/>
      <c r="R1082" s="87"/>
      <c r="S1082" s="87"/>
      <c r="T1082" s="87"/>
      <c r="U1082" s="88">
        <f t="shared" si="43"/>
        <v>78.142811324889436</v>
      </c>
    </row>
    <row r="1083" spans="1:21" x14ac:dyDescent="0.35">
      <c r="A1083" s="30"/>
      <c r="B1083" s="4"/>
      <c r="C1083" s="4"/>
      <c r="D1083" s="4"/>
      <c r="E1083" s="4"/>
      <c r="F1083" s="4"/>
      <c r="G1083" s="4"/>
      <c r="H1083" s="17"/>
      <c r="K1083" s="9">
        <f>(J1200+$B$4)*EXP(10*$K$22)</f>
        <v>0.55918527033802123</v>
      </c>
      <c r="L1083" s="87"/>
      <c r="M1083" s="87"/>
      <c r="N1083" s="87"/>
      <c r="O1083" s="87"/>
      <c r="P1083" s="87"/>
      <c r="Q1083" s="87"/>
      <c r="R1083" s="87"/>
      <c r="S1083" s="87"/>
      <c r="T1083" s="87"/>
      <c r="U1083" s="88">
        <f t="shared" si="43"/>
        <v>78.176818988688424</v>
      </c>
    </row>
    <row r="1084" spans="1:21" x14ac:dyDescent="0.35">
      <c r="A1084" s="30"/>
      <c r="B1084" s="4"/>
      <c r="C1084" s="4"/>
      <c r="D1084" s="4"/>
      <c r="E1084" s="4"/>
      <c r="F1084" s="4"/>
      <c r="G1084" s="38"/>
      <c r="H1084" s="17"/>
      <c r="K1084" s="8">
        <f>J1200*EXP(10*K$22)</f>
        <v>0.5567105010355341</v>
      </c>
      <c r="L1084" s="87"/>
      <c r="M1084" s="87"/>
      <c r="N1084" s="87"/>
      <c r="O1084" s="87"/>
      <c r="P1084" s="87"/>
      <c r="Q1084" s="87"/>
      <c r="R1084" s="87"/>
      <c r="S1084" s="87"/>
      <c r="T1084" s="87"/>
      <c r="U1084" s="88">
        <f t="shared" si="43"/>
        <v>78.307980086212652</v>
      </c>
    </row>
    <row r="1085" spans="1:21" x14ac:dyDescent="0.35">
      <c r="A1085" s="30"/>
      <c r="B1085" s="4"/>
      <c r="C1085" s="4"/>
      <c r="D1085" s="4"/>
      <c r="E1085" s="4"/>
      <c r="F1085" s="4"/>
      <c r="G1085" s="4"/>
      <c r="H1085" s="17"/>
      <c r="K1085" s="9">
        <f>(J1201+$B$4)*EXP(10*$K$22)</f>
        <v>0.57090876440725868</v>
      </c>
      <c r="L1085" s="87"/>
      <c r="M1085" s="87"/>
      <c r="N1085" s="87"/>
      <c r="O1085" s="87"/>
      <c r="P1085" s="87"/>
      <c r="Q1085" s="87"/>
      <c r="R1085" s="87"/>
      <c r="S1085" s="87"/>
      <c r="T1085" s="87"/>
      <c r="U1085" s="88">
        <f t="shared" si="43"/>
        <v>77.561721691019372</v>
      </c>
    </row>
    <row r="1086" spans="1:21" x14ac:dyDescent="0.35">
      <c r="A1086" s="30"/>
      <c r="B1086" s="4"/>
      <c r="C1086" s="4"/>
      <c r="D1086" s="4"/>
      <c r="E1086" s="4"/>
      <c r="F1086" s="4"/>
      <c r="G1086" s="38"/>
      <c r="H1086" s="17"/>
      <c r="K1086" s="8">
        <f>J1201*EXP(10*K$22)</f>
        <v>0.56843399510477144</v>
      </c>
      <c r="L1086" s="87"/>
      <c r="M1086" s="87"/>
      <c r="N1086" s="87"/>
      <c r="O1086" s="87"/>
      <c r="P1086" s="87"/>
      <c r="Q1086" s="87"/>
      <c r="R1086" s="87"/>
      <c r="S1086" s="87"/>
      <c r="T1086" s="87"/>
      <c r="U1086" s="88">
        <f t="shared" si="43"/>
        <v>77.690714658736098</v>
      </c>
    </row>
    <row r="1087" spans="1:21" x14ac:dyDescent="0.35">
      <c r="A1087" s="30"/>
      <c r="B1087" s="4"/>
      <c r="C1087" s="4"/>
      <c r="D1087" s="4"/>
      <c r="E1087" s="4"/>
      <c r="F1087" s="4"/>
      <c r="G1087" s="4"/>
      <c r="H1087" s="17"/>
      <c r="K1087" s="9">
        <f>(J1202+$B$4)*EXP(10*$K$22)</f>
        <v>0.56779090343601479</v>
      </c>
      <c r="L1087" s="87"/>
      <c r="M1087" s="87"/>
      <c r="N1087" s="87"/>
      <c r="O1087" s="87"/>
      <c r="P1087" s="87"/>
      <c r="Q1087" s="87"/>
      <c r="R1087" s="87"/>
      <c r="S1087" s="87"/>
      <c r="T1087" s="87"/>
      <c r="U1087" s="88">
        <f t="shared" si="43"/>
        <v>77.724308759590755</v>
      </c>
    </row>
    <row r="1088" spans="1:21" x14ac:dyDescent="0.35">
      <c r="A1088" s="30"/>
      <c r="B1088" s="4"/>
      <c r="C1088" s="4"/>
      <c r="D1088" s="4"/>
      <c r="E1088" s="4"/>
      <c r="F1088" s="4"/>
      <c r="G1088" s="38"/>
      <c r="H1088" s="15"/>
      <c r="I1088" s="16"/>
      <c r="J1088" s="16"/>
      <c r="K1088" s="8">
        <f>J1202*EXP(10*K$22)</f>
        <v>0.56531613413352766</v>
      </c>
      <c r="L1088" s="87"/>
      <c r="M1088" s="87"/>
      <c r="N1088" s="87"/>
      <c r="O1088" s="87"/>
      <c r="P1088" s="87"/>
      <c r="Q1088" s="87"/>
      <c r="R1088" s="87"/>
      <c r="S1088" s="87"/>
      <c r="T1088" s="87"/>
      <c r="U1088" s="88">
        <f t="shared" si="43"/>
        <v>77.853873063444382</v>
      </c>
    </row>
    <row r="1089" spans="1:21" x14ac:dyDescent="0.35">
      <c r="A1089" s="30"/>
      <c r="B1089" s="4"/>
      <c r="C1089" s="4"/>
      <c r="D1089" s="4"/>
      <c r="E1089" s="4"/>
      <c r="F1089" s="4"/>
      <c r="G1089" s="4"/>
      <c r="I1089" s="16"/>
      <c r="J1089" s="16"/>
      <c r="K1089" s="9">
        <f>(J1203+$B$4)*EXP(10*$K$22)</f>
        <v>0.56701199761934962</v>
      </c>
      <c r="L1089" s="87"/>
      <c r="M1089" s="87"/>
      <c r="N1089" s="87"/>
      <c r="O1089" s="87"/>
      <c r="P1089" s="87"/>
      <c r="Q1089" s="87"/>
      <c r="R1089" s="87"/>
      <c r="S1089" s="87"/>
      <c r="T1089" s="87"/>
      <c r="U1089" s="88">
        <f t="shared" si="43"/>
        <v>77.765038617138714</v>
      </c>
    </row>
    <row r="1090" spans="1:21" x14ac:dyDescent="0.35">
      <c r="A1090" s="30"/>
      <c r="B1090" s="4"/>
      <c r="C1090" s="4"/>
      <c r="D1090" s="4"/>
      <c r="E1090" s="4"/>
      <c r="F1090" s="38"/>
      <c r="G1090" s="38"/>
      <c r="J1090" s="16"/>
      <c r="K1090" s="8">
        <f>J1203*EXP(10*K$22)</f>
        <v>0.56453722831686248</v>
      </c>
      <c r="L1090" s="87"/>
      <c r="M1090" s="87"/>
      <c r="N1090" s="87"/>
      <c r="O1090" s="87"/>
      <c r="P1090" s="87"/>
      <c r="Q1090" s="87"/>
      <c r="R1090" s="87"/>
      <c r="S1090" s="87"/>
      <c r="T1090" s="87"/>
      <c r="U1090" s="88">
        <f t="shared" si="43"/>
        <v>77.894746245104216</v>
      </c>
    </row>
    <row r="1091" spans="1:21" x14ac:dyDescent="0.35">
      <c r="A1091" s="30"/>
      <c r="B1091" s="4"/>
      <c r="C1091" s="4"/>
      <c r="D1091" s="4"/>
      <c r="E1091" s="4"/>
      <c r="F1091" s="4"/>
      <c r="G1091" s="4"/>
      <c r="K1091" s="9">
        <f>(J1204+$B$4)*EXP(10*$K$22)</f>
        <v>0.56389413664810584</v>
      </c>
      <c r="L1091" s="87"/>
      <c r="M1091" s="87"/>
      <c r="N1091" s="87"/>
      <c r="O1091" s="87"/>
      <c r="P1091" s="87"/>
      <c r="Q1091" s="87"/>
      <c r="R1091" s="87"/>
      <c r="S1091" s="87"/>
      <c r="T1091" s="87"/>
      <c r="U1091" s="88">
        <f t="shared" si="43"/>
        <v>77.928526673846406</v>
      </c>
    </row>
    <row r="1092" spans="1:21" x14ac:dyDescent="0.35">
      <c r="A1092" s="30"/>
      <c r="B1092" s="4"/>
      <c r="C1092" s="4"/>
      <c r="D1092" s="4"/>
      <c r="E1092" s="4"/>
      <c r="F1092" s="38"/>
      <c r="G1092" s="38"/>
      <c r="K1092" s="8">
        <f>J1204*EXP(10*K$22)</f>
        <v>0.56141936734561859</v>
      </c>
      <c r="L1092" s="87"/>
      <c r="M1092" s="87"/>
      <c r="N1092" s="87"/>
      <c r="O1092" s="87"/>
      <c r="P1092" s="87"/>
      <c r="Q1092" s="87"/>
      <c r="R1092" s="87"/>
      <c r="S1092" s="87"/>
      <c r="T1092" s="87"/>
      <c r="U1092" s="88">
        <f t="shared" si="43"/>
        <v>78.058810397874282</v>
      </c>
    </row>
    <row r="1093" spans="1:21" x14ac:dyDescent="0.35">
      <c r="A1093" s="30"/>
      <c r="B1093" s="4"/>
      <c r="C1093" s="4"/>
      <c r="D1093" s="4"/>
      <c r="E1093" s="4"/>
      <c r="F1093" s="4"/>
      <c r="G1093" s="4"/>
      <c r="K1093" s="9">
        <f>(J1205+$B$4)*EXP(10*$K$22)</f>
        <v>0.56753380790252272</v>
      </c>
      <c r="L1093" s="87"/>
      <c r="M1093" s="87"/>
      <c r="N1093" s="87"/>
      <c r="O1093" s="87"/>
      <c r="P1093" s="87"/>
      <c r="Q1093" s="87"/>
      <c r="R1093" s="87"/>
      <c r="S1093" s="87"/>
      <c r="T1093" s="87"/>
      <c r="U1093" s="88">
        <f t="shared" si="43"/>
        <v>77.737747599152655</v>
      </c>
    </row>
    <row r="1094" spans="1:21" x14ac:dyDescent="0.35">
      <c r="A1094" s="30"/>
      <c r="B1094" s="4"/>
      <c r="C1094" s="4"/>
      <c r="D1094" s="4"/>
      <c r="E1094" s="38"/>
      <c r="F1094" s="38"/>
      <c r="G1094" s="38"/>
      <c r="K1094" s="8">
        <f>J1205*EXP(10*K$22)</f>
        <v>0.56505903860003548</v>
      </c>
      <c r="L1094" s="87"/>
      <c r="M1094" s="87"/>
      <c r="N1094" s="87"/>
      <c r="O1094" s="87"/>
      <c r="P1094" s="87"/>
      <c r="Q1094" s="87"/>
      <c r="R1094" s="87"/>
      <c r="S1094" s="87"/>
      <c r="T1094" s="87"/>
      <c r="U1094" s="88">
        <f t="shared" si="43"/>
        <v>77.867359184104686</v>
      </c>
    </row>
    <row r="1095" spans="1:21" x14ac:dyDescent="0.35">
      <c r="A1095" s="30"/>
      <c r="B1095" s="4"/>
      <c r="C1095" s="4"/>
      <c r="D1095" s="38"/>
      <c r="E1095" s="38"/>
      <c r="F1095" s="38"/>
      <c r="G1095" s="38"/>
      <c r="H1095" s="17"/>
      <c r="J1095" s="38"/>
      <c r="K1095" s="9">
        <f>(J1206+$B$4)*EXP(10*$K$22)</f>
        <v>0.56441594693127883</v>
      </c>
      <c r="L1095" s="87"/>
      <c r="M1095" s="87"/>
      <c r="N1095" s="87"/>
      <c r="O1095" s="87"/>
      <c r="P1095" s="87"/>
      <c r="Q1095" s="87"/>
      <c r="R1095" s="87"/>
      <c r="S1095" s="87"/>
      <c r="T1095" s="87"/>
      <c r="U1095" s="88">
        <f t="shared" si="43"/>
        <v>77.901114572189059</v>
      </c>
    </row>
    <row r="1096" spans="1:21" x14ac:dyDescent="0.35">
      <c r="A1096" s="30"/>
      <c r="B1096" s="4"/>
      <c r="C1096" s="4"/>
      <c r="D1096" s="4"/>
      <c r="E1096" s="4"/>
      <c r="F1096" s="4"/>
      <c r="G1096" s="4"/>
      <c r="H1096" s="19"/>
      <c r="I1096" s="16"/>
      <c r="J1096" s="4"/>
      <c r="K1096" s="8">
        <f>J1206*EXP(10*K$22)</f>
        <v>0.5619411776287917</v>
      </c>
      <c r="L1096" s="87"/>
      <c r="M1096" s="87"/>
      <c r="N1096" s="87"/>
      <c r="O1096" s="87"/>
      <c r="P1096" s="87"/>
      <c r="Q1096" s="87"/>
      <c r="R1096" s="87"/>
      <c r="S1096" s="87"/>
      <c r="T1096" s="87"/>
      <c r="U1096" s="88">
        <f t="shared" si="43"/>
        <v>78.031301612750283</v>
      </c>
    </row>
    <row r="1097" spans="1:21" x14ac:dyDescent="0.35">
      <c r="A1097" s="30"/>
      <c r="B1097" s="4"/>
      <c r="C1097" s="4"/>
      <c r="D1097" s="4"/>
      <c r="E1097" s="4"/>
      <c r="F1097" s="4"/>
      <c r="G1097" s="4"/>
      <c r="H1097" s="17"/>
      <c r="K1097" s="9">
        <f>(J1207+$B$4)*EXP(10*$K$22)</f>
        <v>0.56363704111461366</v>
      </c>
      <c r="L1097" s="87"/>
      <c r="M1097" s="87"/>
      <c r="N1097" s="87"/>
      <c r="O1097" s="87"/>
      <c r="P1097" s="87"/>
      <c r="Q1097" s="87"/>
      <c r="R1097" s="87"/>
      <c r="S1097" s="87"/>
      <c r="T1097" s="87"/>
      <c r="U1097" s="88">
        <f t="shared" si="43"/>
        <v>77.942040075094965</v>
      </c>
    </row>
    <row r="1098" spans="1:21" x14ac:dyDescent="0.35">
      <c r="A1098" s="30"/>
      <c r="B1098" s="4"/>
      <c r="C1098" s="4"/>
      <c r="D1098" s="4"/>
      <c r="E1098" s="4"/>
      <c r="F1098" s="4"/>
      <c r="G1098" s="38"/>
      <c r="H1098" s="17"/>
      <c r="K1098" s="8">
        <f>J1207*EXP(10*K$22)</f>
        <v>0.56116227181212652</v>
      </c>
      <c r="L1098" s="87"/>
      <c r="M1098" s="87"/>
      <c r="N1098" s="87"/>
      <c r="O1098" s="87"/>
      <c r="P1098" s="87"/>
      <c r="Q1098" s="87"/>
      <c r="R1098" s="87"/>
      <c r="S1098" s="87"/>
      <c r="T1098" s="87"/>
      <c r="U1098" s="88">
        <f t="shared" si="43"/>
        <v>78.072371474603997</v>
      </c>
    </row>
    <row r="1099" spans="1:21" x14ac:dyDescent="0.35">
      <c r="A1099" s="30"/>
      <c r="B1099" s="4"/>
      <c r="C1099" s="4"/>
      <c r="D1099" s="4"/>
      <c r="E1099" s="4"/>
      <c r="F1099" s="4"/>
      <c r="G1099" s="4"/>
      <c r="H1099" s="17"/>
      <c r="K1099" s="9">
        <f>(J1208+$B$4)*EXP(10*$K$22)</f>
        <v>0.56051918014336988</v>
      </c>
      <c r="L1099" s="87"/>
      <c r="M1099" s="87"/>
      <c r="N1099" s="87"/>
      <c r="O1099" s="87"/>
      <c r="P1099" s="87"/>
      <c r="Q1099" s="87"/>
      <c r="R1099" s="87"/>
      <c r="S1099" s="87"/>
      <c r="T1099" s="87"/>
      <c r="U1099" s="88">
        <f t="shared" si="43"/>
        <v>78.106314535911835</v>
      </c>
    </row>
    <row r="1100" spans="1:21" x14ac:dyDescent="0.35">
      <c r="A1100" s="30"/>
      <c r="B1100" s="4"/>
      <c r="C1100" s="4"/>
      <c r="D1100" s="4"/>
      <c r="E1100" s="4"/>
      <c r="F1100" s="4"/>
      <c r="G1100" s="38"/>
      <c r="H1100" s="17"/>
      <c r="K1100" s="8">
        <f>J1208*EXP(10*K$22)</f>
        <v>0.55804441084088263</v>
      </c>
      <c r="L1100" s="87"/>
      <c r="M1100" s="87"/>
      <c r="N1100" s="87"/>
      <c r="O1100" s="87"/>
      <c r="P1100" s="87"/>
      <c r="Q1100" s="87"/>
      <c r="R1100" s="87"/>
      <c r="S1100" s="87"/>
      <c r="T1100" s="87"/>
      <c r="U1100" s="88">
        <f t="shared" si="43"/>
        <v>78.237226196834683</v>
      </c>
    </row>
    <row r="1101" spans="1:21" x14ac:dyDescent="0.35">
      <c r="A1101" s="30"/>
      <c r="B1101" s="4"/>
      <c r="C1101" s="4"/>
      <c r="D1101" s="4"/>
      <c r="E1101" s="4"/>
      <c r="F1101" s="4"/>
      <c r="G1101" s="4"/>
      <c r="H1101" s="17"/>
      <c r="K1101" s="9">
        <f>(J1209+$B$4)*EXP(10*$K$22)</f>
        <v>0.57224267421260733</v>
      </c>
      <c r="L1101" s="87"/>
      <c r="M1101" s="87"/>
      <c r="N1101" s="87"/>
      <c r="O1101" s="87"/>
      <c r="P1101" s="87"/>
      <c r="Q1101" s="87"/>
      <c r="R1101" s="87"/>
      <c r="S1101" s="87"/>
      <c r="T1101" s="87"/>
      <c r="U1101" s="88">
        <f t="shared" si="43"/>
        <v>77.492381133443928</v>
      </c>
    </row>
    <row r="1102" spans="1:21" x14ac:dyDescent="0.35">
      <c r="A1102" s="30"/>
      <c r="B1102" s="4"/>
      <c r="C1102" s="4"/>
      <c r="D1102" s="4"/>
      <c r="E1102" s="4"/>
      <c r="F1102" s="4"/>
      <c r="G1102" s="38"/>
      <c r="H1102" s="17"/>
      <c r="K1102" s="8">
        <f>J1209*EXP(10*K$22)</f>
        <v>0.56976790491012008</v>
      </c>
      <c r="L1102" s="87"/>
      <c r="M1102" s="87"/>
      <c r="N1102" s="87"/>
      <c r="O1102" s="87"/>
      <c r="P1102" s="87"/>
      <c r="Q1102" s="87"/>
      <c r="R1102" s="87"/>
      <c r="S1102" s="87"/>
      <c r="T1102" s="87"/>
      <c r="U1102" s="88">
        <f t="shared" si="43"/>
        <v>77.621130820935363</v>
      </c>
    </row>
    <row r="1103" spans="1:21" x14ac:dyDescent="0.35">
      <c r="A1103" s="30"/>
      <c r="B1103" s="4"/>
      <c r="C1103" s="4"/>
      <c r="D1103" s="4"/>
      <c r="E1103" s="4"/>
      <c r="F1103" s="4"/>
      <c r="G1103" s="4"/>
      <c r="H1103" s="17"/>
      <c r="K1103" s="9">
        <f>(J1210+$B$4)*EXP(10*$K$22)</f>
        <v>0.56912481324136344</v>
      </c>
      <c r="L1103" s="87"/>
      <c r="M1103" s="87"/>
      <c r="N1103" s="87"/>
      <c r="O1103" s="87"/>
      <c r="P1103" s="87"/>
      <c r="Q1103" s="87"/>
      <c r="R1103" s="87"/>
      <c r="S1103" s="87"/>
      <c r="T1103" s="87"/>
      <c r="U1103" s="88">
        <f t="shared" si="43"/>
        <v>77.654661493591803</v>
      </c>
    </row>
    <row r="1104" spans="1:21" x14ac:dyDescent="0.35">
      <c r="A1104" s="30"/>
      <c r="B1104" s="4"/>
      <c r="C1104" s="4"/>
      <c r="D1104" s="4"/>
      <c r="E1104" s="4"/>
      <c r="F1104" s="4"/>
      <c r="G1104" s="38"/>
      <c r="H1104" s="15"/>
      <c r="I1104" s="16"/>
      <c r="J1104" s="16"/>
      <c r="K1104" s="8">
        <f>J1210*EXP(10*K$22)</f>
        <v>0.56665004393887619</v>
      </c>
      <c r="L1104" s="87"/>
      <c r="M1104" s="87"/>
      <c r="N1104" s="87"/>
      <c r="O1104" s="87"/>
      <c r="P1104" s="87"/>
      <c r="Q1104" s="87"/>
      <c r="R1104" s="87"/>
      <c r="S1104" s="87"/>
      <c r="T1104" s="87"/>
      <c r="U1104" s="88">
        <f t="shared" si="43"/>
        <v>77.783980899891304</v>
      </c>
    </row>
    <row r="1105" spans="1:21" x14ac:dyDescent="0.35">
      <c r="A1105" s="30"/>
      <c r="B1105" s="4"/>
      <c r="C1105" s="4"/>
      <c r="D1105" s="4"/>
      <c r="E1105" s="4"/>
      <c r="F1105" s="4"/>
      <c r="G1105" s="4"/>
      <c r="I1105" s="16"/>
      <c r="J1105" s="16"/>
      <c r="K1105" s="9">
        <f>(J1211+$B$4)*EXP(10*$K$22)</f>
        <v>0.56834590742469826</v>
      </c>
      <c r="L1105" s="87"/>
      <c r="M1105" s="87"/>
      <c r="N1105" s="87"/>
      <c r="O1105" s="87"/>
      <c r="P1105" s="87"/>
      <c r="Q1105" s="87"/>
      <c r="R1105" s="87"/>
      <c r="S1105" s="87"/>
      <c r="T1105" s="87"/>
      <c r="U1105" s="88">
        <f t="shared" si="43"/>
        <v>77.695314411377112</v>
      </c>
    </row>
    <row r="1106" spans="1:21" x14ac:dyDescent="0.35">
      <c r="A1106" s="30"/>
      <c r="B1106" s="4"/>
      <c r="C1106" s="4"/>
      <c r="D1106" s="4"/>
      <c r="E1106" s="4"/>
      <c r="F1106" s="38"/>
      <c r="G1106" s="38"/>
      <c r="J1106" s="16"/>
      <c r="K1106" s="8">
        <f>J1211*EXP(10*K$22)</f>
        <v>0.56587113812221113</v>
      </c>
      <c r="L1106" s="87"/>
      <c r="M1106" s="87"/>
      <c r="N1106" s="87"/>
      <c r="O1106" s="87"/>
      <c r="P1106" s="87"/>
      <c r="Q1106" s="87"/>
      <c r="R1106" s="87"/>
      <c r="S1106" s="87"/>
      <c r="T1106" s="87"/>
      <c r="U1106" s="88">
        <f t="shared" si="43"/>
        <v>77.824776735509658</v>
      </c>
    </row>
    <row r="1107" spans="1:21" x14ac:dyDescent="0.35">
      <c r="A1107" s="30"/>
      <c r="B1107" s="4"/>
      <c r="C1107" s="4"/>
      <c r="D1107" s="4"/>
      <c r="E1107" s="4"/>
      <c r="F1107" s="4"/>
      <c r="G1107" s="4"/>
      <c r="K1107" s="9">
        <f>(J1212+$B$4)*EXP(10*$K$22)</f>
        <v>0.56522804645345437</v>
      </c>
      <c r="L1107" s="87"/>
      <c r="M1107" s="87"/>
      <c r="N1107" s="87"/>
      <c r="O1107" s="87"/>
      <c r="P1107" s="87"/>
      <c r="Q1107" s="87"/>
      <c r="R1107" s="87"/>
      <c r="S1107" s="87"/>
      <c r="T1107" s="87"/>
      <c r="U1107" s="88">
        <f t="shared" si="43"/>
        <v>77.858493207871803</v>
      </c>
    </row>
    <row r="1108" spans="1:21" x14ac:dyDescent="0.35">
      <c r="A1108" s="30"/>
      <c r="B1108" s="4"/>
      <c r="C1108" s="4"/>
      <c r="D1108" s="4"/>
      <c r="E1108" s="4"/>
      <c r="F1108" s="38"/>
      <c r="G1108" s="38"/>
      <c r="K1108" s="8">
        <f>J1212*EXP(10*K$22)</f>
        <v>0.56275327715096723</v>
      </c>
      <c r="L1108" s="87"/>
      <c r="M1108" s="87"/>
      <c r="N1108" s="87"/>
      <c r="O1108" s="87"/>
      <c r="P1108" s="87"/>
      <c r="Q1108" s="87"/>
      <c r="R1108" s="87"/>
      <c r="S1108" s="87"/>
      <c r="T1108" s="87"/>
      <c r="U1108" s="88">
        <f t="shared" si="43"/>
        <v>77.988529992755772</v>
      </c>
    </row>
    <row r="1109" spans="1:21" x14ac:dyDescent="0.35">
      <c r="A1109" s="30"/>
      <c r="B1109" s="4"/>
      <c r="C1109" s="4"/>
      <c r="D1109" s="4"/>
      <c r="E1109" s="4"/>
      <c r="F1109" s="4"/>
      <c r="G1109" s="4"/>
      <c r="K1109" s="9">
        <f>(J1213+$B$4)*EXP(10*$K$22)</f>
        <v>0.57346038708715175</v>
      </c>
      <c r="L1109" s="87"/>
      <c r="M1109" s="87"/>
      <c r="N1109" s="87"/>
      <c r="O1109" s="87"/>
      <c r="P1109" s="87"/>
      <c r="Q1109" s="87"/>
      <c r="R1109" s="87"/>
      <c r="S1109" s="87"/>
      <c r="T1109" s="87"/>
      <c r="U1109" s="88">
        <f t="shared" si="43"/>
        <v>77.429194874430465</v>
      </c>
    </row>
    <row r="1110" spans="1:21" x14ac:dyDescent="0.35">
      <c r="A1110" s="30"/>
      <c r="B1110" s="4"/>
      <c r="C1110" s="4"/>
      <c r="D1110" s="4"/>
      <c r="E1110" s="38"/>
      <c r="F1110" s="38"/>
      <c r="G1110" s="38"/>
      <c r="K1110" s="8">
        <f>J1213*EXP(10*K$22)</f>
        <v>0.57098561778466461</v>
      </c>
      <c r="L1110" s="87"/>
      <c r="M1110" s="87"/>
      <c r="N1110" s="87"/>
      <c r="O1110" s="87"/>
      <c r="P1110" s="87"/>
      <c r="Q1110" s="87"/>
      <c r="R1110" s="87"/>
      <c r="S1110" s="87"/>
      <c r="T1110" s="87"/>
      <c r="U1110" s="88">
        <f t="shared" si="43"/>
        <v>77.557723074266264</v>
      </c>
    </row>
    <row r="1111" spans="1:21" x14ac:dyDescent="0.35">
      <c r="A1111" s="30"/>
      <c r="B1111" s="4"/>
      <c r="C1111" s="4"/>
      <c r="D1111" s="38"/>
      <c r="E1111" s="38"/>
      <c r="F1111" s="38"/>
      <c r="G1111" s="38"/>
      <c r="H1111" s="17"/>
      <c r="J1111" s="38"/>
      <c r="K1111" s="9">
        <f>(J1214+$B$4)*EXP(10*$K$22)</f>
        <v>0.57034252611590797</v>
      </c>
      <c r="L1111" s="87"/>
      <c r="M1111" s="87"/>
      <c r="N1111" s="87"/>
      <c r="O1111" s="87"/>
      <c r="P1111" s="87"/>
      <c r="Q1111" s="87"/>
      <c r="R1111" s="87"/>
      <c r="S1111" s="87"/>
      <c r="T1111" s="87"/>
      <c r="U1111" s="88">
        <f t="shared" si="43"/>
        <v>77.591196000671601</v>
      </c>
    </row>
    <row r="1112" spans="1:21" x14ac:dyDescent="0.35">
      <c r="A1112" s="30"/>
      <c r="B1112" s="4"/>
      <c r="C1112" s="4"/>
      <c r="D1112" s="4"/>
      <c r="E1112" s="4"/>
      <c r="F1112" s="4"/>
      <c r="G1112" s="4"/>
      <c r="H1112" s="19"/>
      <c r="I1112" s="16"/>
      <c r="J1112" s="4"/>
      <c r="K1112" s="8">
        <f>J1214*EXP(10*K$22)</f>
        <v>0.56786775681342072</v>
      </c>
      <c r="L1112" s="87"/>
      <c r="M1112" s="87"/>
      <c r="N1112" s="87"/>
      <c r="O1112" s="87"/>
      <c r="P1112" s="87"/>
      <c r="Q1112" s="87"/>
      <c r="R1112" s="87"/>
      <c r="S1112" s="87"/>
      <c r="T1112" s="87"/>
      <c r="U1112" s="88">
        <f t="shared" si="43"/>
        <v>77.720292448197853</v>
      </c>
    </row>
    <row r="1113" spans="1:21" x14ac:dyDescent="0.35">
      <c r="A1113" s="30"/>
      <c r="B1113" s="4"/>
      <c r="C1113" s="4"/>
      <c r="D1113" s="4"/>
      <c r="E1113" s="4"/>
      <c r="F1113" s="4"/>
      <c r="G1113" s="4"/>
      <c r="H1113" s="17"/>
      <c r="K1113" s="9">
        <f>(J1215+$B$4)*EXP(10*$K$22)</f>
        <v>0.56956362029924279</v>
      </c>
      <c r="L1113" s="87"/>
      <c r="M1113" s="87"/>
      <c r="N1113" s="87"/>
      <c r="O1113" s="87"/>
      <c r="P1113" s="87"/>
      <c r="Q1113" s="87"/>
      <c r="R1113" s="87"/>
      <c r="S1113" s="87"/>
      <c r="T1113" s="87"/>
      <c r="U1113" s="88">
        <f t="shared" si="43"/>
        <v>77.631778871113411</v>
      </c>
    </row>
    <row r="1114" spans="1:21" x14ac:dyDescent="0.35">
      <c r="A1114" s="30"/>
      <c r="B1114" s="4"/>
      <c r="C1114" s="4"/>
      <c r="D1114" s="4"/>
      <c r="E1114" s="4"/>
      <c r="F1114" s="4"/>
      <c r="G1114" s="38"/>
      <c r="H1114" s="17"/>
      <c r="K1114" s="8">
        <f>J1215*EXP(10*K$22)</f>
        <v>0.56708885099675554</v>
      </c>
      <c r="L1114" s="87"/>
      <c r="M1114" s="87"/>
      <c r="N1114" s="87"/>
      <c r="O1114" s="87"/>
      <c r="P1114" s="87"/>
      <c r="Q1114" s="87"/>
      <c r="R1114" s="87"/>
      <c r="S1114" s="87"/>
      <c r="T1114" s="87"/>
      <c r="U1114" s="88">
        <f t="shared" si="43"/>
        <v>77.761017866924476</v>
      </c>
    </row>
    <row r="1115" spans="1:21" x14ac:dyDescent="0.35">
      <c r="A1115" s="30"/>
      <c r="B1115" s="4"/>
      <c r="C1115" s="4"/>
      <c r="D1115" s="4"/>
      <c r="E1115" s="4"/>
      <c r="F1115" s="4"/>
      <c r="G1115" s="4"/>
      <c r="H1115" s="17"/>
      <c r="K1115" s="9">
        <f>(J1216+$B$4)*EXP(10*$K$22)</f>
        <v>0.5664457593279989</v>
      </c>
      <c r="L1115" s="87"/>
      <c r="M1115" s="87"/>
      <c r="N1115" s="87"/>
      <c r="O1115" s="87"/>
      <c r="P1115" s="87"/>
      <c r="Q1115" s="87"/>
      <c r="R1115" s="87"/>
      <c r="S1115" s="87"/>
      <c r="T1115" s="87"/>
      <c r="U1115" s="88">
        <f t="shared" si="43"/>
        <v>77.794676112605231</v>
      </c>
    </row>
    <row r="1116" spans="1:21" x14ac:dyDescent="0.35">
      <c r="A1116" s="30"/>
      <c r="B1116" s="4"/>
      <c r="C1116" s="4"/>
      <c r="D1116" s="4"/>
      <c r="E1116" s="4"/>
      <c r="F1116" s="4"/>
      <c r="G1116" s="38"/>
      <c r="H1116" s="17"/>
      <c r="K1116" s="8">
        <f>J1216*EXP(10*K$22)</f>
        <v>0.56397099002551165</v>
      </c>
      <c r="L1116" s="87"/>
      <c r="M1116" s="87"/>
      <c r="N1116" s="87"/>
      <c r="O1116" s="87"/>
      <c r="P1116" s="87"/>
      <c r="Q1116" s="87"/>
      <c r="R1116" s="87"/>
      <c r="S1116" s="87"/>
      <c r="T1116" s="87"/>
      <c r="U1116" s="88">
        <f t="shared" si="43"/>
        <v>77.92448808170856</v>
      </c>
    </row>
    <row r="1117" spans="1:21" x14ac:dyDescent="0.35">
      <c r="A1117" s="30"/>
      <c r="B1117" s="4"/>
      <c r="C1117" s="4"/>
      <c r="D1117" s="4"/>
      <c r="E1117" s="4"/>
      <c r="F1117" s="4"/>
      <c r="G1117" s="4"/>
      <c r="H1117" s="17"/>
      <c r="K1117" s="9">
        <f>(J1217+$B$4)*EXP(10*$K$22)</f>
        <v>0.57816925339723635</v>
      </c>
      <c r="L1117" s="87"/>
      <c r="M1117" s="87"/>
      <c r="N1117" s="87"/>
      <c r="O1117" s="87"/>
      <c r="P1117" s="87"/>
      <c r="Q1117" s="87"/>
      <c r="R1117" s="87"/>
      <c r="S1117" s="87"/>
      <c r="T1117" s="87"/>
      <c r="U1117" s="88">
        <f t="shared" si="43"/>
        <v>77.185874177205363</v>
      </c>
    </row>
    <row r="1118" spans="1:21" x14ac:dyDescent="0.35">
      <c r="A1118" s="30"/>
      <c r="B1118" s="4"/>
      <c r="C1118" s="4"/>
      <c r="D1118" s="4"/>
      <c r="E1118" s="4"/>
      <c r="F1118" s="4"/>
      <c r="G1118" s="38"/>
      <c r="H1118" s="17"/>
      <c r="K1118" s="8">
        <f>J1217*EXP(10*K$22)</f>
        <v>0.5756944840947491</v>
      </c>
      <c r="L1118" s="87"/>
      <c r="M1118" s="87"/>
      <c r="N1118" s="87"/>
      <c r="O1118" s="87"/>
      <c r="P1118" s="87"/>
      <c r="Q1118" s="87"/>
      <c r="R1118" s="87"/>
      <c r="S1118" s="87"/>
      <c r="T1118" s="87"/>
      <c r="U1118" s="88">
        <f t="shared" si="43"/>
        <v>77.313551245692693</v>
      </c>
    </row>
    <row r="1119" spans="1:21" x14ac:dyDescent="0.35">
      <c r="A1119" s="30"/>
      <c r="B1119" s="4"/>
      <c r="C1119" s="4"/>
      <c r="D1119" s="4"/>
      <c r="E1119" s="4"/>
      <c r="F1119" s="4"/>
      <c r="G1119" s="4"/>
      <c r="H1119" s="17"/>
      <c r="K1119" s="9">
        <f>(J1218+$B$4)*EXP(10*$K$22)</f>
        <v>0.57505139242599246</v>
      </c>
      <c r="L1119" s="87"/>
      <c r="M1119" s="87"/>
      <c r="N1119" s="87"/>
      <c r="O1119" s="87"/>
      <c r="P1119" s="87"/>
      <c r="Q1119" s="87"/>
      <c r="R1119" s="87"/>
      <c r="S1119" s="87"/>
      <c r="T1119" s="87"/>
      <c r="U1119" s="88">
        <f t="shared" si="43"/>
        <v>77.346802266704799</v>
      </c>
    </row>
    <row r="1120" spans="1:21" x14ac:dyDescent="0.35">
      <c r="A1120" s="30"/>
      <c r="B1120" s="4"/>
      <c r="C1120" s="4"/>
      <c r="D1120" s="4"/>
      <c r="E1120" s="4"/>
      <c r="F1120" s="4"/>
      <c r="G1120" s="38"/>
      <c r="H1120" s="15"/>
      <c r="I1120" s="16"/>
      <c r="J1120" s="16"/>
      <c r="K1120" s="8">
        <f>J1218*EXP(10*K$22)</f>
        <v>0.57257662312350532</v>
      </c>
      <c r="L1120" s="87"/>
      <c r="M1120" s="87"/>
      <c r="N1120" s="87"/>
      <c r="O1120" s="87"/>
      <c r="P1120" s="87"/>
      <c r="Q1120" s="87"/>
      <c r="R1120" s="87"/>
      <c r="S1120" s="87"/>
      <c r="T1120" s="87"/>
      <c r="U1120" s="88">
        <f t="shared" si="43"/>
        <v>77.475041941532425</v>
      </c>
    </row>
    <row r="1121" spans="1:21" x14ac:dyDescent="0.35">
      <c r="A1121" s="30"/>
      <c r="B1121" s="4"/>
      <c r="C1121" s="4"/>
      <c r="D1121" s="4"/>
      <c r="E1121" s="4"/>
      <c r="F1121" s="4"/>
      <c r="G1121" s="4"/>
      <c r="I1121" s="16"/>
      <c r="J1121" s="16"/>
      <c r="K1121" s="9">
        <f>(J1219+$B$4)*EXP(10*$K$22)</f>
        <v>0.57427248660932728</v>
      </c>
      <c r="L1121" s="87"/>
      <c r="M1121" s="87"/>
      <c r="N1121" s="87"/>
      <c r="O1121" s="87"/>
      <c r="P1121" s="87"/>
      <c r="Q1121" s="87"/>
      <c r="R1121" s="87"/>
      <c r="S1121" s="87"/>
      <c r="T1121" s="87"/>
      <c r="U1121" s="88">
        <f t="shared" si="43"/>
        <v>77.387115962369947</v>
      </c>
    </row>
    <row r="1122" spans="1:21" x14ac:dyDescent="0.35">
      <c r="A1122" s="30"/>
      <c r="B1122" s="4"/>
      <c r="C1122" s="4"/>
      <c r="D1122" s="4"/>
      <c r="E1122" s="4"/>
      <c r="F1122" s="38"/>
      <c r="G1122" s="38"/>
      <c r="J1122" s="16"/>
      <c r="K1122" s="8">
        <f>J1219*EXP(10*K$22)</f>
        <v>0.57179771730684015</v>
      </c>
      <c r="L1122" s="87"/>
      <c r="M1122" s="87"/>
      <c r="N1122" s="87"/>
      <c r="O1122" s="87"/>
      <c r="P1122" s="87"/>
      <c r="Q1122" s="87"/>
      <c r="R1122" s="87"/>
      <c r="S1122" s="87"/>
      <c r="T1122" s="87"/>
      <c r="U1122" s="88">
        <f t="shared" si="43"/>
        <v>77.515496768378213</v>
      </c>
    </row>
    <row r="1123" spans="1:21" x14ac:dyDescent="0.35">
      <c r="A1123" s="30"/>
      <c r="B1123" s="4"/>
      <c r="C1123" s="4"/>
      <c r="D1123" s="4"/>
      <c r="E1123" s="4"/>
      <c r="F1123" s="4"/>
      <c r="G1123" s="4"/>
      <c r="K1123" s="9">
        <f>(J1220+$B$4)*EXP(10*$K$22)</f>
        <v>0.5711546256380835</v>
      </c>
      <c r="L1123" s="87"/>
      <c r="M1123" s="87"/>
      <c r="N1123" s="87"/>
      <c r="O1123" s="87"/>
      <c r="P1123" s="87"/>
      <c r="Q1123" s="87"/>
      <c r="R1123" s="87"/>
      <c r="S1123" s="87"/>
      <c r="T1123" s="87"/>
      <c r="U1123" s="88">
        <f t="shared" si="43"/>
        <v>77.548931266362942</v>
      </c>
    </row>
    <row r="1124" spans="1:21" x14ac:dyDescent="0.35">
      <c r="A1124" s="30"/>
      <c r="B1124" s="4"/>
      <c r="C1124" s="4"/>
      <c r="D1124" s="4"/>
      <c r="E1124" s="4"/>
      <c r="F1124" s="38"/>
      <c r="G1124" s="38"/>
      <c r="K1124" s="8">
        <f>J1220*EXP(10*K$22)</f>
        <v>0.56867985633559626</v>
      </c>
      <c r="L1124" s="87"/>
      <c r="M1124" s="87"/>
      <c r="N1124" s="87"/>
      <c r="O1124" s="87"/>
      <c r="P1124" s="87"/>
      <c r="Q1124" s="87"/>
      <c r="R1124" s="87"/>
      <c r="S1124" s="87"/>
      <c r="T1124" s="87"/>
      <c r="U1124" s="88">
        <f t="shared" si="43"/>
        <v>77.677879341779331</v>
      </c>
    </row>
    <row r="1125" spans="1:21" x14ac:dyDescent="0.35">
      <c r="A1125" s="30"/>
      <c r="B1125" s="4"/>
      <c r="C1125" s="4"/>
      <c r="D1125" s="4"/>
      <c r="E1125" s="4"/>
      <c r="F1125" s="4"/>
      <c r="G1125" s="4"/>
      <c r="K1125" s="9">
        <f>(J1221+$B$4)*EXP(10*$K$22)</f>
        <v>0.56945717510125649</v>
      </c>
      <c r="L1125" s="87"/>
      <c r="M1125" s="87"/>
      <c r="N1125" s="87"/>
      <c r="O1125" s="87"/>
      <c r="P1125" s="87"/>
      <c r="Q1125" s="87"/>
      <c r="R1125" s="87"/>
      <c r="S1125" s="87"/>
      <c r="T1125" s="87"/>
      <c r="U1125" s="88">
        <f t="shared" ref="U1125:U1188" si="44">MIN($B$8,((100+$B$7)/(1+K1125+$D$8/10000)))+$B$7</f>
        <v>77.637328399167671</v>
      </c>
    </row>
    <row r="1126" spans="1:21" x14ac:dyDescent="0.35">
      <c r="A1126" s="30"/>
      <c r="B1126" s="4"/>
      <c r="C1126" s="4"/>
      <c r="D1126" s="4"/>
      <c r="E1126" s="38"/>
      <c r="F1126" s="38"/>
      <c r="G1126" s="38"/>
      <c r="K1126" s="8">
        <f>J1221*EXP(10*K$22)</f>
        <v>0.56698240579876935</v>
      </c>
      <c r="L1126" s="87"/>
      <c r="M1126" s="87"/>
      <c r="N1126" s="87"/>
      <c r="O1126" s="87"/>
      <c r="P1126" s="87"/>
      <c r="Q1126" s="87"/>
      <c r="R1126" s="87"/>
      <c r="S1126" s="87"/>
      <c r="T1126" s="87"/>
      <c r="U1126" s="88">
        <f t="shared" si="44"/>
        <v>77.766586893950446</v>
      </c>
    </row>
    <row r="1127" spans="1:21" x14ac:dyDescent="0.35">
      <c r="A1127" s="30"/>
      <c r="B1127" s="4"/>
      <c r="C1127" s="4"/>
      <c r="D1127" s="38"/>
      <c r="E1127" s="38"/>
      <c r="F1127" s="38"/>
      <c r="G1127" s="38"/>
      <c r="H1127" s="17"/>
      <c r="J1127" s="38"/>
      <c r="K1127" s="9">
        <f>(J1222+$B$4)*EXP(10*$K$22)</f>
        <v>0.56633931413001271</v>
      </c>
      <c r="L1127" s="87"/>
      <c r="M1127" s="87"/>
      <c r="N1127" s="87"/>
      <c r="O1127" s="87"/>
      <c r="P1127" s="87"/>
      <c r="Q1127" s="87"/>
      <c r="R1127" s="87"/>
      <c r="S1127" s="87"/>
      <c r="T1127" s="87"/>
      <c r="U1127" s="88">
        <f t="shared" si="44"/>
        <v>77.800250223441978</v>
      </c>
    </row>
    <row r="1128" spans="1:21" x14ac:dyDescent="0.35">
      <c r="A1128" s="30"/>
      <c r="B1128" s="4"/>
      <c r="C1128" s="4"/>
      <c r="D1128" s="4"/>
      <c r="E1128" s="4"/>
      <c r="F1128" s="4"/>
      <c r="G1128" s="4"/>
      <c r="H1128" s="19"/>
      <c r="I1128" s="16"/>
      <c r="J1128" s="4"/>
      <c r="K1128" s="8">
        <f>J1222*EXP(10*K$22)</f>
        <v>0.56386454482752546</v>
      </c>
      <c r="L1128" s="87"/>
      <c r="M1128" s="87"/>
      <c r="N1128" s="87"/>
      <c r="O1128" s="87"/>
      <c r="P1128" s="87"/>
      <c r="Q1128" s="87"/>
      <c r="R1128" s="87"/>
      <c r="S1128" s="87"/>
      <c r="T1128" s="87"/>
      <c r="U1128" s="88">
        <f t="shared" si="44"/>
        <v>77.930081821336842</v>
      </c>
    </row>
    <row r="1129" spans="1:21" x14ac:dyDescent="0.35">
      <c r="A1129" s="30"/>
      <c r="B1129" s="4"/>
      <c r="C1129" s="4"/>
      <c r="D1129" s="4"/>
      <c r="E1129" s="4"/>
      <c r="F1129" s="4"/>
      <c r="G1129" s="4"/>
      <c r="H1129" s="17"/>
      <c r="K1129" s="9">
        <f>(J1223+$B$4)*EXP(10*$K$22)</f>
        <v>0.56556040831334753</v>
      </c>
      <c r="L1129" s="87"/>
      <c r="M1129" s="87"/>
      <c r="N1129" s="87"/>
      <c r="O1129" s="87"/>
      <c r="P1129" s="87"/>
      <c r="Q1129" s="87"/>
      <c r="R1129" s="87"/>
      <c r="S1129" s="87"/>
      <c r="T1129" s="87"/>
      <c r="U1129" s="88">
        <f t="shared" si="44"/>
        <v>77.841064056934272</v>
      </c>
    </row>
    <row r="1130" spans="1:21" x14ac:dyDescent="0.35">
      <c r="A1130" s="30"/>
      <c r="B1130" s="4"/>
      <c r="C1130" s="4"/>
      <c r="D1130" s="4"/>
      <c r="E1130" s="4"/>
      <c r="F1130" s="4"/>
      <c r="G1130" s="38"/>
      <c r="H1130" s="17"/>
      <c r="K1130" s="8">
        <f>J1223*EXP(10*K$22)</f>
        <v>0.56308563901086028</v>
      </c>
      <c r="L1130" s="87"/>
      <c r="M1130" s="87"/>
      <c r="N1130" s="87"/>
      <c r="O1130" s="87"/>
      <c r="P1130" s="87"/>
      <c r="Q1130" s="87"/>
      <c r="R1130" s="87"/>
      <c r="S1130" s="87"/>
      <c r="T1130" s="87"/>
      <c r="U1130" s="88">
        <f t="shared" si="44"/>
        <v>77.971039422814002</v>
      </c>
    </row>
    <row r="1131" spans="1:21" x14ac:dyDescent="0.35">
      <c r="A1131" s="30"/>
      <c r="B1131" s="4"/>
      <c r="C1131" s="4"/>
      <c r="D1131" s="4"/>
      <c r="E1131" s="4"/>
      <c r="F1131" s="4"/>
      <c r="G1131" s="4"/>
      <c r="H1131" s="17"/>
      <c r="K1131" s="9">
        <f>(J1224+$B$4)*EXP(10*$K$22)</f>
        <v>0.56244254734210364</v>
      </c>
      <c r="L1131" s="87"/>
      <c r="M1131" s="87"/>
      <c r="N1131" s="87"/>
      <c r="O1131" s="87"/>
      <c r="P1131" s="87"/>
      <c r="Q1131" s="87"/>
      <c r="R1131" s="87"/>
      <c r="S1131" s="87"/>
      <c r="T1131" s="87"/>
      <c r="U1131" s="88">
        <f t="shared" si="44"/>
        <v>78.00488965724908</v>
      </c>
    </row>
    <row r="1132" spans="1:21" x14ac:dyDescent="0.35">
      <c r="A1132" s="30"/>
      <c r="B1132" s="4"/>
      <c r="C1132" s="4"/>
      <c r="D1132" s="4"/>
      <c r="E1132" s="4"/>
      <c r="F1132" s="4"/>
      <c r="G1132" s="38"/>
      <c r="H1132" s="17"/>
      <c r="K1132" s="8">
        <f>J1224*EXP(10*K$22)</f>
        <v>0.55996777803961639</v>
      </c>
      <c r="L1132" s="87"/>
      <c r="M1132" s="87"/>
      <c r="N1132" s="87"/>
      <c r="O1132" s="87"/>
      <c r="P1132" s="87"/>
      <c r="Q1132" s="87"/>
      <c r="R1132" s="87"/>
      <c r="S1132" s="87"/>
      <c r="T1132" s="87"/>
      <c r="U1132" s="88">
        <f t="shared" si="44"/>
        <v>78.135442905831852</v>
      </c>
    </row>
    <row r="1133" spans="1:21" x14ac:dyDescent="0.35">
      <c r="A1133" s="30"/>
      <c r="B1133" s="4"/>
      <c r="C1133" s="4"/>
      <c r="D1133" s="4"/>
      <c r="E1133" s="4"/>
      <c r="F1133" s="4"/>
      <c r="G1133" s="4"/>
      <c r="H1133" s="17"/>
      <c r="K1133" s="9">
        <f>(J1225+$B$4)*EXP(10*$K$22)</f>
        <v>0.57416604141134109</v>
      </c>
      <c r="L1133" s="87"/>
      <c r="M1133" s="87"/>
      <c r="N1133" s="87"/>
      <c r="O1133" s="87"/>
      <c r="P1133" s="87"/>
      <c r="Q1133" s="87"/>
      <c r="R1133" s="87"/>
      <c r="S1133" s="87"/>
      <c r="T1133" s="87"/>
      <c r="U1133" s="88">
        <f t="shared" si="44"/>
        <v>77.392628670487426</v>
      </c>
    </row>
    <row r="1134" spans="1:21" x14ac:dyDescent="0.35">
      <c r="A1134" s="30"/>
      <c r="B1134" s="4"/>
      <c r="C1134" s="4"/>
      <c r="D1134" s="4"/>
      <c r="E1134" s="4"/>
      <c r="F1134" s="4"/>
      <c r="G1134" s="38"/>
      <c r="H1134" s="17"/>
      <c r="K1134" s="8">
        <f>J1225*EXP(10*K$22)</f>
        <v>0.57169127210885384</v>
      </c>
      <c r="L1134" s="87"/>
      <c r="M1134" s="87"/>
      <c r="N1134" s="87"/>
      <c r="O1134" s="87"/>
      <c r="P1134" s="87"/>
      <c r="Q1134" s="87"/>
      <c r="R1134" s="87"/>
      <c r="S1134" s="87"/>
      <c r="T1134" s="87"/>
      <c r="U1134" s="88">
        <f t="shared" si="44"/>
        <v>77.521028781563416</v>
      </c>
    </row>
    <row r="1135" spans="1:21" x14ac:dyDescent="0.35">
      <c r="A1135" s="30"/>
      <c r="B1135" s="4"/>
      <c r="C1135" s="4"/>
      <c r="D1135" s="4"/>
      <c r="E1135" s="4"/>
      <c r="F1135" s="4"/>
      <c r="G1135" s="4"/>
      <c r="H1135" s="17"/>
      <c r="K1135" s="9">
        <f>(J1226+$B$4)*EXP(10*$K$22)</f>
        <v>0.5710481804400972</v>
      </c>
      <c r="L1135" s="87"/>
      <c r="M1135" s="87"/>
      <c r="N1135" s="87"/>
      <c r="O1135" s="87"/>
      <c r="P1135" s="87"/>
      <c r="Q1135" s="87"/>
      <c r="R1135" s="87"/>
      <c r="S1135" s="87"/>
      <c r="T1135" s="87"/>
      <c r="U1135" s="88">
        <f t="shared" si="44"/>
        <v>77.554468312748398</v>
      </c>
    </row>
    <row r="1136" spans="1:21" x14ac:dyDescent="0.35">
      <c r="A1136" s="30"/>
      <c r="B1136" s="4"/>
      <c r="C1136" s="4"/>
      <c r="D1136" s="4"/>
      <c r="E1136" s="4"/>
      <c r="F1136" s="4"/>
      <c r="G1136" s="38"/>
      <c r="H1136" s="15"/>
      <c r="I1136" s="16"/>
      <c r="J1136" s="16"/>
      <c r="K1136" s="8">
        <f>J1226*EXP(10*K$22)</f>
        <v>0.56857341113761006</v>
      </c>
      <c r="L1136" s="87"/>
      <c r="M1136" s="87"/>
      <c r="N1136" s="87"/>
      <c r="O1136" s="87"/>
      <c r="P1136" s="87"/>
      <c r="Q1136" s="87"/>
      <c r="R1136" s="87"/>
      <c r="S1136" s="87"/>
      <c r="T1136" s="87"/>
      <c r="U1136" s="88">
        <f t="shared" si="44"/>
        <v>77.683435821331997</v>
      </c>
    </row>
    <row r="1137" spans="1:21" x14ac:dyDescent="0.35">
      <c r="A1137" s="30"/>
      <c r="B1137" s="4"/>
      <c r="C1137" s="4"/>
      <c r="D1137" s="4"/>
      <c r="E1137" s="4"/>
      <c r="F1137" s="4"/>
      <c r="G1137" s="4"/>
      <c r="I1137" s="16"/>
      <c r="J1137" s="16"/>
      <c r="K1137" s="9">
        <f>(J1227+$B$4)*EXP(10*$K$22)</f>
        <v>0.57026927462343202</v>
      </c>
      <c r="L1137" s="87"/>
      <c r="M1137" s="87"/>
      <c r="N1137" s="87"/>
      <c r="O1137" s="87"/>
      <c r="P1137" s="87"/>
      <c r="Q1137" s="87"/>
      <c r="R1137" s="87"/>
      <c r="S1137" s="87"/>
      <c r="T1137" s="87"/>
      <c r="U1137" s="88">
        <f t="shared" si="44"/>
        <v>77.595010674169757</v>
      </c>
    </row>
    <row r="1138" spans="1:21" x14ac:dyDescent="0.35">
      <c r="A1138" s="30"/>
      <c r="B1138" s="4"/>
      <c r="C1138" s="4"/>
      <c r="D1138" s="4"/>
      <c r="E1138" s="4"/>
      <c r="F1138" s="38"/>
      <c r="G1138" s="38"/>
      <c r="J1138" s="16"/>
      <c r="K1138" s="8">
        <f>J1227*EXP(10*K$22)</f>
        <v>0.56779450532094489</v>
      </c>
      <c r="L1138" s="87"/>
      <c r="M1138" s="87"/>
      <c r="N1138" s="87"/>
      <c r="O1138" s="87"/>
      <c r="P1138" s="87"/>
      <c r="Q1138" s="87"/>
      <c r="R1138" s="87"/>
      <c r="S1138" s="87"/>
      <c r="T1138" s="87"/>
      <c r="U1138" s="88">
        <f t="shared" si="44"/>
        <v>77.724120517471036</v>
      </c>
    </row>
    <row r="1139" spans="1:21" x14ac:dyDescent="0.35">
      <c r="A1139" s="30"/>
      <c r="B1139" s="4"/>
      <c r="C1139" s="4"/>
      <c r="D1139" s="4"/>
      <c r="E1139" s="4"/>
      <c r="F1139" s="4"/>
      <c r="G1139" s="4"/>
      <c r="K1139" s="9">
        <f>(J1228+$B$4)*EXP(10*$K$22)</f>
        <v>0.56715141365218824</v>
      </c>
      <c r="L1139" s="87"/>
      <c r="M1139" s="87"/>
      <c r="N1139" s="87"/>
      <c r="O1139" s="87"/>
      <c r="P1139" s="87"/>
      <c r="Q1139" s="87"/>
      <c r="R1139" s="87"/>
      <c r="S1139" s="87"/>
      <c r="T1139" s="87"/>
      <c r="U1139" s="88">
        <f t="shared" si="44"/>
        <v>77.757745090284004</v>
      </c>
    </row>
    <row r="1140" spans="1:21" x14ac:dyDescent="0.35">
      <c r="A1140" s="30"/>
      <c r="B1140" s="4"/>
      <c r="C1140" s="4"/>
      <c r="D1140" s="4"/>
      <c r="E1140" s="4"/>
      <c r="F1140" s="38"/>
      <c r="G1140" s="38"/>
      <c r="K1140" s="8">
        <f>J1228*EXP(10*K$22)</f>
        <v>0.564676644349701</v>
      </c>
      <c r="L1140" s="87"/>
      <c r="M1140" s="87"/>
      <c r="N1140" s="87"/>
      <c r="O1140" s="87"/>
      <c r="P1140" s="87"/>
      <c r="Q1140" s="87"/>
      <c r="R1140" s="87"/>
      <c r="S1140" s="87"/>
      <c r="T1140" s="87"/>
      <c r="U1140" s="88">
        <f t="shared" si="44"/>
        <v>77.887427047257049</v>
      </c>
    </row>
    <row r="1141" spans="1:21" x14ac:dyDescent="0.35">
      <c r="A1141" s="30"/>
      <c r="B1141" s="4"/>
      <c r="C1141" s="4"/>
      <c r="D1141" s="4"/>
      <c r="E1141" s="4"/>
      <c r="F1141" s="4"/>
      <c r="G1141" s="4"/>
      <c r="K1141" s="9">
        <f>(J1229+$B$4)*EXP(10*$K$22)</f>
        <v>0.57538375428588551</v>
      </c>
      <c r="L1141" s="87"/>
      <c r="M1141" s="87"/>
      <c r="N1141" s="87"/>
      <c r="O1141" s="87"/>
      <c r="P1141" s="87"/>
      <c r="Q1141" s="87"/>
      <c r="R1141" s="87"/>
      <c r="S1141" s="87"/>
      <c r="T1141" s="87"/>
      <c r="U1141" s="88">
        <f t="shared" si="44"/>
        <v>77.329613749103558</v>
      </c>
    </row>
    <row r="1142" spans="1:21" x14ac:dyDescent="0.35">
      <c r="A1142" s="30"/>
      <c r="B1142" s="4"/>
      <c r="C1142" s="4"/>
      <c r="D1142" s="4"/>
      <c r="E1142" s="38"/>
      <c r="F1142" s="38"/>
      <c r="G1142" s="38"/>
      <c r="K1142" s="8">
        <f>J1229*EXP(10*K$22)</f>
        <v>0.57290898498339826</v>
      </c>
      <c r="L1142" s="87"/>
      <c r="M1142" s="87"/>
      <c r="N1142" s="87"/>
      <c r="O1142" s="87"/>
      <c r="P1142" s="87"/>
      <c r="Q1142" s="87"/>
      <c r="R1142" s="87"/>
      <c r="S1142" s="87"/>
      <c r="T1142" s="87"/>
      <c r="U1142" s="88">
        <f t="shared" si="44"/>
        <v>77.457793273587484</v>
      </c>
    </row>
    <row r="1143" spans="1:21" x14ac:dyDescent="0.35">
      <c r="A1143" s="30"/>
      <c r="B1143" s="4"/>
      <c r="C1143" s="4"/>
      <c r="D1143" s="38"/>
      <c r="E1143" s="38"/>
      <c r="F1143" s="38"/>
      <c r="G1143" s="38"/>
      <c r="H1143" s="17"/>
      <c r="J1143" s="38"/>
      <c r="K1143" s="9">
        <f>(J1230+$B$4)*EXP(10*$K$22)</f>
        <v>0.57226589331464162</v>
      </c>
      <c r="L1143" s="87"/>
      <c r="M1143" s="87"/>
      <c r="N1143" s="87"/>
      <c r="O1143" s="87"/>
      <c r="P1143" s="87"/>
      <c r="Q1143" s="87"/>
      <c r="R1143" s="87"/>
      <c r="S1143" s="87"/>
      <c r="T1143" s="87"/>
      <c r="U1143" s="88">
        <f t="shared" si="44"/>
        <v>77.491175293704899</v>
      </c>
    </row>
    <row r="1144" spans="1:21" x14ac:dyDescent="0.35">
      <c r="A1144" s="30"/>
      <c r="B1144" s="4"/>
      <c r="C1144" s="4"/>
      <c r="D1144" s="4"/>
      <c r="E1144" s="4"/>
      <c r="F1144" s="4"/>
      <c r="G1144" s="4"/>
      <c r="H1144" s="19"/>
      <c r="I1144" s="16"/>
      <c r="J1144" s="4"/>
      <c r="K1144" s="8">
        <f>J1230*EXP(10*K$22)</f>
        <v>0.56979112401215448</v>
      </c>
      <c r="L1144" s="87"/>
      <c r="M1144" s="87"/>
      <c r="N1144" s="87"/>
      <c r="O1144" s="87"/>
      <c r="P1144" s="87"/>
      <c r="Q1144" s="87"/>
      <c r="R1144" s="87"/>
      <c r="S1144" s="87"/>
      <c r="T1144" s="87"/>
      <c r="U1144" s="88">
        <f t="shared" si="44"/>
        <v>77.619920752562024</v>
      </c>
    </row>
    <row r="1145" spans="1:21" x14ac:dyDescent="0.35">
      <c r="A1145" s="30"/>
      <c r="B1145" s="4"/>
      <c r="C1145" s="4"/>
      <c r="D1145" s="4"/>
      <c r="E1145" s="4"/>
      <c r="F1145" s="4"/>
      <c r="G1145" s="4"/>
      <c r="H1145" s="17"/>
      <c r="K1145" s="9">
        <f>(J1231+$B$4)*EXP(10*$K$22)</f>
        <v>0.57148698749797644</v>
      </c>
      <c r="L1145" s="87"/>
      <c r="M1145" s="87"/>
      <c r="N1145" s="87"/>
      <c r="O1145" s="87"/>
      <c r="P1145" s="87"/>
      <c r="Q1145" s="87"/>
      <c r="R1145" s="87"/>
      <c r="S1145" s="87"/>
      <c r="T1145" s="87"/>
      <c r="U1145" s="88">
        <f t="shared" si="44"/>
        <v>77.531647893208287</v>
      </c>
    </row>
    <row r="1146" spans="1:21" x14ac:dyDescent="0.35">
      <c r="A1146" s="30"/>
      <c r="B1146" s="4"/>
      <c r="C1146" s="4"/>
      <c r="D1146" s="4"/>
      <c r="E1146" s="4"/>
      <c r="F1146" s="4"/>
      <c r="G1146" s="38"/>
      <c r="H1146" s="17"/>
      <c r="K1146" s="8">
        <f>J1231*EXP(10*K$22)</f>
        <v>0.56901221819548931</v>
      </c>
      <c r="L1146" s="87"/>
      <c r="M1146" s="87"/>
      <c r="N1146" s="87"/>
      <c r="O1146" s="87"/>
      <c r="P1146" s="87"/>
      <c r="Q1146" s="87"/>
      <c r="R1146" s="87"/>
      <c r="S1146" s="87"/>
      <c r="T1146" s="87"/>
      <c r="U1146" s="88">
        <f t="shared" si="44"/>
        <v>77.66053531924301</v>
      </c>
    </row>
    <row r="1147" spans="1:21" x14ac:dyDescent="0.35">
      <c r="A1147" s="30"/>
      <c r="B1147" s="4"/>
      <c r="C1147" s="4"/>
      <c r="D1147" s="4"/>
      <c r="E1147" s="4"/>
      <c r="F1147" s="4"/>
      <c r="G1147" s="4"/>
      <c r="H1147" s="17"/>
      <c r="K1147" s="9">
        <f>(J1232+$B$4)*EXP(10*$K$22)</f>
        <v>0.56836912652673266</v>
      </c>
      <c r="L1147" s="87"/>
      <c r="M1147" s="87"/>
      <c r="N1147" s="87"/>
      <c r="O1147" s="87"/>
      <c r="P1147" s="87"/>
      <c r="Q1147" s="87"/>
      <c r="R1147" s="87"/>
      <c r="S1147" s="87"/>
      <c r="T1147" s="87"/>
      <c r="U1147" s="88">
        <f t="shared" si="44"/>
        <v>77.694101903168814</v>
      </c>
    </row>
    <row r="1148" spans="1:21" x14ac:dyDescent="0.35">
      <c r="A1148" s="30"/>
      <c r="B1148" s="4"/>
      <c r="C1148" s="4"/>
      <c r="D1148" s="4"/>
      <c r="E1148" s="4"/>
      <c r="F1148" s="4"/>
      <c r="G1148" s="38"/>
      <c r="H1148" s="17"/>
      <c r="K1148" s="8">
        <f>J1232*EXP(10*K$22)</f>
        <v>0.56589435722424541</v>
      </c>
      <c r="L1148" s="87"/>
      <c r="M1148" s="87"/>
      <c r="N1148" s="87"/>
      <c r="O1148" s="87"/>
      <c r="P1148" s="87"/>
      <c r="Q1148" s="87"/>
      <c r="R1148" s="87"/>
      <c r="S1148" s="87"/>
      <c r="T1148" s="87"/>
      <c r="U1148" s="88">
        <f t="shared" si="44"/>
        <v>77.823559963510206</v>
      </c>
    </row>
    <row r="1149" spans="1:21" x14ac:dyDescent="0.35">
      <c r="A1149" s="30"/>
      <c r="B1149" s="4"/>
      <c r="C1149" s="4"/>
      <c r="D1149" s="4"/>
      <c r="E1149" s="4"/>
      <c r="F1149" s="4"/>
      <c r="G1149" s="4"/>
      <c r="H1149" s="17"/>
      <c r="K1149" s="9">
        <f>(J1233+$B$4)*EXP(10*$K$22)</f>
        <v>0.58009262059597011</v>
      </c>
      <c r="L1149" s="87"/>
      <c r="M1149" s="87"/>
      <c r="N1149" s="87"/>
      <c r="O1149" s="87"/>
      <c r="P1149" s="87"/>
      <c r="Q1149" s="87"/>
      <c r="R1149" s="87"/>
      <c r="S1149" s="87"/>
      <c r="T1149" s="87"/>
      <c r="U1149" s="88">
        <f t="shared" si="44"/>
        <v>77.086951473428272</v>
      </c>
    </row>
    <row r="1150" spans="1:21" x14ac:dyDescent="0.35">
      <c r="A1150" s="30"/>
      <c r="B1150" s="4"/>
      <c r="C1150" s="4"/>
      <c r="D1150" s="4"/>
      <c r="E1150" s="4"/>
      <c r="F1150" s="4"/>
      <c r="G1150" s="38"/>
      <c r="H1150" s="17"/>
      <c r="K1150" s="8">
        <f>J1233*EXP(10*K$22)</f>
        <v>0.57761785129348298</v>
      </c>
      <c r="L1150" s="87"/>
      <c r="M1150" s="87"/>
      <c r="N1150" s="87"/>
      <c r="O1150" s="87"/>
      <c r="P1150" s="87"/>
      <c r="Q1150" s="87"/>
      <c r="R1150" s="87"/>
      <c r="S1150" s="87"/>
      <c r="T1150" s="87"/>
      <c r="U1150" s="88">
        <f t="shared" si="44"/>
        <v>77.214283321957723</v>
      </c>
    </row>
    <row r="1151" spans="1:21" x14ac:dyDescent="0.35">
      <c r="A1151" s="30"/>
      <c r="B1151" s="4"/>
      <c r="C1151" s="4"/>
      <c r="D1151" s="4"/>
      <c r="E1151" s="4"/>
      <c r="F1151" s="4"/>
      <c r="G1151" s="4"/>
      <c r="H1151" s="17"/>
      <c r="K1151" s="9">
        <f>(J1234+$B$4)*EXP(10*$K$22)</f>
        <v>0.57697475962472633</v>
      </c>
      <c r="L1151" s="87"/>
      <c r="M1151" s="87"/>
      <c r="N1151" s="87"/>
      <c r="O1151" s="87"/>
      <c r="P1151" s="87"/>
      <c r="Q1151" s="87"/>
      <c r="R1151" s="87"/>
      <c r="S1151" s="87"/>
      <c r="T1151" s="87"/>
      <c r="U1151" s="88">
        <f t="shared" si="44"/>
        <v>77.247444338554189</v>
      </c>
    </row>
    <row r="1152" spans="1:21" x14ac:dyDescent="0.35">
      <c r="A1152" s="30"/>
      <c r="B1152" s="4"/>
      <c r="C1152" s="4"/>
      <c r="D1152" s="4"/>
      <c r="E1152" s="4"/>
      <c r="F1152" s="4"/>
      <c r="G1152" s="38"/>
      <c r="H1152" s="15"/>
      <c r="I1152" s="16"/>
      <c r="J1152" s="16"/>
      <c r="K1152" s="8">
        <f>J1234*EXP(10*K$22)</f>
        <v>0.57449999032223908</v>
      </c>
      <c r="L1152" s="87"/>
      <c r="M1152" s="87"/>
      <c r="N1152" s="87"/>
      <c r="O1152" s="87"/>
      <c r="P1152" s="87"/>
      <c r="Q1152" s="87"/>
      <c r="R1152" s="87"/>
      <c r="S1152" s="87"/>
      <c r="T1152" s="87"/>
      <c r="U1152" s="88">
        <f t="shared" si="44"/>
        <v>77.375336510656325</v>
      </c>
    </row>
    <row r="1153" spans="1:21" x14ac:dyDescent="0.35">
      <c r="A1153" s="30"/>
      <c r="B1153" s="4"/>
      <c r="C1153" s="4"/>
      <c r="D1153" s="4"/>
      <c r="E1153" s="4"/>
      <c r="F1153" s="4"/>
      <c r="G1153" s="4"/>
      <c r="I1153" s="16"/>
      <c r="J1153" s="16"/>
      <c r="K1153" s="9">
        <f>(J1235+$B$4)*EXP(10*$K$22)</f>
        <v>0.57619585380806115</v>
      </c>
      <c r="L1153" s="87"/>
      <c r="M1153" s="87"/>
      <c r="N1153" s="87"/>
      <c r="O1153" s="87"/>
      <c r="P1153" s="87"/>
      <c r="Q1153" s="87"/>
      <c r="R1153" s="87"/>
      <c r="S1153" s="87"/>
      <c r="T1153" s="87"/>
      <c r="U1153" s="88">
        <f t="shared" si="44"/>
        <v>77.28764885781456</v>
      </c>
    </row>
    <row r="1154" spans="1:21" x14ac:dyDescent="0.35">
      <c r="A1154" s="30"/>
      <c r="B1154" s="4"/>
      <c r="C1154" s="4"/>
      <c r="D1154" s="4"/>
      <c r="E1154" s="4"/>
      <c r="F1154" s="38"/>
      <c r="G1154" s="38"/>
      <c r="J1154" s="16"/>
      <c r="K1154" s="8">
        <f>J1235*EXP(10*K$22)</f>
        <v>0.57372108450557391</v>
      </c>
      <c r="L1154" s="87"/>
      <c r="M1154" s="87"/>
      <c r="N1154" s="87"/>
      <c r="O1154" s="87"/>
      <c r="P1154" s="87"/>
      <c r="Q1154" s="87"/>
      <c r="R1154" s="87"/>
      <c r="S1154" s="87"/>
      <c r="T1154" s="87"/>
      <c r="U1154" s="88">
        <f t="shared" si="44"/>
        <v>77.415681587674698</v>
      </c>
    </row>
    <row r="1155" spans="1:21" x14ac:dyDescent="0.35">
      <c r="A1155" s="30"/>
      <c r="B1155" s="4"/>
      <c r="C1155" s="4"/>
      <c r="D1155" s="4"/>
      <c r="E1155" s="4"/>
      <c r="F1155" s="4"/>
      <c r="G1155" s="4"/>
      <c r="K1155" s="9">
        <f>(J1236+$B$4)*EXP(10*$K$22)</f>
        <v>0.57307799283681726</v>
      </c>
      <c r="L1155" s="87"/>
      <c r="M1155" s="87"/>
      <c r="N1155" s="87"/>
      <c r="O1155" s="87"/>
      <c r="P1155" s="87"/>
      <c r="Q1155" s="87"/>
      <c r="R1155" s="87"/>
      <c r="S1155" s="87"/>
      <c r="T1155" s="87"/>
      <c r="U1155" s="88">
        <f t="shared" si="44"/>
        <v>77.449025335767132</v>
      </c>
    </row>
    <row r="1156" spans="1:21" x14ac:dyDescent="0.35">
      <c r="A1156" s="30"/>
      <c r="B1156" s="4"/>
      <c r="C1156" s="4"/>
      <c r="D1156" s="4"/>
      <c r="E1156" s="4"/>
      <c r="F1156" s="38"/>
      <c r="G1156" s="38"/>
      <c r="K1156" s="8">
        <f>J1236*EXP(10*K$22)</f>
        <v>0.57060322353433002</v>
      </c>
      <c r="L1156" s="87"/>
      <c r="M1156" s="87"/>
      <c r="N1156" s="87"/>
      <c r="O1156" s="87"/>
      <c r="P1156" s="87"/>
      <c r="Q1156" s="87"/>
      <c r="R1156" s="87"/>
      <c r="S1156" s="87"/>
      <c r="T1156" s="87"/>
      <c r="U1156" s="88">
        <f t="shared" si="44"/>
        <v>77.577623027023037</v>
      </c>
    </row>
    <row r="1157" spans="1:21" x14ac:dyDescent="0.35">
      <c r="A1157" s="30"/>
      <c r="B1157" s="4"/>
      <c r="C1157" s="4"/>
      <c r="D1157" s="4"/>
      <c r="E1157" s="4"/>
      <c r="F1157" s="4"/>
      <c r="G1157" s="4"/>
      <c r="K1157" s="9">
        <f>(J1237+$B$4)*EXP(10*$K$22)</f>
        <v>0.57671766409123415</v>
      </c>
      <c r="L1157" s="87"/>
      <c r="M1157" s="87"/>
      <c r="N1157" s="87"/>
      <c r="O1157" s="87"/>
      <c r="P1157" s="87"/>
      <c r="Q1157" s="87"/>
      <c r="R1157" s="87"/>
      <c r="S1157" s="87"/>
      <c r="T1157" s="87"/>
      <c r="U1157" s="88">
        <f t="shared" si="44"/>
        <v>77.260709874213248</v>
      </c>
    </row>
    <row r="1158" spans="1:21" x14ac:dyDescent="0.35">
      <c r="A1158" s="30"/>
      <c r="B1158" s="4"/>
      <c r="C1158" s="4"/>
      <c r="D1158" s="4"/>
      <c r="E1158" s="38"/>
      <c r="F1158" s="38"/>
      <c r="G1158" s="38"/>
      <c r="K1158" s="8">
        <f>J1237*EXP(10*K$22)</f>
        <v>0.57424289478874702</v>
      </c>
      <c r="L1158" s="87"/>
      <c r="M1158" s="87"/>
      <c r="N1158" s="87"/>
      <c r="O1158" s="87"/>
      <c r="P1158" s="87"/>
      <c r="Q1158" s="87"/>
      <c r="R1158" s="87"/>
      <c r="S1158" s="87"/>
      <c r="T1158" s="87"/>
      <c r="U1158" s="88">
        <f t="shared" si="44"/>
        <v>77.388648414989945</v>
      </c>
    </row>
    <row r="1159" spans="1:21" x14ac:dyDescent="0.35">
      <c r="A1159" s="30"/>
      <c r="B1159" s="4"/>
      <c r="C1159" s="4"/>
      <c r="D1159" s="38"/>
      <c r="E1159" s="38"/>
      <c r="F1159" s="38"/>
      <c r="G1159" s="38"/>
      <c r="H1159" s="17"/>
      <c r="J1159" s="38"/>
      <c r="K1159" s="9">
        <f>(J1238+$B$4)*EXP(10*$K$22)</f>
        <v>0.57359980311999037</v>
      </c>
      <c r="L1159" s="87"/>
      <c r="M1159" s="87"/>
      <c r="N1159" s="87"/>
      <c r="O1159" s="87"/>
      <c r="P1159" s="87"/>
      <c r="Q1159" s="87"/>
      <c r="R1159" s="87"/>
      <c r="S1159" s="87"/>
      <c r="T1159" s="87"/>
      <c r="U1159" s="88">
        <f t="shared" si="44"/>
        <v>77.421967606315491</v>
      </c>
    </row>
    <row r="1160" spans="1:21" x14ac:dyDescent="0.35">
      <c r="A1160" s="30"/>
      <c r="B1160" s="4"/>
      <c r="C1160" s="4"/>
      <c r="D1160" s="4"/>
      <c r="E1160" s="4"/>
      <c r="F1160" s="4"/>
      <c r="G1160" s="4"/>
      <c r="H1160" s="19"/>
      <c r="I1160" s="16"/>
      <c r="J1160" s="4"/>
      <c r="K1160" s="8">
        <f>J1238*EXP(10*K$22)</f>
        <v>0.57112503381750312</v>
      </c>
      <c r="L1160" s="87"/>
      <c r="M1160" s="87"/>
      <c r="N1160" s="87"/>
      <c r="O1160" s="87"/>
      <c r="P1160" s="87"/>
      <c r="Q1160" s="87"/>
      <c r="R1160" s="87"/>
      <c r="S1160" s="87"/>
      <c r="T1160" s="87"/>
      <c r="U1160" s="88">
        <f t="shared" si="44"/>
        <v>77.550470484483142</v>
      </c>
    </row>
    <row r="1161" spans="1:21" x14ac:dyDescent="0.35">
      <c r="A1161" s="30"/>
      <c r="B1161" s="4"/>
      <c r="C1161" s="4"/>
      <c r="D1161" s="4"/>
      <c r="E1161" s="4"/>
      <c r="F1161" s="4"/>
      <c r="G1161" s="4"/>
      <c r="H1161" s="17"/>
      <c r="K1161" s="9">
        <f>(J1239+$B$4)*EXP(10*$K$22)</f>
        <v>0.57282089730332519</v>
      </c>
      <c r="L1161" s="87"/>
      <c r="M1161" s="87"/>
      <c r="N1161" s="87"/>
      <c r="O1161" s="87"/>
      <c r="P1161" s="87"/>
      <c r="Q1161" s="87"/>
      <c r="R1161" s="87"/>
      <c r="S1161" s="87"/>
      <c r="T1161" s="87"/>
      <c r="U1161" s="88">
        <f t="shared" si="44"/>
        <v>77.462363993513065</v>
      </c>
    </row>
    <row r="1162" spans="1:21" x14ac:dyDescent="0.35">
      <c r="A1162" s="30"/>
      <c r="B1162" s="4"/>
      <c r="C1162" s="4"/>
      <c r="D1162" s="4"/>
      <c r="E1162" s="4"/>
      <c r="F1162" s="4"/>
      <c r="G1162" s="38"/>
      <c r="H1162" s="17"/>
      <c r="K1162" s="8">
        <f>J1239*EXP(10*K$22)</f>
        <v>0.57034612800083795</v>
      </c>
      <c r="L1162" s="87"/>
      <c r="M1162" s="87"/>
      <c r="N1162" s="87"/>
      <c r="O1162" s="87"/>
      <c r="P1162" s="87"/>
      <c r="Q1162" s="87"/>
      <c r="R1162" s="87"/>
      <c r="S1162" s="87"/>
      <c r="T1162" s="87"/>
      <c r="U1162" s="88">
        <f t="shared" si="44"/>
        <v>77.591008437697596</v>
      </c>
    </row>
    <row r="1163" spans="1:21" x14ac:dyDescent="0.35">
      <c r="A1163" s="30"/>
      <c r="B1163" s="4"/>
      <c r="C1163" s="4"/>
      <c r="D1163" s="4"/>
      <c r="E1163" s="4"/>
      <c r="F1163" s="4"/>
      <c r="G1163" s="4"/>
      <c r="H1163" s="17"/>
      <c r="K1163" s="9">
        <f>(J1240+$B$4)*EXP(10*$K$22)</f>
        <v>0.5697030363320813</v>
      </c>
      <c r="L1163" s="87"/>
      <c r="M1163" s="87"/>
      <c r="N1163" s="87"/>
      <c r="O1163" s="87"/>
      <c r="P1163" s="87"/>
      <c r="Q1163" s="87"/>
      <c r="R1163" s="87"/>
      <c r="S1163" s="87"/>
      <c r="T1163" s="87"/>
      <c r="U1163" s="88">
        <f t="shared" si="44"/>
        <v>77.624511671303537</v>
      </c>
    </row>
    <row r="1164" spans="1:21" x14ac:dyDescent="0.35">
      <c r="A1164" s="30"/>
      <c r="B1164" s="4"/>
      <c r="C1164" s="4"/>
      <c r="D1164" s="4"/>
      <c r="E1164" s="4"/>
      <c r="F1164" s="4"/>
      <c r="G1164" s="38"/>
      <c r="H1164" s="17"/>
      <c r="K1164" s="8">
        <f>J1240*EXP(10*K$22)</f>
        <v>0.56722826702959417</v>
      </c>
      <c r="L1164" s="87"/>
      <c r="M1164" s="87"/>
      <c r="N1164" s="87"/>
      <c r="O1164" s="87"/>
      <c r="P1164" s="87"/>
      <c r="Q1164" s="87"/>
      <c r="R1164" s="87"/>
      <c r="S1164" s="87"/>
      <c r="T1164" s="87"/>
      <c r="U1164" s="88">
        <f t="shared" si="44"/>
        <v>77.7537251351131</v>
      </c>
    </row>
    <row r="1165" spans="1:21" x14ac:dyDescent="0.35">
      <c r="A1165" s="30"/>
      <c r="B1165" s="4"/>
      <c r="C1165" s="4"/>
      <c r="D1165" s="4"/>
      <c r="E1165" s="4"/>
      <c r="F1165" s="4"/>
      <c r="G1165" s="38"/>
      <c r="H1165" s="17"/>
      <c r="K1165" s="9">
        <f>(J1241+$B$4)*EXP(10*$K$22)</f>
        <v>0.58142653040131875</v>
      </c>
      <c r="L1165" s="87"/>
      <c r="M1165" s="87"/>
      <c r="N1165" s="87"/>
      <c r="O1165" s="87"/>
      <c r="P1165" s="87"/>
      <c r="Q1165" s="87"/>
      <c r="R1165" s="87"/>
      <c r="S1165" s="87"/>
      <c r="T1165" s="87"/>
      <c r="U1165" s="88">
        <f t="shared" si="44"/>
        <v>77.018502664396919</v>
      </c>
    </row>
    <row r="1166" spans="1:21" x14ac:dyDescent="0.35">
      <c r="A1166" s="30"/>
      <c r="B1166" s="4"/>
      <c r="C1166" s="4"/>
      <c r="D1166" s="4"/>
      <c r="E1166" s="4"/>
      <c r="F1166" s="4"/>
      <c r="G1166" s="38"/>
      <c r="H1166" s="17"/>
      <c r="K1166" s="8">
        <f>J1241*EXP(10*K$22)</f>
        <v>0.57895176109883162</v>
      </c>
      <c r="L1166" s="87"/>
      <c r="M1166" s="87"/>
      <c r="N1166" s="87"/>
      <c r="O1166" s="87"/>
      <c r="P1166" s="87"/>
      <c r="Q1166" s="87"/>
      <c r="R1166" s="87"/>
      <c r="S1166" s="87"/>
      <c r="T1166" s="87"/>
      <c r="U1166" s="88">
        <f t="shared" si="44"/>
        <v>77.145595914656212</v>
      </c>
    </row>
    <row r="1167" spans="1:21" x14ac:dyDescent="0.35">
      <c r="A1167" s="30"/>
      <c r="B1167" s="4"/>
      <c r="C1167" s="4"/>
      <c r="D1167" s="4"/>
      <c r="E1167" s="4"/>
      <c r="F1167" s="4"/>
      <c r="G1167" s="38"/>
      <c r="H1167" s="17"/>
      <c r="K1167" s="9">
        <f>(J1242+$B$4)*EXP(10*$K$22)</f>
        <v>0.57830866943007486</v>
      </c>
      <c r="L1167" s="87"/>
      <c r="M1167" s="87"/>
      <c r="N1167" s="87"/>
      <c r="O1167" s="87"/>
      <c r="P1167" s="87"/>
      <c r="Q1167" s="87"/>
      <c r="R1167" s="87"/>
      <c r="S1167" s="87"/>
      <c r="T1167" s="87"/>
      <c r="U1167" s="88">
        <f t="shared" si="44"/>
        <v>77.178694725066748</v>
      </c>
    </row>
    <row r="1168" spans="1:21" x14ac:dyDescent="0.35">
      <c r="A1168" s="30"/>
      <c r="B1168" s="4"/>
      <c r="C1168" s="4"/>
      <c r="D1168" s="4"/>
      <c r="E1168" s="4"/>
      <c r="F1168" s="4"/>
      <c r="G1168" s="38"/>
      <c r="H1168" s="17"/>
      <c r="K1168" s="8">
        <f>J1242*EXP(10*K$22)</f>
        <v>0.57583390012758773</v>
      </c>
      <c r="L1168" s="87"/>
      <c r="M1168" s="87"/>
      <c r="N1168" s="87"/>
      <c r="O1168" s="87"/>
      <c r="P1168" s="87"/>
      <c r="Q1168" s="87"/>
      <c r="R1168" s="87"/>
      <c r="S1168" s="87"/>
      <c r="T1168" s="87"/>
      <c r="U1168" s="88">
        <f t="shared" si="44"/>
        <v>77.306346722982155</v>
      </c>
    </row>
    <row r="1169" spans="1:21" x14ac:dyDescent="0.35">
      <c r="A1169" s="30"/>
      <c r="B1169" s="4"/>
      <c r="C1169" s="4"/>
      <c r="D1169" s="4"/>
      <c r="E1169" s="4"/>
      <c r="F1169" s="4"/>
      <c r="G1169" s="38"/>
      <c r="H1169" s="17"/>
      <c r="K1169" s="9">
        <f>(J1243+$B$4)*EXP(10*$K$22)</f>
        <v>0.5775297636134098</v>
      </c>
      <c r="L1169" s="87"/>
      <c r="M1169" s="87"/>
      <c r="N1169" s="87"/>
      <c r="O1169" s="87"/>
      <c r="P1169" s="87"/>
      <c r="Q1169" s="87"/>
      <c r="R1169" s="87"/>
      <c r="S1169" s="87"/>
      <c r="T1169" s="87"/>
      <c r="U1169" s="88">
        <f t="shared" si="44"/>
        <v>77.218823787628907</v>
      </c>
    </row>
    <row r="1170" spans="1:21" x14ac:dyDescent="0.35">
      <c r="A1170" s="30"/>
      <c r="B1170" s="4"/>
      <c r="C1170" s="4"/>
      <c r="D1170" s="4"/>
      <c r="E1170" s="4"/>
      <c r="F1170" s="4"/>
      <c r="G1170" s="38"/>
      <c r="H1170" s="17"/>
      <c r="K1170" s="8">
        <f>J1243*EXP(10*K$22)</f>
        <v>0.57505499431092255</v>
      </c>
      <c r="L1170" s="87"/>
      <c r="M1170" s="87"/>
      <c r="N1170" s="87"/>
      <c r="O1170" s="87"/>
      <c r="P1170" s="87"/>
      <c r="Q1170" s="87"/>
      <c r="R1170" s="87"/>
      <c r="S1170" s="87"/>
      <c r="T1170" s="87"/>
      <c r="U1170" s="88">
        <f t="shared" si="44"/>
        <v>77.346615947440498</v>
      </c>
    </row>
    <row r="1171" spans="1:21" x14ac:dyDescent="0.35">
      <c r="A1171" s="30"/>
      <c r="B1171" s="4"/>
      <c r="C1171" s="4"/>
      <c r="D1171" s="4"/>
      <c r="E1171" s="4"/>
      <c r="F1171" s="4"/>
      <c r="G1171" s="38"/>
      <c r="H1171" s="17"/>
      <c r="K1171" s="9">
        <f>(J1244+$B$4)*EXP(10*$K$22)</f>
        <v>0.57441190264216591</v>
      </c>
      <c r="L1171" s="87"/>
      <c r="M1171" s="87"/>
      <c r="N1171" s="87"/>
      <c r="O1171" s="87"/>
      <c r="P1171" s="87"/>
      <c r="Q1171" s="87"/>
      <c r="R1171" s="87"/>
      <c r="S1171" s="87"/>
      <c r="T1171" s="87"/>
      <c r="U1171" s="88">
        <f t="shared" si="44"/>
        <v>77.379896974707805</v>
      </c>
    </row>
    <row r="1172" spans="1:21" x14ac:dyDescent="0.35">
      <c r="A1172" s="30"/>
      <c r="B1172" s="4"/>
      <c r="C1172" s="4"/>
      <c r="D1172" s="4"/>
      <c r="E1172" s="4"/>
      <c r="F1172" s="4"/>
      <c r="G1172" s="38"/>
      <c r="H1172" s="17"/>
      <c r="K1172" s="8">
        <f>J1244*EXP(10*K$22)</f>
        <v>0.57193713333967866</v>
      </c>
      <c r="L1172" s="87"/>
      <c r="M1172" s="87"/>
      <c r="N1172" s="87"/>
      <c r="O1172" s="87"/>
      <c r="P1172" s="87"/>
      <c r="Q1172" s="87"/>
      <c r="R1172" s="87"/>
      <c r="S1172" s="87"/>
      <c r="T1172" s="87"/>
      <c r="U1172" s="88">
        <f t="shared" si="44"/>
        <v>77.508252502590977</v>
      </c>
    </row>
    <row r="1173" spans="1:21" x14ac:dyDescent="0.35">
      <c r="A1173" s="30"/>
      <c r="B1173" s="4"/>
      <c r="C1173" s="4"/>
      <c r="D1173" s="4"/>
      <c r="E1173" s="4"/>
      <c r="F1173" s="4"/>
      <c r="G1173" s="38"/>
      <c r="H1173" s="17"/>
      <c r="K1173" s="9">
        <f>(J1245+$B$4)*EXP(10*$K$22)</f>
        <v>0.58264424327586317</v>
      </c>
      <c r="L1173" s="87"/>
      <c r="M1173" s="87"/>
      <c r="N1173" s="87"/>
      <c r="O1173" s="87"/>
      <c r="P1173" s="87"/>
      <c r="Q1173" s="87"/>
      <c r="R1173" s="87"/>
      <c r="S1173" s="87"/>
      <c r="T1173" s="87"/>
      <c r="U1173" s="88">
        <f t="shared" si="44"/>
        <v>76.956128281823197</v>
      </c>
    </row>
    <row r="1174" spans="1:21" x14ac:dyDescent="0.35">
      <c r="A1174" s="30"/>
      <c r="B1174" s="4"/>
      <c r="C1174" s="4"/>
      <c r="D1174" s="4"/>
      <c r="E1174" s="4"/>
      <c r="F1174" s="4"/>
      <c r="G1174" s="38"/>
      <c r="H1174" s="17"/>
      <c r="K1174" s="8">
        <f>J1245*EXP(10*K$22)</f>
        <v>0.58016947397337593</v>
      </c>
      <c r="L1174" s="87"/>
      <c r="M1174" s="87"/>
      <c r="N1174" s="87"/>
      <c r="O1174" s="87"/>
      <c r="P1174" s="87"/>
      <c r="Q1174" s="87"/>
      <c r="R1174" s="87"/>
      <c r="S1174" s="87"/>
      <c r="T1174" s="87"/>
      <c r="U1174" s="88">
        <f t="shared" si="44"/>
        <v>77.083004303186158</v>
      </c>
    </row>
    <row r="1175" spans="1:21" x14ac:dyDescent="0.35">
      <c r="A1175" s="30"/>
      <c r="B1175" s="4"/>
      <c r="C1175" s="4"/>
      <c r="D1175" s="4"/>
      <c r="E1175" s="4"/>
      <c r="F1175" s="4"/>
      <c r="G1175" s="38"/>
      <c r="H1175" s="17"/>
      <c r="K1175" s="9">
        <f>(J1246+$B$4)*EXP(10*$K$22)</f>
        <v>0.57952638230461928</v>
      </c>
      <c r="L1175" s="87"/>
      <c r="M1175" s="87"/>
      <c r="N1175" s="87"/>
      <c r="O1175" s="87"/>
      <c r="P1175" s="87"/>
      <c r="Q1175" s="87"/>
      <c r="R1175" s="87"/>
      <c r="S1175" s="87"/>
      <c r="T1175" s="87"/>
      <c r="U1175" s="88">
        <f t="shared" si="44"/>
        <v>77.11604647889736</v>
      </c>
    </row>
    <row r="1176" spans="1:21" x14ac:dyDescent="0.35">
      <c r="A1176" s="30"/>
      <c r="B1176" s="4"/>
      <c r="C1176" s="4"/>
      <c r="D1176" s="4"/>
      <c r="E1176" s="4"/>
      <c r="F1176" s="4"/>
      <c r="G1176" s="38"/>
      <c r="H1176" s="17"/>
      <c r="K1176" s="8">
        <f>J1246*EXP(10*K$22)</f>
        <v>0.57705161300213215</v>
      </c>
      <c r="L1176" s="87"/>
      <c r="M1176" s="87"/>
      <c r="N1176" s="87"/>
      <c r="O1176" s="87"/>
      <c r="P1176" s="87"/>
      <c r="Q1176" s="87"/>
      <c r="R1176" s="87"/>
      <c r="S1176" s="87"/>
      <c r="T1176" s="87"/>
      <c r="U1176" s="88">
        <f t="shared" si="44"/>
        <v>77.24347981443384</v>
      </c>
    </row>
    <row r="1177" spans="1:21" x14ac:dyDescent="0.35">
      <c r="A1177" s="30"/>
      <c r="B1177" s="4"/>
      <c r="C1177" s="4"/>
      <c r="D1177" s="4"/>
      <c r="E1177" s="4"/>
      <c r="F1177" s="4"/>
      <c r="G1177" s="38"/>
      <c r="H1177" s="17"/>
      <c r="K1177" s="9">
        <f>(J1247+$B$4)*EXP(10*$K$22)</f>
        <v>0.5787474764879541</v>
      </c>
      <c r="L1177" s="87"/>
      <c r="M1177" s="87"/>
      <c r="N1177" s="87"/>
      <c r="O1177" s="87"/>
      <c r="P1177" s="87"/>
      <c r="Q1177" s="87"/>
      <c r="R1177" s="87"/>
      <c r="S1177" s="87"/>
      <c r="T1177" s="87"/>
      <c r="U1177" s="88">
        <f t="shared" si="44"/>
        <v>77.156106843120412</v>
      </c>
    </row>
    <row r="1178" spans="1:21" x14ac:dyDescent="0.35">
      <c r="A1178" s="30"/>
      <c r="B1178" s="4"/>
      <c r="C1178" s="4"/>
      <c r="D1178" s="4"/>
      <c r="E1178" s="4"/>
      <c r="F1178" s="4"/>
      <c r="G1178" s="38"/>
      <c r="H1178" s="17"/>
      <c r="K1178" s="8">
        <f>J1247*EXP(10*K$22)</f>
        <v>0.57627270718546697</v>
      </c>
      <c r="L1178" s="87"/>
      <c r="M1178" s="87"/>
      <c r="N1178" s="87"/>
      <c r="O1178" s="87"/>
      <c r="P1178" s="87"/>
      <c r="Q1178" s="87"/>
      <c r="R1178" s="87"/>
      <c r="S1178" s="87"/>
      <c r="T1178" s="87"/>
      <c r="U1178" s="88">
        <f t="shared" si="44"/>
        <v>77.283679980471689</v>
      </c>
    </row>
    <row r="1179" spans="1:21" x14ac:dyDescent="0.35">
      <c r="A1179" s="30"/>
      <c r="B1179" s="4"/>
      <c r="C1179" s="4"/>
      <c r="D1179" s="4"/>
      <c r="E1179" s="4"/>
      <c r="F1179" s="4"/>
      <c r="G1179" s="4"/>
      <c r="H1179" s="17"/>
      <c r="K1179" s="9">
        <f>(J1248+$B$4)*EXP(10*$K$22)</f>
        <v>0.57562961551671032</v>
      </c>
      <c r="L1179" s="87"/>
      <c r="M1179" s="87"/>
      <c r="N1179" s="87"/>
      <c r="O1179" s="87"/>
      <c r="P1179" s="87"/>
      <c r="Q1179" s="87"/>
      <c r="R1179" s="87"/>
      <c r="S1179" s="87"/>
      <c r="T1179" s="87"/>
      <c r="U1179" s="88">
        <f t="shared" si="44"/>
        <v>77.316903904916757</v>
      </c>
    </row>
    <row r="1180" spans="1:21" x14ac:dyDescent="0.35">
      <c r="A1180" s="30"/>
      <c r="B1180" s="4"/>
      <c r="C1180" s="4"/>
      <c r="D1180" s="4"/>
      <c r="E1180" s="4"/>
      <c r="F1180" s="4"/>
      <c r="G1180" s="38"/>
      <c r="H1180" s="15"/>
      <c r="I1180" s="16"/>
      <c r="J1180" s="16"/>
      <c r="K1180" s="8">
        <f>J1248*EXP(10*K$22)</f>
        <v>0.57315484621422308</v>
      </c>
      <c r="L1180" s="87"/>
      <c r="M1180" s="87"/>
      <c r="N1180" s="87"/>
      <c r="O1180" s="87"/>
      <c r="P1180" s="87"/>
      <c r="Q1180" s="87"/>
      <c r="R1180" s="87"/>
      <c r="S1180" s="87"/>
      <c r="T1180" s="87"/>
      <c r="U1180" s="88">
        <f t="shared" si="44"/>
        <v>77.445038961036971</v>
      </c>
    </row>
    <row r="1181" spans="1:21" x14ac:dyDescent="0.35">
      <c r="A1181" s="30"/>
      <c r="B1181" s="4"/>
      <c r="C1181" s="4"/>
      <c r="D1181" s="4"/>
      <c r="E1181" s="4"/>
      <c r="F1181" s="4"/>
      <c r="G1181" s="4"/>
      <c r="I1181" s="16"/>
      <c r="J1181" s="16"/>
      <c r="K1181" s="9">
        <f>(J1249+$B$4)*EXP(10*$K$22)</f>
        <v>0.58735310958594777</v>
      </c>
      <c r="L1181" s="87"/>
      <c r="M1181" s="87"/>
      <c r="N1181" s="87"/>
      <c r="O1181" s="87"/>
      <c r="P1181" s="87"/>
      <c r="Q1181" s="87"/>
      <c r="R1181" s="87"/>
      <c r="S1181" s="87"/>
      <c r="T1181" s="87"/>
      <c r="U1181" s="88">
        <f t="shared" si="44"/>
        <v>76.7159275381225</v>
      </c>
    </row>
    <row r="1182" spans="1:21" x14ac:dyDescent="0.35">
      <c r="A1182" s="30"/>
      <c r="B1182" s="4"/>
      <c r="C1182" s="4"/>
      <c r="D1182" s="4"/>
      <c r="E1182" s="4"/>
      <c r="F1182" s="38"/>
      <c r="G1182" s="38"/>
      <c r="J1182" s="16"/>
      <c r="K1182" s="8">
        <f>J1249*EXP(10*K$22)</f>
        <v>0.58487834028346053</v>
      </c>
      <c r="L1182" s="87"/>
      <c r="M1182" s="87"/>
      <c r="N1182" s="87"/>
      <c r="O1182" s="87"/>
      <c r="P1182" s="87"/>
      <c r="Q1182" s="87"/>
      <c r="R1182" s="87"/>
      <c r="S1182" s="87"/>
      <c r="T1182" s="87"/>
      <c r="U1182" s="88">
        <f t="shared" si="44"/>
        <v>76.8419687599512</v>
      </c>
    </row>
    <row r="1183" spans="1:21" x14ac:dyDescent="0.35">
      <c r="A1183" s="30"/>
      <c r="B1183" s="4"/>
      <c r="C1183" s="4"/>
      <c r="D1183" s="4"/>
      <c r="E1183" s="4"/>
      <c r="F1183" s="4"/>
      <c r="G1183" s="4"/>
      <c r="K1183" s="9">
        <f>(J1250+$B$4)*EXP(10*$K$22)</f>
        <v>0.58423524861470388</v>
      </c>
      <c r="L1183" s="87"/>
      <c r="M1183" s="87"/>
      <c r="N1183" s="87"/>
      <c r="O1183" s="87"/>
      <c r="P1183" s="87"/>
      <c r="Q1183" s="87"/>
      <c r="R1183" s="87"/>
      <c r="S1183" s="87"/>
      <c r="T1183" s="87"/>
      <c r="U1183" s="88">
        <f t="shared" si="44"/>
        <v>76.874793292893543</v>
      </c>
    </row>
    <row r="1184" spans="1:21" x14ac:dyDescent="0.35">
      <c r="A1184" s="30"/>
      <c r="B1184" s="4"/>
      <c r="C1184" s="4"/>
      <c r="D1184" s="4"/>
      <c r="E1184" s="4"/>
      <c r="F1184" s="38"/>
      <c r="G1184" s="38"/>
      <c r="K1184" s="8">
        <f>J1250*EXP(10*K$22)</f>
        <v>0.58176047931221664</v>
      </c>
      <c r="L1184" s="87"/>
      <c r="M1184" s="87"/>
      <c r="N1184" s="87"/>
      <c r="O1184" s="87"/>
      <c r="P1184" s="87"/>
      <c r="Q1184" s="87"/>
      <c r="R1184" s="87"/>
      <c r="S1184" s="87"/>
      <c r="T1184" s="87"/>
      <c r="U1184" s="88">
        <f t="shared" si="44"/>
        <v>77.001386331569392</v>
      </c>
    </row>
    <row r="1185" spans="1:21" x14ac:dyDescent="0.35">
      <c r="A1185" s="30"/>
      <c r="B1185" s="4"/>
      <c r="C1185" s="4"/>
      <c r="D1185" s="4"/>
      <c r="E1185" s="4"/>
      <c r="F1185" s="4"/>
      <c r="G1185" s="4"/>
      <c r="K1185" s="9">
        <f>(J1251+$B$4)*EXP(10*$K$22)</f>
        <v>0.58345634279803871</v>
      </c>
      <c r="L1185" s="87"/>
      <c r="M1185" s="87"/>
      <c r="N1185" s="87"/>
      <c r="O1185" s="87"/>
      <c r="P1185" s="87"/>
      <c r="Q1185" s="87"/>
      <c r="R1185" s="87"/>
      <c r="S1185" s="87"/>
      <c r="T1185" s="87"/>
      <c r="U1185" s="88">
        <f t="shared" si="44"/>
        <v>76.914589655535735</v>
      </c>
    </row>
    <row r="1186" spans="1:21" x14ac:dyDescent="0.35">
      <c r="A1186" s="30"/>
      <c r="B1186" s="4"/>
      <c r="C1186" s="4"/>
      <c r="D1186" s="4"/>
      <c r="E1186" s="38"/>
      <c r="F1186" s="38"/>
      <c r="G1186" s="38"/>
      <c r="K1186" s="8">
        <f>J1251*EXP(10*K$22)</f>
        <v>0.58098157349555146</v>
      </c>
      <c r="L1186" s="87"/>
      <c r="M1186" s="87"/>
      <c r="N1186" s="87"/>
      <c r="O1186" s="87"/>
      <c r="P1186" s="87"/>
      <c r="Q1186" s="87"/>
      <c r="R1186" s="87"/>
      <c r="S1186" s="87"/>
      <c r="T1186" s="87"/>
      <c r="U1186" s="88">
        <f t="shared" si="44"/>
        <v>77.04132111514987</v>
      </c>
    </row>
    <row r="1187" spans="1:21" x14ac:dyDescent="0.35">
      <c r="A1187" s="30"/>
      <c r="B1187" s="4"/>
      <c r="C1187" s="4"/>
      <c r="D1187" s="38"/>
      <c r="E1187" s="38"/>
      <c r="F1187" s="38"/>
      <c r="G1187" s="38"/>
      <c r="H1187" s="17"/>
      <c r="J1187" s="38"/>
      <c r="K1187" s="9">
        <f>(J1252+$B$4)*EXP(10*$K$22)</f>
        <v>0.58033848182679482</v>
      </c>
      <c r="L1187" s="87"/>
      <c r="M1187" s="87"/>
      <c r="N1187" s="87"/>
      <c r="O1187" s="87"/>
      <c r="P1187" s="87"/>
      <c r="Q1187" s="87"/>
      <c r="R1187" s="87"/>
      <c r="S1187" s="87"/>
      <c r="T1187" s="87"/>
      <c r="U1187" s="88">
        <f t="shared" si="44"/>
        <v>77.074325601621069</v>
      </c>
    </row>
    <row r="1188" spans="1:21" x14ac:dyDescent="0.35">
      <c r="A1188" s="30"/>
      <c r="B1188" s="4"/>
      <c r="C1188" s="4"/>
      <c r="D1188" s="4"/>
      <c r="E1188" s="4"/>
      <c r="F1188" s="4"/>
      <c r="G1188" s="4"/>
      <c r="H1188" s="19"/>
      <c r="I1188" s="16"/>
      <c r="J1188" s="4"/>
      <c r="K1188" s="8">
        <f>J1252*EXP(10*K$22)</f>
        <v>0.57786371252430768</v>
      </c>
      <c r="L1188" s="87"/>
      <c r="M1188" s="87"/>
      <c r="N1188" s="87"/>
      <c r="O1188" s="87"/>
      <c r="P1188" s="87"/>
      <c r="Q1188" s="87"/>
      <c r="R1188" s="87"/>
      <c r="S1188" s="87"/>
      <c r="T1188" s="87"/>
      <c r="U1188" s="88">
        <f t="shared" si="44"/>
        <v>77.201613422135665</v>
      </c>
    </row>
    <row r="1189" spans="1:21" x14ac:dyDescent="0.35">
      <c r="A1189" s="30"/>
      <c r="B1189" s="4"/>
      <c r="C1189" s="4"/>
      <c r="D1189" s="4"/>
      <c r="E1189" s="4"/>
      <c r="F1189" s="4"/>
      <c r="G1189" s="4"/>
      <c r="H1189" s="15"/>
      <c r="J1189" s="9">
        <f>(I1253+$B$4)*EXP(10*$J$22)</f>
        <v>0.38823544566241464</v>
      </c>
      <c r="K1189" s="9">
        <f>(J1253+$B$4)*EXP(10*$K$22)</f>
        <v>0.58095832682861903</v>
      </c>
      <c r="L1189" s="87"/>
      <c r="M1189" s="87"/>
      <c r="N1189" s="87"/>
      <c r="O1189" s="87"/>
      <c r="P1189" s="87"/>
      <c r="Q1189" s="87"/>
      <c r="R1189" s="87"/>
      <c r="S1189" s="87"/>
      <c r="T1189" s="88">
        <f>MIN($B$8,AVERAGE(U1061:U1062)/(1+J1189+$D$8/10000))+$B$7</f>
        <v>71.029213456542735</v>
      </c>
      <c r="U1189" s="88">
        <f t="shared" ref="U1189:U1252" si="45">MIN($B$8,((100+$B$7)/(1+K1189+$D$8/10000)))+$B$7</f>
        <v>77.042513651660258</v>
      </c>
    </row>
    <row r="1190" spans="1:21" x14ac:dyDescent="0.35">
      <c r="A1190" s="30"/>
      <c r="B1190" s="4"/>
      <c r="C1190" s="4"/>
      <c r="D1190" s="4"/>
      <c r="E1190" s="4"/>
      <c r="F1190" s="4"/>
      <c r="G1190" s="4"/>
      <c r="H1190" s="17"/>
      <c r="I1190" s="16"/>
      <c r="J1190" s="8">
        <f>I1253*EXP(10*J$22)</f>
        <v>0.38571572718351615</v>
      </c>
      <c r="K1190" s="8">
        <f>J1253*EXP(10*K$22)</f>
        <v>0.57848355752613179</v>
      </c>
      <c r="L1190" s="87"/>
      <c r="M1190" s="87"/>
      <c r="N1190" s="87"/>
      <c r="O1190" s="87"/>
      <c r="P1190" s="87"/>
      <c r="Q1190" s="87"/>
      <c r="R1190" s="87"/>
      <c r="S1190" s="87"/>
      <c r="T1190" s="88">
        <f>MIN($B$8,AVERAGE(U1063:U1064)/(1+J1190+$D$8/10000))+$B$7</f>
        <v>71.317484818313403</v>
      </c>
      <c r="U1190" s="88">
        <f t="shared" si="45"/>
        <v>77.169690573689607</v>
      </c>
    </row>
    <row r="1191" spans="1:21" x14ac:dyDescent="0.35">
      <c r="A1191" s="30"/>
      <c r="B1191" s="4"/>
      <c r="C1191" s="4"/>
      <c r="D1191" s="39"/>
      <c r="E1191" s="4"/>
      <c r="F1191" s="4"/>
      <c r="G1191" s="4"/>
      <c r="H1191" s="17"/>
      <c r="J1191" s="9">
        <f>(I1254+$B$4)*EXP(10*$J$22)</f>
        <v>0.38508624966746458</v>
      </c>
      <c r="K1191" s="9">
        <f>(J1254+$B$4)*EXP(10*$K$22)</f>
        <v>0.57784046585737525</v>
      </c>
      <c r="L1191" s="87"/>
      <c r="M1191" s="87"/>
      <c r="N1191" s="87"/>
      <c r="O1191" s="87"/>
      <c r="P1191" s="87"/>
      <c r="Q1191" s="87"/>
      <c r="R1191" s="87"/>
      <c r="S1191" s="87"/>
      <c r="T1191" s="88">
        <f>MIN($B$8,AVERAGE(U1065:U1066)/(1+J1191+$D$8/10000))+$B$7</f>
        <v>71.389796847278362</v>
      </c>
      <c r="U1191" s="88">
        <f t="shared" si="45"/>
        <v>77.202811198577123</v>
      </c>
    </row>
    <row r="1192" spans="1:21" x14ac:dyDescent="0.35">
      <c r="A1192" s="30"/>
      <c r="B1192" s="4"/>
      <c r="C1192" s="4"/>
      <c r="D1192" s="4"/>
      <c r="E1192" s="4"/>
      <c r="F1192" s="4"/>
      <c r="G1192" s="4"/>
      <c r="H1192" s="17"/>
      <c r="J1192" s="8">
        <f>I1254*EXP(10*J$22)</f>
        <v>0.38256653118856609</v>
      </c>
      <c r="K1192" s="8">
        <f>J1254*EXP(10*K$22)</f>
        <v>0.57536569655488801</v>
      </c>
      <c r="L1192" s="87"/>
      <c r="M1192" s="87"/>
      <c r="N1192" s="87"/>
      <c r="O1192" s="87"/>
      <c r="P1192" s="87"/>
      <c r="Q1192" s="87"/>
      <c r="R1192" s="87"/>
      <c r="S1192" s="87"/>
      <c r="T1192" s="88">
        <f>MIN($B$8,AVERAGE(U1067:U1068)/(1+J1192+$D$8/10000))+$B$7</f>
        <v>71.680445059871644</v>
      </c>
      <c r="U1192" s="88">
        <f t="shared" si="45"/>
        <v>77.330547420736863</v>
      </c>
    </row>
    <row r="1193" spans="1:21" x14ac:dyDescent="0.35">
      <c r="A1193" s="30"/>
      <c r="B1193" s="4"/>
      <c r="C1193" s="4"/>
      <c r="D1193" s="4"/>
      <c r="E1193" s="4"/>
      <c r="F1193" s="4"/>
      <c r="G1193" s="4"/>
      <c r="H1193" s="17"/>
      <c r="J1193" s="9">
        <f>(I1255+$B$4)*EXP(10*$J$22)</f>
        <v>0.45459382040565099</v>
      </c>
      <c r="K1193" s="9">
        <f>(J1255+$B$4)*EXP(10*$K$22)</f>
        <v>0.57706156004071008</v>
      </c>
      <c r="L1193" s="87"/>
      <c r="M1193" s="87"/>
      <c r="N1193" s="87"/>
      <c r="O1193" s="87"/>
      <c r="P1193" s="87"/>
      <c r="Q1193" s="87"/>
      <c r="R1193" s="87"/>
      <c r="S1193" s="87"/>
      <c r="T1193" s="88">
        <f>MIN($B$8,AVERAGE(U1069:U1070)/(1+J1193+$D$8/10000))+$B$7</f>
        <v>64.06828971581615</v>
      </c>
      <c r="U1193" s="88">
        <f t="shared" si="45"/>
        <v>77.242966722296302</v>
      </c>
    </row>
    <row r="1194" spans="1:21" x14ac:dyDescent="0.35">
      <c r="A1194" s="30"/>
      <c r="B1194" s="4"/>
      <c r="C1194" s="4"/>
      <c r="D1194" s="4"/>
      <c r="E1194" s="4"/>
      <c r="F1194" s="4"/>
      <c r="G1194" s="4"/>
      <c r="H1194" s="15"/>
      <c r="I1194" s="16"/>
      <c r="J1194" s="8">
        <f>I1255*EXP(10*J$22)</f>
        <v>0.45207410192675251</v>
      </c>
      <c r="K1194" s="8">
        <f>J1255*EXP(10*K$22)</f>
        <v>0.57458679073822283</v>
      </c>
      <c r="L1194" s="87"/>
      <c r="M1194" s="87"/>
      <c r="N1194" s="87"/>
      <c r="O1194" s="87"/>
      <c r="P1194" s="87"/>
      <c r="Q1194" s="87"/>
      <c r="R1194" s="87"/>
      <c r="S1194" s="87"/>
      <c r="T1194" s="88">
        <f>MIN($B$8,AVERAGE(U1071:U1072)/(1+J1194+$D$8/10000))+$B$7</f>
        <v>64.312010526068576</v>
      </c>
      <c r="U1194" s="88">
        <f t="shared" si="45"/>
        <v>77.370843245130573</v>
      </c>
    </row>
    <row r="1195" spans="1:21" x14ac:dyDescent="0.35">
      <c r="A1195" s="30"/>
      <c r="B1195" s="4"/>
      <c r="C1195" s="4"/>
      <c r="D1195" s="4"/>
      <c r="E1195" s="4"/>
      <c r="F1195" s="4"/>
      <c r="G1195" s="4"/>
      <c r="I1195" s="16"/>
      <c r="J1195" s="9">
        <f>(I1256+$B$4)*EXP(10*$J$22)</f>
        <v>0.45144462441070093</v>
      </c>
      <c r="K1195" s="9">
        <f>(J1256+$B$4)*EXP(10*$K$22)</f>
        <v>0.57394369906946618</v>
      </c>
      <c r="L1195" s="87"/>
      <c r="M1195" s="87"/>
      <c r="N1195" s="87"/>
      <c r="O1195" s="87"/>
      <c r="P1195" s="87"/>
      <c r="Q1195" s="87"/>
      <c r="R1195" s="87"/>
      <c r="S1195" s="87"/>
      <c r="T1195" s="88">
        <f>MIN($B$8,AVERAGE(U1073:U1074)/(1+J1195+$D$8/10000))+$B$7</f>
        <v>64.373133211517569</v>
      </c>
      <c r="U1195" s="88">
        <f t="shared" si="45"/>
        <v>77.404146267293328</v>
      </c>
    </row>
    <row r="1196" spans="1:21" x14ac:dyDescent="0.35">
      <c r="A1196" s="30"/>
      <c r="B1196" s="4"/>
      <c r="C1196" s="4"/>
      <c r="D1196" s="4"/>
      <c r="E1196" s="4"/>
      <c r="F1196" s="4"/>
      <c r="G1196" s="4"/>
      <c r="J1196" s="8">
        <f>I1256*EXP(10*J$22)</f>
        <v>0.44892490593180251</v>
      </c>
      <c r="K1196" s="8">
        <f>J1256*EXP(10*K$22)</f>
        <v>0.57146892976697905</v>
      </c>
      <c r="L1196" s="87"/>
      <c r="M1196" s="87"/>
      <c r="N1196" s="87"/>
      <c r="O1196" s="87"/>
      <c r="P1196" s="87"/>
      <c r="Q1196" s="87"/>
      <c r="R1196" s="87"/>
      <c r="S1196" s="87"/>
      <c r="T1196" s="88">
        <f>MIN($B$8,AVERAGE(U1075:U1076)/(1+J1196+$D$8/10000))+$B$7</f>
        <v>64.618751001064297</v>
      </c>
      <c r="U1196" s="88">
        <f t="shared" si="45"/>
        <v>77.532586716774205</v>
      </c>
    </row>
    <row r="1197" spans="1:21" x14ac:dyDescent="0.35">
      <c r="A1197" s="30"/>
      <c r="B1197" s="4"/>
      <c r="C1197" s="4"/>
      <c r="D1197" s="4"/>
      <c r="E1197" s="4"/>
      <c r="F1197" s="4"/>
      <c r="G1197" s="4"/>
      <c r="J1197" s="9">
        <f>(I1257+$B$4)*EXP(10*$J$22)</f>
        <v>0.45557792253858159</v>
      </c>
      <c r="K1197" s="9">
        <f>(J1257+$B$4)*EXP(10*$K$22)</f>
        <v>0.58566719313870352</v>
      </c>
      <c r="L1197" s="87"/>
      <c r="M1197" s="87"/>
      <c r="N1197" s="87"/>
      <c r="O1197" s="87"/>
      <c r="P1197" s="87"/>
      <c r="Q1197" s="87"/>
      <c r="R1197" s="87"/>
      <c r="S1197" s="87"/>
      <c r="T1197" s="88">
        <f>MIN($B$8,AVERAGE(U1077:U1078)/(1+J1197+$D$8/10000))+$B$7</f>
        <v>63.973511039076698</v>
      </c>
      <c r="U1197" s="88">
        <f t="shared" si="45"/>
        <v>76.801744679462558</v>
      </c>
    </row>
    <row r="1198" spans="1:21" x14ac:dyDescent="0.35">
      <c r="A1198" s="30"/>
      <c r="B1198" s="4"/>
      <c r="C1198" s="4"/>
      <c r="D1198" s="4"/>
      <c r="E1198" s="4"/>
      <c r="F1198" s="4"/>
      <c r="G1198" s="4"/>
      <c r="J1198" s="8">
        <f>I1257*EXP(10*J$22)</f>
        <v>0.45305820405968311</v>
      </c>
      <c r="K1198" s="8">
        <f>J1257*EXP(10*K$22)</f>
        <v>0.58319242383621628</v>
      </c>
      <c r="L1198" s="87"/>
      <c r="M1198" s="87"/>
      <c r="N1198" s="87"/>
      <c r="O1198" s="87"/>
      <c r="P1198" s="87"/>
      <c r="Q1198" s="87"/>
      <c r="R1198" s="87"/>
      <c r="S1198" s="87"/>
      <c r="T1198" s="88">
        <f>MIN($B$8,AVERAGE(U1079:U1080)/(1+J1198+$D$8/10000))+$B$7</f>
        <v>64.216643088355696</v>
      </c>
      <c r="U1198" s="88">
        <f t="shared" si="45"/>
        <v>76.928083835371027</v>
      </c>
    </row>
    <row r="1199" spans="1:21" x14ac:dyDescent="0.35">
      <c r="A1199" s="30"/>
      <c r="B1199" s="4"/>
      <c r="C1199" s="4"/>
      <c r="D1199" s="4"/>
      <c r="E1199" s="4"/>
      <c r="F1199" s="4"/>
      <c r="G1199" s="4"/>
      <c r="J1199" s="9">
        <f>(I1258+$B$4)*EXP(10*$J$22)</f>
        <v>0.45242872654363153</v>
      </c>
      <c r="K1199" s="9">
        <f>(J1258+$B$4)*EXP(10*$K$22)</f>
        <v>0.58254933216745963</v>
      </c>
      <c r="L1199" s="87"/>
      <c r="M1199" s="87"/>
      <c r="N1199" s="87"/>
      <c r="O1199" s="87"/>
      <c r="P1199" s="87"/>
      <c r="Q1199" s="87"/>
      <c r="R1199" s="87"/>
      <c r="S1199" s="87"/>
      <c r="T1199" s="88">
        <f>MIN($B$8,AVERAGE(U1081:U1082)/(1+J1199+$D$8/10000))+$B$7</f>
        <v>64.277617923599422</v>
      </c>
      <c r="U1199" s="88">
        <f t="shared" si="45"/>
        <v>76.960986043215797</v>
      </c>
    </row>
    <row r="1200" spans="1:21" x14ac:dyDescent="0.35">
      <c r="A1200" s="30"/>
      <c r="B1200" s="4"/>
      <c r="C1200" s="4"/>
      <c r="D1200" s="4"/>
      <c r="E1200" s="4"/>
      <c r="F1200" s="4"/>
      <c r="G1200" s="4"/>
      <c r="J1200" s="8">
        <f>I1258*EXP(10*J$22)</f>
        <v>0.44990900806473311</v>
      </c>
      <c r="K1200" s="8">
        <f>J1258*EXP(10*K$22)</f>
        <v>0.5800745628649725</v>
      </c>
      <c r="L1200" s="87"/>
      <c r="M1200" s="87"/>
      <c r="N1200" s="87"/>
      <c r="O1200" s="87"/>
      <c r="P1200" s="87"/>
      <c r="Q1200" s="87"/>
      <c r="R1200" s="87"/>
      <c r="S1200" s="87"/>
      <c r="T1200" s="88">
        <f>MIN($B$8,AVERAGE(U1083:U1084)/(1+J1200+$D$8/10000))+$B$7</f>
        <v>64.52264079889261</v>
      </c>
      <c r="U1200" s="88">
        <f t="shared" si="45"/>
        <v>77.087878975836716</v>
      </c>
    </row>
    <row r="1201" spans="1:21" x14ac:dyDescent="0.35">
      <c r="A1201" s="30"/>
      <c r="B1201" s="4"/>
      <c r="C1201" s="4"/>
      <c r="D1201" s="4"/>
      <c r="E1201" s="4"/>
      <c r="F1201" s="4"/>
      <c r="G1201" s="4"/>
      <c r="H1201" s="17"/>
      <c r="J1201" s="9">
        <f>(I1259+$B$4)*EXP(10*$J$22)</f>
        <v>0.45938342174640839</v>
      </c>
      <c r="K1201" s="9">
        <f>(J1259+$B$4)*EXP(10*$K$22)</f>
        <v>0.58177042635079446</v>
      </c>
      <c r="L1201" s="87"/>
      <c r="M1201" s="87"/>
      <c r="N1201" s="87"/>
      <c r="O1201" s="87"/>
      <c r="P1201" s="87"/>
      <c r="Q1201" s="87"/>
      <c r="R1201" s="87"/>
      <c r="S1201" s="87"/>
      <c r="T1201" s="88">
        <f>MIN($B$8,AVERAGE(U1085:U1086)/(1+J1201+$D$8/10000))+$B$7</f>
        <v>63.60914894028523</v>
      </c>
      <c r="U1201" s="88">
        <f t="shared" si="45"/>
        <v>77.000876625686672</v>
      </c>
    </row>
    <row r="1202" spans="1:21" x14ac:dyDescent="0.35">
      <c r="A1202" s="30"/>
      <c r="B1202" s="4"/>
      <c r="C1202" s="4"/>
      <c r="D1202" s="4"/>
      <c r="E1202" s="4"/>
      <c r="F1202" s="4"/>
      <c r="G1202" s="4"/>
      <c r="H1202" s="17"/>
      <c r="J1202" s="8">
        <f>I1259*EXP(10*J$22)</f>
        <v>0.45686370326750991</v>
      </c>
      <c r="K1202" s="8">
        <f>J1259*EXP(10*K$22)</f>
        <v>0.57929565704830732</v>
      </c>
      <c r="L1202" s="87"/>
      <c r="M1202" s="87"/>
      <c r="N1202" s="87"/>
      <c r="O1202" s="87"/>
      <c r="P1202" s="87"/>
      <c r="Q1202" s="87"/>
      <c r="R1202" s="87"/>
      <c r="S1202" s="87"/>
      <c r="T1202" s="88">
        <f>MIN($B$8,AVERAGE(U1087:U1088)/(1+J1202+$D$8/10000))+$B$7</f>
        <v>63.850022136039897</v>
      </c>
      <c r="U1202" s="88">
        <f t="shared" si="45"/>
        <v>77.127908471542696</v>
      </c>
    </row>
    <row r="1203" spans="1:21" x14ac:dyDescent="0.35">
      <c r="A1203" s="30"/>
      <c r="B1203" s="4"/>
      <c r="C1203" s="4"/>
      <c r="D1203" s="4"/>
      <c r="E1203" s="4"/>
      <c r="F1203" s="4"/>
      <c r="G1203" s="4"/>
      <c r="H1203" s="17"/>
      <c r="J1203" s="9">
        <f>(I1260+$B$4)*EXP(10*$J$22)</f>
        <v>0.45623422575145833</v>
      </c>
      <c r="K1203" s="9">
        <f>(J1260+$B$4)*EXP(10*$K$22)</f>
        <v>0.57865256537955068</v>
      </c>
      <c r="L1203" s="87"/>
      <c r="M1203" s="87"/>
      <c r="N1203" s="87"/>
      <c r="O1203" s="87"/>
      <c r="P1203" s="87"/>
      <c r="Q1203" s="87"/>
      <c r="R1203" s="87"/>
      <c r="S1203" s="87"/>
      <c r="T1203" s="88">
        <f>MIN($B$8,AVERAGE(U1089:U1090)/(1+J1203+$D$8/10000))+$B$7</f>
        <v>63.910429731764808</v>
      </c>
      <c r="U1203" s="88">
        <f t="shared" si="45"/>
        <v>77.160991272925514</v>
      </c>
    </row>
    <row r="1204" spans="1:21" x14ac:dyDescent="0.35">
      <c r="A1204" s="30"/>
      <c r="B1204" s="4"/>
      <c r="C1204" s="4"/>
      <c r="D1204" s="4"/>
      <c r="E1204" s="4"/>
      <c r="F1204" s="4"/>
      <c r="G1204" s="4"/>
      <c r="H1204" s="17"/>
      <c r="J1204" s="8">
        <f>I1260*EXP(10*J$22)</f>
        <v>0.45371450727255985</v>
      </c>
      <c r="K1204" s="8">
        <f>J1260*EXP(10*K$22)</f>
        <v>0.57617779607706354</v>
      </c>
      <c r="L1204" s="87"/>
      <c r="M1204" s="87"/>
      <c r="N1204" s="87"/>
      <c r="O1204" s="87"/>
      <c r="P1204" s="87"/>
      <c r="Q1204" s="87"/>
      <c r="R1204" s="87"/>
      <c r="S1204" s="87"/>
      <c r="T1204" s="88">
        <f>MIN($B$8,AVERAGE(U1091:U1092)/(1+J1204+$D$8/10000))+$B$7</f>
        <v>64.153170193221342</v>
      </c>
      <c r="U1204" s="88">
        <f t="shared" si="45"/>
        <v>77.288581461108251</v>
      </c>
    </row>
    <row r="1205" spans="1:21" x14ac:dyDescent="0.35">
      <c r="A1205" s="30"/>
      <c r="B1205" s="4"/>
      <c r="C1205" s="4"/>
      <c r="D1205" s="4"/>
      <c r="E1205" s="4"/>
      <c r="F1205" s="4"/>
      <c r="G1205" s="4"/>
      <c r="H1205" s="17"/>
      <c r="J1205" s="9">
        <f>(I1261+$B$4)*EXP(10*$J$22)</f>
        <v>0.45665592993426735</v>
      </c>
      <c r="K1205" s="9">
        <f>(J1261+$B$4)*EXP(10*$K$22)</f>
        <v>0.58688490601324816</v>
      </c>
      <c r="L1205" s="87"/>
      <c r="M1205" s="87"/>
      <c r="N1205" s="87"/>
      <c r="O1205" s="87"/>
      <c r="P1205" s="87"/>
      <c r="Q1205" s="87"/>
      <c r="R1205" s="87"/>
      <c r="S1205" s="87"/>
      <c r="T1205" s="88">
        <f>MIN($B$8,AVERAGE(U1093:U1094)/(1+J1205+$D$8/10000))+$B$7</f>
        <v>63.869950725464996</v>
      </c>
      <c r="U1205" s="88">
        <f t="shared" si="45"/>
        <v>76.739739911083987</v>
      </c>
    </row>
    <row r="1206" spans="1:21" x14ac:dyDescent="0.35">
      <c r="A1206" s="30"/>
      <c r="B1206" s="4"/>
      <c r="C1206" s="4"/>
      <c r="D1206" s="4"/>
      <c r="E1206" s="4"/>
      <c r="F1206" s="4"/>
      <c r="G1206" s="4"/>
      <c r="H1206" s="17"/>
      <c r="J1206" s="8">
        <f>I1261*EXP(10*J$22)</f>
        <v>0.45413621145536887</v>
      </c>
      <c r="K1206" s="8">
        <f>J1261*EXP(10*K$22)</f>
        <v>0.58441013671076092</v>
      </c>
      <c r="L1206" s="87"/>
      <c r="M1206" s="87"/>
      <c r="N1206" s="87"/>
      <c r="O1206" s="87"/>
      <c r="P1206" s="87"/>
      <c r="Q1206" s="87"/>
      <c r="R1206" s="87"/>
      <c r="S1206" s="87"/>
      <c r="T1206" s="88">
        <f>MIN($B$8,AVERAGE(U1095:U1096)/(1+J1206+$D$8/10000))+$B$7</f>
        <v>64.112440020610151</v>
      </c>
      <c r="U1206" s="88">
        <f t="shared" si="45"/>
        <v>76.865863767762676</v>
      </c>
    </row>
    <row r="1207" spans="1:21" x14ac:dyDescent="0.35">
      <c r="A1207" s="30"/>
      <c r="B1207" s="4"/>
      <c r="C1207" s="4"/>
      <c r="D1207" s="4"/>
      <c r="E1207" s="4"/>
      <c r="F1207" s="4"/>
      <c r="G1207" s="4"/>
      <c r="H1207" s="17"/>
      <c r="J1207" s="9">
        <f>(I1262+$B$4)*EXP(10*$J$22)</f>
        <v>0.45350673393931729</v>
      </c>
      <c r="K1207" s="9">
        <f>(J1262+$B$4)*EXP(10*$K$22)</f>
        <v>0.58376704504200427</v>
      </c>
      <c r="L1207" s="87"/>
      <c r="M1207" s="87"/>
      <c r="N1207" s="87"/>
      <c r="O1207" s="87"/>
      <c r="P1207" s="87"/>
      <c r="Q1207" s="87"/>
      <c r="R1207" s="87"/>
      <c r="S1207" s="87"/>
      <c r="T1207" s="88">
        <f>MIN($B$8,AVERAGE(U1097:U1098)/(1+J1207+$D$8/10000))+$B$7</f>
        <v>64.173253447559148</v>
      </c>
      <c r="U1207" s="88">
        <f t="shared" si="45"/>
        <v>76.898709844547696</v>
      </c>
    </row>
    <row r="1208" spans="1:21" x14ac:dyDescent="0.35">
      <c r="A1208" s="30"/>
      <c r="B1208" s="4"/>
      <c r="C1208" s="4"/>
      <c r="D1208" s="4"/>
      <c r="E1208" s="4"/>
      <c r="F1208" s="4"/>
      <c r="G1208" s="4"/>
      <c r="H1208" s="17"/>
      <c r="J1208" s="8">
        <f>I1262*EXP(10*J$22)</f>
        <v>0.45098701546041881</v>
      </c>
      <c r="K1208" s="8">
        <f>J1262*EXP(10*K$22)</f>
        <v>0.58129227573951703</v>
      </c>
      <c r="L1208" s="87"/>
      <c r="M1208" s="87"/>
      <c r="N1208" s="87"/>
      <c r="O1208" s="87"/>
      <c r="P1208" s="87"/>
      <c r="Q1208" s="87"/>
      <c r="R1208" s="87"/>
      <c r="S1208" s="87"/>
      <c r="T1208" s="88">
        <f>MIN($B$8,AVERAGE(U1099:U1100)/(1+J1208+$D$8/10000))+$B$7</f>
        <v>64.417626856979908</v>
      </c>
      <c r="U1208" s="88">
        <f t="shared" si="45"/>
        <v>77.025386061427923</v>
      </c>
    </row>
    <row r="1209" spans="1:21" x14ac:dyDescent="0.35">
      <c r="A1209" s="30"/>
      <c r="B1209" s="4"/>
      <c r="C1209" s="4"/>
      <c r="D1209" s="4"/>
      <c r="E1209" s="4"/>
      <c r="F1209" s="4"/>
      <c r="G1209" s="4"/>
      <c r="H1209" s="17"/>
      <c r="J1209" s="9">
        <f>(I1263+$B$4)*EXP(10*$J$22)</f>
        <v>0.46046142914209415</v>
      </c>
      <c r="K1209" s="9">
        <f>(J1263+$B$4)*EXP(10*$K$22)</f>
        <v>0.5829881392253391</v>
      </c>
      <c r="L1209" s="87"/>
      <c r="M1209" s="87"/>
      <c r="N1209" s="87"/>
      <c r="O1209" s="87"/>
      <c r="P1209" s="87"/>
      <c r="Q1209" s="87"/>
      <c r="R1209" s="87"/>
      <c r="S1209" s="87"/>
      <c r="T1209" s="88">
        <f>MIN($B$8,AVERAGE(U1101:U1102)/(1+J1209+$D$8/10000))+$B$7</f>
        <v>63.506549326628814</v>
      </c>
      <c r="U1209" s="88">
        <f t="shared" si="45"/>
        <v>76.938532339902082</v>
      </c>
    </row>
    <row r="1210" spans="1:21" x14ac:dyDescent="0.35">
      <c r="A1210" s="30"/>
      <c r="B1210" s="4"/>
      <c r="C1210" s="4"/>
      <c r="D1210" s="4"/>
      <c r="E1210" s="4"/>
      <c r="F1210" s="4"/>
      <c r="G1210" s="4"/>
      <c r="H1210" s="17"/>
      <c r="J1210" s="8">
        <f>I1263*EXP(10*J$22)</f>
        <v>0.45794171066319567</v>
      </c>
      <c r="K1210" s="8">
        <f>J1263*EXP(10*K$22)</f>
        <v>0.58051336992285185</v>
      </c>
      <c r="L1210" s="87"/>
      <c r="M1210" s="87"/>
      <c r="N1210" s="87"/>
      <c r="O1210" s="87"/>
      <c r="P1210" s="87"/>
      <c r="Q1210" s="87"/>
      <c r="R1210" s="87"/>
      <c r="S1210" s="87"/>
      <c r="T1210" s="88">
        <f>MIN($B$8,AVERAGE(U1103:U1104)/(1+J1210+$D$8/10000))+$B$7</f>
        <v>63.746787763094275</v>
      </c>
      <c r="U1210" s="88">
        <f t="shared" si="45"/>
        <v>77.065347114204982</v>
      </c>
    </row>
    <row r="1211" spans="1:21" x14ac:dyDescent="0.35">
      <c r="A1211" s="30"/>
      <c r="B1211" s="4"/>
      <c r="C1211" s="4"/>
      <c r="D1211" s="4"/>
      <c r="E1211" s="4"/>
      <c r="F1211" s="4"/>
      <c r="G1211" s="4"/>
      <c r="H1211" s="17"/>
      <c r="J1211" s="9">
        <f>(I1264+$B$4)*EXP(10*$J$22)</f>
        <v>0.45731223314714409</v>
      </c>
      <c r="K1211" s="9">
        <f>(J1264+$B$4)*EXP(10*$K$22)</f>
        <v>0.57987027825409521</v>
      </c>
      <c r="L1211" s="87"/>
      <c r="M1211" s="87"/>
      <c r="N1211" s="87"/>
      <c r="O1211" s="87"/>
      <c r="P1211" s="87"/>
      <c r="Q1211" s="87"/>
      <c r="R1211" s="87"/>
      <c r="S1211" s="87"/>
      <c r="T1211" s="88">
        <f>MIN($B$8,AVERAGE(U1105:U1106)/(1+J1211+$D$8/10000))+$B$7</f>
        <v>63.807035960814531</v>
      </c>
      <c r="U1211" s="88">
        <f t="shared" si="45"/>
        <v>77.098373321955009</v>
      </c>
    </row>
    <row r="1212" spans="1:21" x14ac:dyDescent="0.35">
      <c r="A1212" s="30"/>
      <c r="B1212" s="4"/>
      <c r="C1212" s="4"/>
      <c r="D1212" s="4"/>
      <c r="E1212" s="4"/>
      <c r="F1212" s="4"/>
      <c r="G1212" s="4"/>
      <c r="H1212" s="17"/>
      <c r="J1212" s="8">
        <f>I1264*EXP(10*J$22)</f>
        <v>0.45479251466824561</v>
      </c>
      <c r="K1212" s="8">
        <f>J1264*EXP(10*K$22)</f>
        <v>0.57739550895160807</v>
      </c>
      <c r="L1212" s="87"/>
      <c r="M1212" s="87"/>
      <c r="N1212" s="87"/>
      <c r="O1212" s="87"/>
      <c r="P1212" s="87"/>
      <c r="Q1212" s="87"/>
      <c r="R1212" s="87"/>
      <c r="S1212" s="87"/>
      <c r="T1212" s="88">
        <f>MIN($B$8,AVERAGE(U1107:U1108)/(1+J1212+$D$8/10000))+$B$7</f>
        <v>64.049135055916565</v>
      </c>
      <c r="U1212" s="88">
        <f t="shared" si="45"/>
        <v>77.225745006487756</v>
      </c>
    </row>
    <row r="1213" spans="1:21" x14ac:dyDescent="0.35">
      <c r="A1213" s="30"/>
      <c r="B1213" s="4"/>
      <c r="C1213" s="4"/>
      <c r="D1213" s="4"/>
      <c r="E1213" s="4"/>
      <c r="F1213" s="4"/>
      <c r="G1213" s="4"/>
      <c r="H1213" s="17"/>
      <c r="J1213" s="9">
        <f>(I1265+$B$4)*EXP(10*$J$22)</f>
        <v>0.4614455312750248</v>
      </c>
      <c r="K1213" s="9">
        <f>(J1265+$B$4)*EXP(10*$K$22)</f>
        <v>0.59159377232333255</v>
      </c>
      <c r="L1213" s="87"/>
      <c r="M1213" s="87"/>
      <c r="N1213" s="87"/>
      <c r="O1213" s="87"/>
      <c r="P1213" s="87"/>
      <c r="Q1213" s="87"/>
      <c r="R1213" s="87"/>
      <c r="S1213" s="87"/>
      <c r="T1213" s="88">
        <f>MIN($B$8,AVERAGE(U1109:U1110)/(1+J1213+$D$8/10000))+$B$7</f>
        <v>63.413122910983937</v>
      </c>
      <c r="U1213" s="88">
        <f t="shared" si="45"/>
        <v>76.500959596599756</v>
      </c>
    </row>
    <row r="1214" spans="1:21" x14ac:dyDescent="0.35">
      <c r="A1214" s="30"/>
      <c r="B1214" s="4"/>
      <c r="C1214" s="4"/>
      <c r="D1214" s="4"/>
      <c r="E1214" s="4"/>
      <c r="F1214" s="4"/>
      <c r="G1214" s="4"/>
      <c r="H1214" s="17"/>
      <c r="J1214" s="8">
        <f>I1265*EXP(10*J$22)</f>
        <v>0.45892581279612632</v>
      </c>
      <c r="K1214" s="8">
        <f>J1265*EXP(10*K$22)</f>
        <v>0.5891190030208453</v>
      </c>
      <c r="L1214" s="87"/>
      <c r="M1214" s="87"/>
      <c r="N1214" s="87"/>
      <c r="O1214" s="87"/>
      <c r="P1214" s="87"/>
      <c r="Q1214" s="87"/>
      <c r="R1214" s="87"/>
      <c r="S1214" s="87"/>
      <c r="T1214" s="88">
        <f>MIN($B$8,AVERAGE(U1111:U1112)/(1+J1214+$D$8/10000))+$B$7</f>
        <v>63.652783839915735</v>
      </c>
      <c r="U1214" s="88">
        <f t="shared" si="45"/>
        <v>76.626256054066971</v>
      </c>
    </row>
    <row r="1215" spans="1:21" x14ac:dyDescent="0.35">
      <c r="A1215" s="30"/>
      <c r="B1215" s="4"/>
      <c r="C1215" s="4"/>
      <c r="D1215" s="4"/>
      <c r="E1215" s="4"/>
      <c r="F1215" s="4"/>
      <c r="G1215" s="4"/>
      <c r="H1215" s="17"/>
      <c r="J1215" s="9">
        <f>(I1266+$B$4)*EXP(10*$J$22)</f>
        <v>0.45829633528007474</v>
      </c>
      <c r="K1215" s="9">
        <f>(J1266+$B$4)*EXP(10*$K$22)</f>
        <v>0.58847591135208865</v>
      </c>
      <c r="L1215" s="87"/>
      <c r="M1215" s="87"/>
      <c r="N1215" s="87"/>
      <c r="O1215" s="87"/>
      <c r="P1215" s="87"/>
      <c r="Q1215" s="87"/>
      <c r="R1215" s="87"/>
      <c r="S1215" s="87"/>
      <c r="T1215" s="88">
        <f>MIN($B$8,AVERAGE(U1113:U1114)/(1+J1215+$D$8/10000))+$B$7</f>
        <v>63.712887017089074</v>
      </c>
      <c r="U1215" s="88">
        <f t="shared" si="45"/>
        <v>76.658886419536941</v>
      </c>
    </row>
    <row r="1216" spans="1:21" x14ac:dyDescent="0.35">
      <c r="A1216" s="30"/>
      <c r="B1216" s="4"/>
      <c r="C1216" s="4"/>
      <c r="D1216" s="4"/>
      <c r="E1216" s="4"/>
      <c r="F1216" s="4"/>
      <c r="G1216" s="4"/>
      <c r="H1216" s="17"/>
      <c r="J1216" s="8">
        <f>I1266*EXP(10*J$22)</f>
        <v>0.45577661680117626</v>
      </c>
      <c r="K1216" s="8">
        <f>J1266*EXP(10*K$22)</f>
        <v>0.58600114204960152</v>
      </c>
      <c r="L1216" s="87"/>
      <c r="M1216" s="87"/>
      <c r="N1216" s="87"/>
      <c r="O1216" s="87"/>
      <c r="P1216" s="87"/>
      <c r="Q1216" s="87"/>
      <c r="R1216" s="87"/>
      <c r="S1216" s="87"/>
      <c r="T1216" s="88">
        <f>MIN($B$8,AVERAGE(U1115:U1116)/(1+J1216+$D$8/10000))+$B$7</f>
        <v>63.954402598715014</v>
      </c>
      <c r="U1216" s="88">
        <f t="shared" si="45"/>
        <v>76.784729804830633</v>
      </c>
    </row>
    <row r="1217" spans="1:21" x14ac:dyDescent="0.35">
      <c r="A1217" s="30"/>
      <c r="B1217" s="4"/>
      <c r="C1217" s="4"/>
      <c r="D1217" s="4"/>
      <c r="E1217" s="4"/>
      <c r="F1217" s="4"/>
      <c r="G1217" s="4"/>
      <c r="H1217" s="17"/>
      <c r="J1217" s="9">
        <f>(I1267+$B$4)*EXP(10*$J$22)</f>
        <v>0.4652510304828516</v>
      </c>
      <c r="K1217" s="9">
        <f>(J1267+$B$4)*EXP(10*$K$22)</f>
        <v>0.58769700553542348</v>
      </c>
      <c r="L1217" s="87"/>
      <c r="M1217" s="87"/>
      <c r="N1217" s="87"/>
      <c r="O1217" s="87"/>
      <c r="P1217" s="87"/>
      <c r="Q1217" s="87"/>
      <c r="R1217" s="87"/>
      <c r="S1217" s="87"/>
      <c r="T1217" s="88">
        <f>MIN($B$8,AVERAGE(U1117:U1118)/(1+J1217+$D$8/10000))+$B$7</f>
        <v>63.053949069937921</v>
      </c>
      <c r="U1217" s="88">
        <f t="shared" si="45"/>
        <v>76.698447257334536</v>
      </c>
    </row>
    <row r="1218" spans="1:21" x14ac:dyDescent="0.35">
      <c r="A1218" s="30"/>
      <c r="B1218" s="4"/>
      <c r="C1218" s="4"/>
      <c r="D1218" s="4"/>
      <c r="E1218" s="4"/>
      <c r="F1218" s="4"/>
      <c r="G1218" s="4"/>
      <c r="H1218" s="17"/>
      <c r="J1218" s="8">
        <f>I1267*EXP(10*J$22)</f>
        <v>0.46273131200395312</v>
      </c>
      <c r="K1218" s="8">
        <f>J1267*EXP(10*K$22)</f>
        <v>0.58522223623293634</v>
      </c>
      <c r="L1218" s="87"/>
      <c r="M1218" s="87"/>
      <c r="N1218" s="87"/>
      <c r="O1218" s="87"/>
      <c r="P1218" s="87"/>
      <c r="Q1218" s="87"/>
      <c r="R1218" s="87"/>
      <c r="S1218" s="87"/>
      <c r="T1218" s="88">
        <f>MIN($B$8,AVERAGE(U1119:U1120)/(1+J1218+$D$8/10000))+$B$7</f>
        <v>63.291394235274957</v>
      </c>
      <c r="U1218" s="88">
        <f t="shared" si="45"/>
        <v>76.824427835511699</v>
      </c>
    </row>
    <row r="1219" spans="1:21" x14ac:dyDescent="0.35">
      <c r="A1219" s="30"/>
      <c r="B1219" s="4"/>
      <c r="C1219" s="4"/>
      <c r="D1219" s="4"/>
      <c r="E1219" s="4"/>
      <c r="F1219" s="4"/>
      <c r="G1219" s="4"/>
      <c r="H1219" s="17"/>
      <c r="J1219" s="9">
        <f>(I1268+$B$4)*EXP(10*$J$22)</f>
        <v>0.46210183448790154</v>
      </c>
      <c r="K1219" s="9">
        <f>(J1268+$B$4)*EXP(10*$K$22)</f>
        <v>0.5845791445641797</v>
      </c>
      <c r="L1219" s="87"/>
      <c r="M1219" s="87"/>
      <c r="N1219" s="87"/>
      <c r="O1219" s="87"/>
      <c r="P1219" s="87"/>
      <c r="Q1219" s="87"/>
      <c r="R1219" s="87"/>
      <c r="S1219" s="87"/>
      <c r="T1219" s="88">
        <f>MIN($B$8,AVERAGE(U1121:U1122)/(1+J1219+$D$8/10000))+$B$7</f>
        <v>63.350941007678991</v>
      </c>
      <c r="U1219" s="88">
        <f t="shared" si="45"/>
        <v>76.857236557980954</v>
      </c>
    </row>
    <row r="1220" spans="1:21" x14ac:dyDescent="0.35">
      <c r="A1220" s="30"/>
      <c r="B1220" s="4"/>
      <c r="C1220" s="4"/>
      <c r="D1220" s="4"/>
      <c r="E1220" s="4"/>
      <c r="F1220" s="4"/>
      <c r="G1220" s="4"/>
      <c r="H1220" s="17"/>
      <c r="J1220" s="8">
        <f>I1268*EXP(10*J$22)</f>
        <v>0.45958211600900306</v>
      </c>
      <c r="K1220" s="8">
        <f>J1268*EXP(10*K$22)</f>
        <v>0.58210437526169256</v>
      </c>
      <c r="L1220" s="87"/>
      <c r="M1220" s="87"/>
      <c r="N1220" s="87"/>
      <c r="O1220" s="87"/>
      <c r="P1220" s="87"/>
      <c r="Q1220" s="87"/>
      <c r="R1220" s="87"/>
      <c r="S1220" s="87"/>
      <c r="T1220" s="88">
        <f>MIN($B$8,AVERAGE(U1123:U1124)/(1+J1220+$D$8/10000))+$B$7</f>
        <v>63.590217828426212</v>
      </c>
      <c r="U1220" s="88">
        <f t="shared" si="45"/>
        <v>76.983768554364843</v>
      </c>
    </row>
    <row r="1221" spans="1:21" x14ac:dyDescent="0.35">
      <c r="A1221" s="30"/>
      <c r="B1221" s="4"/>
      <c r="C1221" s="4"/>
      <c r="D1221" s="4"/>
      <c r="E1221" s="4"/>
      <c r="F1221" s="4"/>
      <c r="G1221" s="4"/>
      <c r="H1221" s="17"/>
      <c r="J1221" s="9">
        <f>(I1269+$B$4)*EXP(10*$J$22)</f>
        <v>0.45821031094004494</v>
      </c>
      <c r="K1221" s="9">
        <f>(J1269+$B$4)*EXP(10*$K$22)</f>
        <v>0.5882188158185967</v>
      </c>
      <c r="L1221" s="87"/>
      <c r="M1221" s="87"/>
      <c r="N1221" s="87"/>
      <c r="O1221" s="87"/>
      <c r="P1221" s="87"/>
      <c r="Q1221" s="87"/>
      <c r="R1221" s="87"/>
      <c r="S1221" s="87"/>
      <c r="T1221" s="88">
        <f>MIN($B$8,AVERAGE(U1125:U1126)/(1+J1221+$D$8/10000))+$B$7</f>
        <v>63.721107907949616</v>
      </c>
      <c r="U1221" s="88">
        <f t="shared" si="45"/>
        <v>76.67193961019882</v>
      </c>
    </row>
    <row r="1222" spans="1:21" x14ac:dyDescent="0.35">
      <c r="A1222" s="30"/>
      <c r="B1222" s="4"/>
      <c r="C1222" s="4"/>
      <c r="D1222" s="4"/>
      <c r="E1222" s="4"/>
      <c r="F1222" s="4"/>
      <c r="G1222" s="4"/>
      <c r="H1222" s="17"/>
      <c r="J1222" s="8">
        <f>I1269*EXP(10*J$22)</f>
        <v>0.45569059246114646</v>
      </c>
      <c r="K1222" s="8">
        <f>J1269*EXP(10*K$22)</f>
        <v>0.58574404651610945</v>
      </c>
      <c r="L1222" s="87"/>
      <c r="M1222" s="87"/>
      <c r="N1222" s="87"/>
      <c r="O1222" s="87"/>
      <c r="P1222" s="87"/>
      <c r="Q1222" s="87"/>
      <c r="R1222" s="87"/>
      <c r="S1222" s="87"/>
      <c r="T1222" s="88">
        <f>MIN($B$8,AVERAGE(U1127:U1128)/(1+J1222+$D$8/10000))+$B$7</f>
        <v>63.962674421539688</v>
      </c>
      <c r="U1222" s="88">
        <f t="shared" si="45"/>
        <v>76.797828254327797</v>
      </c>
    </row>
    <row r="1223" spans="1:21" x14ac:dyDescent="0.35">
      <c r="A1223" s="30"/>
      <c r="B1223" s="4"/>
      <c r="C1223" s="4"/>
      <c r="D1223" s="4"/>
      <c r="E1223" s="4"/>
      <c r="F1223" s="4"/>
      <c r="G1223" s="4"/>
      <c r="H1223" s="17"/>
      <c r="J1223" s="9">
        <f>(I1270+$B$4)*EXP(10*$J$22)</f>
        <v>0.45506111494509488</v>
      </c>
      <c r="K1223" s="9">
        <f>(J1270+$B$4)*EXP(10*$K$22)</f>
        <v>0.58510095484735292</v>
      </c>
      <c r="L1223" s="87"/>
      <c r="M1223" s="87"/>
      <c r="N1223" s="87"/>
      <c r="O1223" s="87"/>
      <c r="P1223" s="87"/>
      <c r="Q1223" s="87"/>
      <c r="R1223" s="87"/>
      <c r="S1223" s="87"/>
      <c r="T1223" s="88">
        <f>MIN($B$8,AVERAGE(U1129:U1130)/(1+J1223+$D$8/10000))+$B$7</f>
        <v>64.023256121084444</v>
      </c>
      <c r="U1223" s="88">
        <f t="shared" si="45"/>
        <v>76.830613008593986</v>
      </c>
    </row>
    <row r="1224" spans="1:21" x14ac:dyDescent="0.35">
      <c r="A1224" s="30"/>
      <c r="B1224" s="4"/>
      <c r="C1224" s="4"/>
      <c r="D1224" s="4"/>
      <c r="E1224" s="4"/>
      <c r="F1224" s="4"/>
      <c r="G1224" s="4"/>
      <c r="H1224" s="17"/>
      <c r="J1224" s="8">
        <f>I1270*EXP(10*J$22)</f>
        <v>0.4525413964661964</v>
      </c>
      <c r="K1224" s="8">
        <f>J1270*EXP(10*K$22)</f>
        <v>0.58262618554486567</v>
      </c>
      <c r="L1224" s="87"/>
      <c r="M1224" s="87"/>
      <c r="N1224" s="87"/>
      <c r="O1224" s="87"/>
      <c r="P1224" s="87"/>
      <c r="Q1224" s="87"/>
      <c r="R1224" s="87"/>
      <c r="S1224" s="87"/>
      <c r="T1224" s="88">
        <f>MIN($B$8,AVERAGE(U1131:U1132)/(1+J1224+$D$8/10000))+$B$7</f>
        <v>64.266697123794913</v>
      </c>
      <c r="U1224" s="88">
        <f t="shared" si="45"/>
        <v>76.957052466785953</v>
      </c>
    </row>
    <row r="1225" spans="1:21" x14ac:dyDescent="0.35">
      <c r="A1225" s="30"/>
      <c r="B1225" s="4"/>
      <c r="C1225" s="4"/>
      <c r="D1225" s="4"/>
      <c r="E1225" s="4"/>
      <c r="F1225" s="4"/>
      <c r="G1225" s="4"/>
      <c r="H1225" s="17"/>
      <c r="J1225" s="9">
        <f>(I1271+$B$4)*EXP(10*$J$22)</f>
        <v>0.46201581014787174</v>
      </c>
      <c r="K1225" s="9">
        <f>(J1271+$B$4)*EXP(10*$K$22)</f>
        <v>0.58432204903068763</v>
      </c>
      <c r="L1225" s="87"/>
      <c r="M1225" s="87"/>
      <c r="N1225" s="87"/>
      <c r="O1225" s="87"/>
      <c r="P1225" s="87"/>
      <c r="Q1225" s="87"/>
      <c r="R1225" s="87"/>
      <c r="S1225" s="87"/>
      <c r="T1225" s="88">
        <f>MIN($B$8,AVERAGE(U1133:U1134)/(1+J1225+$D$8/10000))+$B$7</f>
        <v>63.359085771074398</v>
      </c>
      <c r="U1225" s="88">
        <f t="shared" si="45"/>
        <v>76.870361119678421</v>
      </c>
    </row>
    <row r="1226" spans="1:21" x14ac:dyDescent="0.35">
      <c r="A1226" s="30"/>
      <c r="B1226" s="4"/>
      <c r="C1226" s="4"/>
      <c r="D1226" s="4"/>
      <c r="E1226" s="4"/>
      <c r="F1226" s="4"/>
      <c r="G1226" s="4"/>
      <c r="H1226" s="17"/>
      <c r="J1226" s="8">
        <f>I1271*EXP(10*J$22)</f>
        <v>0.45949609166897326</v>
      </c>
      <c r="K1226" s="8">
        <f>J1271*EXP(10*K$22)</f>
        <v>0.58184727972820049</v>
      </c>
      <c r="L1226" s="87"/>
      <c r="M1226" s="87"/>
      <c r="N1226" s="87"/>
      <c r="O1226" s="87"/>
      <c r="P1226" s="87"/>
      <c r="Q1226" s="87"/>
      <c r="R1226" s="87"/>
      <c r="S1226" s="87"/>
      <c r="T1226" s="88">
        <f>MIN($B$8,AVERAGE(U1135:U1136)/(1+J1226+$D$8/10000))+$B$7</f>
        <v>63.598412891395263</v>
      </c>
      <c r="U1226" s="88">
        <f t="shared" si="45"/>
        <v>76.996938746921458</v>
      </c>
    </row>
    <row r="1227" spans="1:21" x14ac:dyDescent="0.35">
      <c r="A1227" s="30"/>
      <c r="B1227" s="4"/>
      <c r="C1227" s="4"/>
      <c r="D1227" s="4"/>
      <c r="E1227" s="4"/>
      <c r="F1227" s="4"/>
      <c r="G1227" s="4"/>
      <c r="H1227" s="17"/>
      <c r="J1227" s="9">
        <f>(I1272+$B$4)*EXP(10*$J$22)</f>
        <v>0.45886661415292168</v>
      </c>
      <c r="K1227" s="9">
        <f>(J1272+$B$4)*EXP(10*$K$22)</f>
        <v>0.58120418805944385</v>
      </c>
      <c r="L1227" s="87"/>
      <c r="M1227" s="87"/>
      <c r="N1227" s="87"/>
      <c r="O1227" s="87"/>
      <c r="P1227" s="87"/>
      <c r="Q1227" s="87"/>
      <c r="R1227" s="87"/>
      <c r="S1227" s="87"/>
      <c r="T1227" s="88">
        <f>MIN($B$8,AVERAGE(U1137:U1138)/(1+J1227+$D$8/10000))+$B$7</f>
        <v>63.65843224464863</v>
      </c>
      <c r="U1227" s="88">
        <f t="shared" si="45"/>
        <v>77.029903127251131</v>
      </c>
    </row>
    <row r="1228" spans="1:21" x14ac:dyDescent="0.35">
      <c r="A1228" s="30"/>
      <c r="B1228" s="4"/>
      <c r="C1228" s="4"/>
      <c r="D1228" s="4"/>
      <c r="E1228" s="4"/>
      <c r="F1228" s="4"/>
      <c r="G1228" s="4"/>
      <c r="H1228" s="17"/>
      <c r="J1228" s="8">
        <f>I1272*EXP(10*J$22)</f>
        <v>0.4563468956740232</v>
      </c>
      <c r="K1228" s="8">
        <f>J1272*EXP(10*K$22)</f>
        <v>0.57872941875695671</v>
      </c>
      <c r="L1228" s="87"/>
      <c r="M1228" s="87"/>
      <c r="N1228" s="87"/>
      <c r="O1228" s="87"/>
      <c r="P1228" s="87"/>
      <c r="Q1228" s="87"/>
      <c r="R1228" s="87"/>
      <c r="S1228" s="87"/>
      <c r="T1228" s="88">
        <f>MIN($B$8,AVERAGE(U1139:U1140)/(1+J1228+$D$8/10000))+$B$7</f>
        <v>63.899610548396389</v>
      </c>
      <c r="U1228" s="88">
        <f t="shared" si="45"/>
        <v>77.15703610158856</v>
      </c>
    </row>
    <row r="1229" spans="1:21" x14ac:dyDescent="0.35">
      <c r="A1229" s="30"/>
      <c r="B1229" s="4"/>
      <c r="C1229" s="4"/>
      <c r="D1229" s="4"/>
      <c r="E1229" s="4"/>
      <c r="F1229" s="4"/>
      <c r="G1229" s="4"/>
      <c r="H1229" s="17"/>
      <c r="J1229" s="9">
        <f>(I1273+$B$4)*EXP(10*$J$22)</f>
        <v>0.46299991228080234</v>
      </c>
      <c r="K1229" s="9">
        <f>(J1273+$B$4)*EXP(10*$K$22)</f>
        <v>0.59292768212868119</v>
      </c>
      <c r="L1229" s="87"/>
      <c r="M1229" s="87"/>
      <c r="N1229" s="87"/>
      <c r="O1229" s="87"/>
      <c r="P1229" s="87"/>
      <c r="Q1229" s="87"/>
      <c r="R1229" s="87"/>
      <c r="S1229" s="87"/>
      <c r="T1229" s="88">
        <f>MIN($B$8,AVERAGE(U1141:U1142)/(1+J1229+$D$8/10000))+$B$7</f>
        <v>63.266013240301596</v>
      </c>
      <c r="U1229" s="88">
        <f t="shared" si="45"/>
        <v>76.433603490578108</v>
      </c>
    </row>
    <row r="1230" spans="1:21" x14ac:dyDescent="0.35">
      <c r="A1230" s="30"/>
      <c r="B1230" s="4"/>
      <c r="C1230" s="4"/>
      <c r="D1230" s="4"/>
      <c r="E1230" s="4"/>
      <c r="F1230" s="4"/>
      <c r="G1230" s="4"/>
      <c r="H1230" s="17"/>
      <c r="J1230" s="8">
        <f>I1273*EXP(10*J$22)</f>
        <v>0.46048019380190386</v>
      </c>
      <c r="K1230" s="8">
        <f>J1273*EXP(10*K$22)</f>
        <v>0.59045291282619394</v>
      </c>
      <c r="L1230" s="87"/>
      <c r="M1230" s="87"/>
      <c r="N1230" s="87"/>
      <c r="O1230" s="87"/>
      <c r="P1230" s="87"/>
      <c r="Q1230" s="87"/>
      <c r="R1230" s="87"/>
      <c r="S1230" s="87"/>
      <c r="T1230" s="88">
        <f>MIN($B$8,AVERAGE(U1143:U1144)/(1+J1230+$D$8/10000))+$B$7</f>
        <v>63.504765788925901</v>
      </c>
      <c r="U1230" s="88">
        <f t="shared" si="45"/>
        <v>76.558667045191612</v>
      </c>
    </row>
    <row r="1231" spans="1:21" x14ac:dyDescent="0.35">
      <c r="A1231" s="30"/>
      <c r="B1231" s="4"/>
      <c r="C1231" s="4"/>
      <c r="D1231" s="4"/>
      <c r="E1231" s="4"/>
      <c r="F1231" s="4"/>
      <c r="G1231" s="4"/>
      <c r="H1231" s="17"/>
      <c r="J1231" s="9">
        <f>(I1274+$B$4)*EXP(10*$J$22)</f>
        <v>0.45985071628585228</v>
      </c>
      <c r="K1231" s="9">
        <f>(J1274+$B$4)*EXP(10*$K$22)</f>
        <v>0.5898098211574373</v>
      </c>
      <c r="L1231" s="87"/>
      <c r="M1231" s="87"/>
      <c r="N1231" s="87"/>
      <c r="O1231" s="87"/>
      <c r="P1231" s="87"/>
      <c r="Q1231" s="87"/>
      <c r="R1231" s="87"/>
      <c r="S1231" s="87"/>
      <c r="T1231" s="88">
        <f>MIN($B$8,AVERAGE(U1145:U1146)/(1+J1231+$D$8/10000))+$B$7</f>
        <v>63.564640859828749</v>
      </c>
      <c r="U1231" s="88">
        <f t="shared" si="45"/>
        <v>76.591236690958752</v>
      </c>
    </row>
    <row r="1232" spans="1:21" x14ac:dyDescent="0.35">
      <c r="A1232" s="30"/>
      <c r="B1232" s="4"/>
      <c r="C1232" s="4"/>
      <c r="D1232" s="4"/>
      <c r="E1232" s="4"/>
      <c r="F1232" s="4"/>
      <c r="G1232" s="4"/>
      <c r="H1232" s="17"/>
      <c r="J1232" s="8">
        <f>I1274*EXP(10*J$22)</f>
        <v>0.4573309978069538</v>
      </c>
      <c r="K1232" s="8">
        <f>J1274*EXP(10*K$22)</f>
        <v>0.58733505185495016</v>
      </c>
      <c r="L1232" s="87"/>
      <c r="M1232" s="87"/>
      <c r="N1232" s="87"/>
      <c r="O1232" s="87"/>
      <c r="P1232" s="87"/>
      <c r="Q1232" s="87"/>
      <c r="R1232" s="87"/>
      <c r="S1232" s="87"/>
      <c r="T1232" s="88">
        <f>MIN($B$8,AVERAGE(U1147:U1148)/(1+J1232+$D$8/10000))+$B$7</f>
        <v>63.805238624255146</v>
      </c>
      <c r="U1232" s="88">
        <f t="shared" si="45"/>
        <v>76.716845647492207</v>
      </c>
    </row>
    <row r="1233" spans="1:21" x14ac:dyDescent="0.35">
      <c r="A1233" s="30"/>
      <c r="B1233" s="4"/>
      <c r="C1233" s="4"/>
      <c r="D1233" s="4"/>
      <c r="E1233" s="4"/>
      <c r="F1233" s="4"/>
      <c r="G1233" s="4"/>
      <c r="H1233" s="17"/>
      <c r="J1233" s="9">
        <f>(I1275+$B$4)*EXP(10*$J$22)</f>
        <v>0.4668054114886292</v>
      </c>
      <c r="K1233" s="9">
        <f>(J1275+$B$4)*EXP(10*$K$22)</f>
        <v>0.58903091534077212</v>
      </c>
      <c r="L1233" s="87"/>
      <c r="M1233" s="87"/>
      <c r="N1233" s="87"/>
      <c r="O1233" s="87"/>
      <c r="P1233" s="87"/>
      <c r="Q1233" s="87"/>
      <c r="R1233" s="87"/>
      <c r="S1233" s="87"/>
      <c r="T1233" s="88">
        <f>MIN($B$8,AVERAGE(U1149:U1150)/(1+J1233+$D$8/10000))+$B$7</f>
        <v>62.908197192158113</v>
      </c>
      <c r="U1233" s="88">
        <f t="shared" si="45"/>
        <v>76.630723876064749</v>
      </c>
    </row>
    <row r="1234" spans="1:21" x14ac:dyDescent="0.35">
      <c r="A1234" s="30"/>
      <c r="B1234" s="4"/>
      <c r="C1234" s="4"/>
      <c r="D1234" s="4"/>
      <c r="E1234" s="4"/>
      <c r="F1234" s="4"/>
      <c r="G1234" s="4"/>
      <c r="H1234" s="17"/>
      <c r="J1234" s="8">
        <f>I1275*EXP(10*J$22)</f>
        <v>0.46428569300973072</v>
      </c>
      <c r="K1234" s="8">
        <f>J1275*EXP(10*K$22)</f>
        <v>0.58655614603828499</v>
      </c>
      <c r="L1234" s="87"/>
      <c r="M1234" s="87"/>
      <c r="N1234" s="87"/>
      <c r="O1234" s="87"/>
      <c r="P1234" s="87"/>
      <c r="Q1234" s="87"/>
      <c r="R1234" s="87"/>
      <c r="S1234" s="87"/>
      <c r="T1234" s="88">
        <f>MIN($B$8,AVERAGE(U1151:U1152)/(1+J1234+$D$8/10000))+$B$7</f>
        <v>63.144745218984205</v>
      </c>
      <c r="U1234" s="88">
        <f t="shared" si="45"/>
        <v>76.756469642199008</v>
      </c>
    </row>
    <row r="1235" spans="1:21" x14ac:dyDescent="0.35">
      <c r="A1235" s="30"/>
      <c r="B1235" s="4"/>
      <c r="C1235" s="4"/>
      <c r="D1235" s="4"/>
      <c r="E1235" s="4"/>
      <c r="F1235" s="4"/>
      <c r="G1235" s="4"/>
      <c r="H1235" s="17"/>
      <c r="J1235" s="9">
        <f>(I1276+$B$4)*EXP(10*$J$22)</f>
        <v>0.46365621549367914</v>
      </c>
      <c r="K1235" s="9">
        <f>(J1276+$B$4)*EXP(10*$K$22)</f>
        <v>0.58591305436952834</v>
      </c>
      <c r="L1235" s="87"/>
      <c r="M1235" s="87"/>
      <c r="N1235" s="87"/>
      <c r="O1235" s="87"/>
      <c r="P1235" s="87"/>
      <c r="Q1235" s="87"/>
      <c r="R1235" s="87"/>
      <c r="S1235" s="87"/>
      <c r="T1235" s="88">
        <f>MIN($B$8,AVERAGE(U1153:U1154)/(1+J1235+$D$8/10000))+$B$7</f>
        <v>63.20406671175504</v>
      </c>
      <c r="U1235" s="88">
        <f t="shared" si="45"/>
        <v>76.789217146679789</v>
      </c>
    </row>
    <row r="1236" spans="1:21" x14ac:dyDescent="0.35">
      <c r="A1236" s="30"/>
      <c r="B1236" s="4"/>
      <c r="C1236" s="4"/>
      <c r="D1236" s="4"/>
      <c r="E1236" s="4"/>
      <c r="F1236" s="4"/>
      <c r="G1236" s="4"/>
      <c r="H1236" s="17"/>
      <c r="J1236" s="8">
        <f>I1276*EXP(10*J$22)</f>
        <v>0.46113649701478066</v>
      </c>
      <c r="K1236" s="8">
        <f>J1276*EXP(10*K$22)</f>
        <v>0.5834382850670411</v>
      </c>
      <c r="L1236" s="87"/>
      <c r="M1236" s="87"/>
      <c r="N1236" s="87"/>
      <c r="O1236" s="87"/>
      <c r="P1236" s="87"/>
      <c r="Q1236" s="87"/>
      <c r="R1236" s="87"/>
      <c r="S1236" s="87"/>
      <c r="T1236" s="88">
        <f>MIN($B$8,AVERAGE(U1155:U1156)/(1+J1236+$D$8/10000))+$B$7</f>
        <v>63.442437103529628</v>
      </c>
      <c r="U1236" s="88">
        <f t="shared" si="45"/>
        <v>76.91551278839529</v>
      </c>
    </row>
    <row r="1237" spans="1:21" x14ac:dyDescent="0.35">
      <c r="A1237" s="30"/>
      <c r="B1237" s="4"/>
      <c r="C1237" s="4"/>
      <c r="D1237" s="4"/>
      <c r="E1237" s="4"/>
      <c r="F1237" s="4"/>
      <c r="G1237" s="4"/>
      <c r="H1237" s="17"/>
      <c r="J1237" s="9">
        <f>(I1277+$B$4)*EXP(10*$J$22)</f>
        <v>0.46407791967648815</v>
      </c>
      <c r="K1237" s="9">
        <f>(J1277+$B$4)*EXP(10*$K$22)</f>
        <v>0.59414539500322572</v>
      </c>
      <c r="L1237" s="87"/>
      <c r="M1237" s="87"/>
      <c r="N1237" s="87"/>
      <c r="O1237" s="87"/>
      <c r="P1237" s="87"/>
      <c r="Q1237" s="87"/>
      <c r="R1237" s="87"/>
      <c r="S1237" s="87"/>
      <c r="T1237" s="88">
        <f>MIN($B$8,AVERAGE(U1157:U1158)/(1+J1237+$D$8/10000))+$B$7</f>
        <v>63.164315563348495</v>
      </c>
      <c r="U1237" s="88">
        <f t="shared" si="45"/>
        <v>76.372223959205769</v>
      </c>
    </row>
    <row r="1238" spans="1:21" x14ac:dyDescent="0.35">
      <c r="A1238" s="30"/>
      <c r="B1238" s="4"/>
      <c r="C1238" s="4"/>
      <c r="D1238" s="4"/>
      <c r="E1238" s="4"/>
      <c r="F1238" s="4"/>
      <c r="G1238" s="4"/>
      <c r="H1238" s="17"/>
      <c r="J1238" s="8">
        <f>I1277*EXP(10*J$22)</f>
        <v>0.46155820119758967</v>
      </c>
      <c r="K1238" s="8">
        <f>J1277*EXP(10*K$22)</f>
        <v>0.59167062570073847</v>
      </c>
      <c r="L1238" s="87"/>
      <c r="M1238" s="87"/>
      <c r="N1238" s="87"/>
      <c r="O1238" s="87"/>
      <c r="P1238" s="87"/>
      <c r="Q1238" s="87"/>
      <c r="R1238" s="87"/>
      <c r="S1238" s="87"/>
      <c r="T1238" s="88">
        <f>MIN($B$8,AVERAGE(U1159:U1160)/(1+J1238+$D$8/10000))+$B$7</f>
        <v>63.402440835194732</v>
      </c>
      <c r="U1238" s="88">
        <f t="shared" si="45"/>
        <v>76.497075465672864</v>
      </c>
    </row>
    <row r="1239" spans="1:21" x14ac:dyDescent="0.35">
      <c r="A1239" s="30"/>
      <c r="B1239" s="4"/>
      <c r="C1239" s="4"/>
      <c r="D1239" s="4"/>
      <c r="E1239" s="4"/>
      <c r="F1239" s="4"/>
      <c r="G1239" s="4"/>
      <c r="H1239" s="17"/>
      <c r="J1239" s="9">
        <f>(I1278+$B$4)*EXP(10*$J$22)</f>
        <v>0.46092872368153809</v>
      </c>
      <c r="K1239" s="9">
        <f>(J1278+$B$4)*EXP(10*$K$22)</f>
        <v>0.59102753403198183</v>
      </c>
      <c r="L1239" s="87"/>
      <c r="M1239" s="87"/>
      <c r="N1239" s="87"/>
      <c r="O1239" s="87"/>
      <c r="P1239" s="87"/>
      <c r="Q1239" s="87"/>
      <c r="R1239" s="87"/>
      <c r="S1239" s="87"/>
      <c r="T1239" s="88">
        <f>MIN($B$8,AVERAGE(U1161:U1162)/(1+J1239+$D$8/10000))+$B$7</f>
        <v>63.462158389519772</v>
      </c>
      <c r="U1239" s="88">
        <f t="shared" si="45"/>
        <v>76.529589828892455</v>
      </c>
    </row>
    <row r="1240" spans="1:21" x14ac:dyDescent="0.35">
      <c r="A1240" s="30"/>
      <c r="B1240" s="4"/>
      <c r="C1240" s="4"/>
      <c r="D1240" s="4"/>
      <c r="E1240" s="4"/>
      <c r="F1240" s="4"/>
      <c r="G1240" s="4"/>
      <c r="H1240" s="17"/>
      <c r="J1240" s="8">
        <f>I1278*EXP(10*J$22)</f>
        <v>0.45840900520263961</v>
      </c>
      <c r="K1240" s="8">
        <f>J1278*EXP(10*K$22)</f>
        <v>0.58855276472949458</v>
      </c>
      <c r="L1240" s="87"/>
      <c r="M1240" s="87"/>
      <c r="N1240" s="87"/>
      <c r="O1240" s="87"/>
      <c r="P1240" s="87"/>
      <c r="Q1240" s="87"/>
      <c r="R1240" s="87"/>
      <c r="S1240" s="87"/>
      <c r="T1240" s="88">
        <f>MIN($B$8,AVERAGE(U1163:U1164)/(1+J1240+$D$8/10000))+$B$7</f>
        <v>63.702122367762549</v>
      </c>
      <c r="U1240" s="88">
        <f t="shared" si="45"/>
        <v>76.654985349246957</v>
      </c>
    </row>
    <row r="1241" spans="1:21" x14ac:dyDescent="0.35">
      <c r="A1241" s="30"/>
      <c r="B1241" s="4"/>
      <c r="C1241" s="4"/>
      <c r="D1241" s="4"/>
      <c r="E1241" s="4"/>
      <c r="F1241" s="4"/>
      <c r="G1241" s="4"/>
      <c r="H1241" s="17"/>
      <c r="J1241" s="9">
        <f>(I1279+$B$4)*EXP(10*$J$22)</f>
        <v>0.46788341888431495</v>
      </c>
      <c r="K1241" s="9">
        <f>(J1279+$B$4)*EXP(10*$K$22)</f>
        <v>0.59024862821531665</v>
      </c>
      <c r="L1241" s="87"/>
      <c r="M1241" s="87"/>
      <c r="N1241" s="87"/>
      <c r="O1241" s="87"/>
      <c r="P1241" s="87"/>
      <c r="Q1241" s="87"/>
      <c r="R1241" s="87"/>
      <c r="S1241" s="87"/>
      <c r="T1241" s="88">
        <f>MIN($B$8,AVERAGE(U1165:U1166)/(1+J1241+$D$8/10000))+$B$7</f>
        <v>62.807437141866963</v>
      </c>
      <c r="U1241" s="88">
        <f t="shared" si="45"/>
        <v>76.569009956637515</v>
      </c>
    </row>
    <row r="1242" spans="1:21" x14ac:dyDescent="0.35">
      <c r="A1242" s="30"/>
      <c r="B1242" s="4"/>
      <c r="C1242" s="4"/>
      <c r="D1242" s="4"/>
      <c r="E1242" s="4"/>
      <c r="F1242" s="4"/>
      <c r="G1242" s="4"/>
      <c r="H1242" s="17"/>
      <c r="J1242" s="8">
        <f>I1279*EXP(10*J$22)</f>
        <v>0.46536370040541647</v>
      </c>
      <c r="K1242" s="8">
        <f>J1279*EXP(10*K$22)</f>
        <v>0.58777385891282941</v>
      </c>
      <c r="L1242" s="87"/>
      <c r="M1242" s="87"/>
      <c r="N1242" s="87"/>
      <c r="O1242" s="87"/>
      <c r="P1242" s="87"/>
      <c r="Q1242" s="87"/>
      <c r="R1242" s="87"/>
      <c r="S1242" s="87"/>
      <c r="T1242" s="88">
        <f>MIN($B$8,AVERAGE(U1167:U1168)/(1+J1242+$D$8/10000))+$B$7</f>
        <v>63.043365646434033</v>
      </c>
      <c r="U1242" s="88">
        <f t="shared" si="45"/>
        <v>76.694541937943498</v>
      </c>
    </row>
    <row r="1243" spans="1:21" x14ac:dyDescent="0.35">
      <c r="A1243" s="30"/>
      <c r="B1243" s="4"/>
      <c r="C1243" s="4"/>
      <c r="D1243" s="4"/>
      <c r="E1243" s="4"/>
      <c r="F1243" s="4"/>
      <c r="G1243" s="4"/>
      <c r="H1243" s="17"/>
      <c r="J1243" s="9">
        <f>(I1280+$B$4)*EXP(10*$J$22)</f>
        <v>0.46473422288936489</v>
      </c>
      <c r="K1243" s="9">
        <f>(J1280+$B$4)*EXP(10*$K$22)</f>
        <v>0.58713076724407287</v>
      </c>
      <c r="L1243" s="87"/>
      <c r="M1243" s="87"/>
      <c r="N1243" s="87"/>
      <c r="O1243" s="87"/>
      <c r="P1243" s="87"/>
      <c r="Q1243" s="87"/>
      <c r="R1243" s="87"/>
      <c r="S1243" s="87"/>
      <c r="T1243" s="88">
        <f>MIN($B$8,AVERAGE(U1169:U1170)/(1+J1243+$D$8/10000))+$B$7</f>
        <v>63.102531572409511</v>
      </c>
      <c r="U1243" s="88">
        <f t="shared" si="45"/>
        <v>76.72723370661609</v>
      </c>
    </row>
    <row r="1244" spans="1:21" x14ac:dyDescent="0.35">
      <c r="A1244" s="30"/>
      <c r="B1244" s="4"/>
      <c r="C1244" s="4"/>
      <c r="D1244" s="4"/>
      <c r="E1244" s="4"/>
      <c r="F1244" s="4"/>
      <c r="G1244" s="4"/>
      <c r="H1244" s="17"/>
      <c r="J1244" s="8">
        <f>I1280*EXP(10*J$22)</f>
        <v>0.46221450441046641</v>
      </c>
      <c r="K1244" s="8">
        <f>J1280*EXP(10*K$22)</f>
        <v>0.58465599794158563</v>
      </c>
      <c r="L1244" s="87"/>
      <c r="M1244" s="87"/>
      <c r="N1244" s="87"/>
      <c r="O1244" s="87"/>
      <c r="P1244" s="87"/>
      <c r="Q1244" s="87"/>
      <c r="R1244" s="87"/>
      <c r="S1244" s="87"/>
      <c r="T1244" s="88">
        <f>MIN($B$8,AVERAGE(U1171:U1172)/(1+J1244+$D$8/10000))+$B$7</f>
        <v>63.340276033414767</v>
      </c>
      <c r="U1244" s="88">
        <f t="shared" si="45"/>
        <v>76.853314160276113</v>
      </c>
    </row>
    <row r="1245" spans="1:21" x14ac:dyDescent="0.35">
      <c r="A1245" s="30"/>
      <c r="B1245" s="4"/>
      <c r="C1245" s="4"/>
      <c r="D1245" s="4"/>
      <c r="E1245" s="4"/>
      <c r="F1245" s="4"/>
      <c r="G1245" s="4"/>
      <c r="H1245" s="17"/>
      <c r="J1245" s="9">
        <f>(I1281+$B$4)*EXP(10*$J$22)</f>
        <v>0.46886752101724555</v>
      </c>
      <c r="K1245" s="9">
        <f>(J1281+$B$4)*EXP(10*$K$22)</f>
        <v>0.59885426131331021</v>
      </c>
      <c r="L1245" s="87"/>
      <c r="M1245" s="87"/>
      <c r="N1245" s="87"/>
      <c r="O1245" s="87"/>
      <c r="P1245" s="87"/>
      <c r="Q1245" s="87"/>
      <c r="R1245" s="87"/>
      <c r="S1245" s="87"/>
      <c r="T1245" s="88">
        <f>MIN($B$8,AVERAGE(U1173:U1174)/(1+J1245+$D$8/10000))+$B$7</f>
        <v>62.715684394524608</v>
      </c>
      <c r="U1245" s="88">
        <f t="shared" si="45"/>
        <v>76.135846493464186</v>
      </c>
    </row>
    <row r="1246" spans="1:21" x14ac:dyDescent="0.35">
      <c r="A1246" s="30"/>
      <c r="B1246" s="4"/>
      <c r="C1246" s="4"/>
      <c r="D1246" s="4"/>
      <c r="E1246" s="4"/>
      <c r="F1246" s="4"/>
      <c r="G1246" s="4"/>
      <c r="H1246" s="17"/>
      <c r="J1246" s="8">
        <f>I1281*EXP(10*J$22)</f>
        <v>0.46634780253834707</v>
      </c>
      <c r="K1246" s="8">
        <f>J1281*EXP(10*K$22)</f>
        <v>0.59637949201082308</v>
      </c>
      <c r="L1246" s="87"/>
      <c r="M1246" s="87"/>
      <c r="N1246" s="87"/>
      <c r="O1246" s="87"/>
      <c r="P1246" s="87"/>
      <c r="Q1246" s="87"/>
      <c r="R1246" s="87"/>
      <c r="S1246" s="87"/>
      <c r="T1246" s="88">
        <f>MIN($B$8,AVERAGE(U1175:U1176)/(1+J1246+$D$8/10000))+$B$7</f>
        <v>62.95104924255336</v>
      </c>
      <c r="U1246" s="88">
        <f t="shared" si="45"/>
        <v>76.259883069125266</v>
      </c>
    </row>
    <row r="1247" spans="1:21" x14ac:dyDescent="0.35">
      <c r="A1247" s="30"/>
      <c r="B1247" s="4"/>
      <c r="C1247" s="4"/>
      <c r="D1247" s="4"/>
      <c r="E1247" s="4"/>
      <c r="F1247" s="4"/>
      <c r="G1247" s="4"/>
      <c r="H1247" s="17"/>
      <c r="J1247" s="9">
        <f>(I1282+$B$4)*EXP(10*$J$22)</f>
        <v>0.46571832502229549</v>
      </c>
      <c r="K1247" s="9">
        <f>(J1282+$B$4)*EXP(10*$K$22)</f>
        <v>0.59573640034206643</v>
      </c>
      <c r="L1247" s="87"/>
      <c r="M1247" s="87"/>
      <c r="N1247" s="87"/>
      <c r="O1247" s="87"/>
      <c r="P1247" s="87"/>
      <c r="Q1247" s="87"/>
      <c r="R1247" s="87"/>
      <c r="S1247" s="87"/>
      <c r="T1247" s="88">
        <f>MIN($B$8,AVERAGE(U1177:U1178)/(1+J1247+$D$8/10000))+$B$7</f>
        <v>63.010073630666376</v>
      </c>
      <c r="U1247" s="88">
        <f t="shared" si="45"/>
        <v>76.292184975175473</v>
      </c>
    </row>
    <row r="1248" spans="1:21" x14ac:dyDescent="0.35">
      <c r="A1248" s="30"/>
      <c r="B1248" s="4"/>
      <c r="C1248" s="4"/>
      <c r="D1248" s="4"/>
      <c r="E1248" s="4"/>
      <c r="F1248" s="4"/>
      <c r="G1248" s="4"/>
      <c r="H1248" s="17"/>
      <c r="J1248" s="8">
        <f>I1282*EXP(10*J$22)</f>
        <v>0.46319860654339701</v>
      </c>
      <c r="K1248" s="8">
        <f>J1282*EXP(10*K$22)</f>
        <v>0.59326163103957918</v>
      </c>
      <c r="L1248" s="87"/>
      <c r="M1248" s="87"/>
      <c r="N1248" s="87"/>
      <c r="O1248" s="87"/>
      <c r="P1248" s="87"/>
      <c r="Q1248" s="87"/>
      <c r="R1248" s="87"/>
      <c r="S1248" s="87"/>
      <c r="T1248" s="88">
        <f>MIN($B$8,AVERAGE(U1179:U1180)/(1+J1248+$D$8/10000))+$B$7</f>
        <v>63.247248609528313</v>
      </c>
      <c r="U1248" s="88">
        <f t="shared" si="45"/>
        <v>76.416760241341549</v>
      </c>
    </row>
    <row r="1249" spans="1:21" x14ac:dyDescent="0.35">
      <c r="A1249" s="30"/>
      <c r="B1249" s="4"/>
      <c r="C1249" s="4"/>
      <c r="D1249" s="4"/>
      <c r="E1249" s="4"/>
      <c r="F1249" s="4"/>
      <c r="G1249" s="4"/>
      <c r="H1249" s="17"/>
      <c r="J1249" s="9">
        <f>(I1283+$B$4)*EXP(10*$J$22)</f>
        <v>0.47267302022507235</v>
      </c>
      <c r="K1249" s="9">
        <f>(J1283+$B$4)*EXP(10*$K$22)</f>
        <v>0.59495749452540125</v>
      </c>
      <c r="L1249" s="87"/>
      <c r="M1249" s="87"/>
      <c r="N1249" s="87"/>
      <c r="O1249" s="87"/>
      <c r="P1249" s="87"/>
      <c r="Q1249" s="87"/>
      <c r="R1249" s="87"/>
      <c r="S1249" s="87"/>
      <c r="T1249" s="88">
        <f>MIN($B$8,AVERAGE(U1181:U1182)/(1+J1249+$D$8/10000))+$B$7</f>
        <v>62.36293224063548</v>
      </c>
      <c r="U1249" s="88">
        <f t="shared" si="45"/>
        <v>76.331347394583219</v>
      </c>
    </row>
    <row r="1250" spans="1:21" x14ac:dyDescent="0.35">
      <c r="A1250" s="30"/>
      <c r="B1250" s="4"/>
      <c r="C1250" s="4"/>
      <c r="D1250" s="4"/>
      <c r="E1250" s="4"/>
      <c r="F1250" s="4"/>
      <c r="G1250" s="4"/>
      <c r="H1250" s="17"/>
      <c r="J1250" s="8">
        <f>I1283*EXP(10*J$22)</f>
        <v>0.47015330174617387</v>
      </c>
      <c r="K1250" s="8">
        <f>J1283*EXP(10*K$22)</f>
        <v>0.59248272522291412</v>
      </c>
      <c r="L1250" s="87"/>
      <c r="M1250" s="87"/>
      <c r="N1250" s="87"/>
      <c r="O1250" s="87"/>
      <c r="P1250" s="87"/>
      <c r="Q1250" s="87"/>
      <c r="R1250" s="87"/>
      <c r="S1250" s="87"/>
      <c r="T1250" s="88">
        <f>MIN($B$8,AVERAGE(U1183:U1184)/(1+J1250+$D$8/10000))+$B$7</f>
        <v>62.596134364037887</v>
      </c>
      <c r="U1250" s="88">
        <f t="shared" si="45"/>
        <v>76.456057784575933</v>
      </c>
    </row>
    <row r="1251" spans="1:21" x14ac:dyDescent="0.35">
      <c r="A1251" s="30"/>
      <c r="B1251" s="4"/>
      <c r="C1251" s="4"/>
      <c r="D1251" s="4"/>
      <c r="E1251" s="4"/>
      <c r="F1251" s="4"/>
      <c r="G1251" s="4"/>
      <c r="H1251" s="17"/>
      <c r="J1251" s="9">
        <f>(I1284+$B$4)*EXP(10*$J$22)</f>
        <v>0.46952382423012229</v>
      </c>
      <c r="K1251" s="9">
        <f>(J1284+$B$4)*EXP(10*$K$22)</f>
        <v>0.59183963355415747</v>
      </c>
      <c r="L1251" s="87"/>
      <c r="M1251" s="87"/>
      <c r="N1251" s="87"/>
      <c r="O1251" s="87"/>
      <c r="P1251" s="87"/>
      <c r="Q1251" s="87"/>
      <c r="R1251" s="87"/>
      <c r="S1251" s="87"/>
      <c r="T1251" s="88">
        <f>MIN($B$8,AVERAGE(U1185:U1186)/(1+J1251+$D$8/10000))+$B$7</f>
        <v>62.654615683291311</v>
      </c>
      <c r="U1251" s="88">
        <f t="shared" si="45"/>
        <v>76.488535357753435</v>
      </c>
    </row>
    <row r="1252" spans="1:21" x14ac:dyDescent="0.35">
      <c r="A1252" s="30"/>
      <c r="B1252" s="4"/>
      <c r="C1252" s="4"/>
      <c r="D1252" s="4"/>
      <c r="E1252" s="4"/>
      <c r="F1252" s="4"/>
      <c r="G1252" s="4"/>
      <c r="H1252" s="17"/>
      <c r="J1252" s="8">
        <f>I1284*EXP(10*J$22)</f>
        <v>0.46700410575122381</v>
      </c>
      <c r="K1252" s="8">
        <f>J1284*EXP(10*K$22)</f>
        <v>0.58936486425167034</v>
      </c>
      <c r="L1252" s="87"/>
      <c r="M1252" s="87"/>
      <c r="N1252" s="87"/>
      <c r="O1252" s="87"/>
      <c r="P1252" s="87"/>
      <c r="Q1252" s="87"/>
      <c r="R1252" s="87"/>
      <c r="S1252" s="87"/>
      <c r="T1252" s="88">
        <f>MIN($B$8,AVERAGE(U1187:U1188)/(1+J1252+$D$8/10000))+$B$7</f>
        <v>62.889605629419705</v>
      </c>
      <c r="U1252" s="88">
        <f t="shared" si="45"/>
        <v>76.613788838563877</v>
      </c>
    </row>
    <row r="1253" spans="1:21" x14ac:dyDescent="0.35">
      <c r="A1253" s="30"/>
      <c r="B1253" s="4"/>
      <c r="C1253" s="4"/>
      <c r="D1253" s="4"/>
      <c r="E1253" s="4"/>
      <c r="F1253" s="4"/>
      <c r="G1253" s="4"/>
      <c r="H1253" s="17"/>
      <c r="I1253" s="9">
        <f>(H1285+$B$4)*EXP(10*$I$22)</f>
        <v>0.30615779533603948</v>
      </c>
      <c r="J1253" s="9">
        <f>(I1285+$B$4)*EXP(10*$J$22)</f>
        <v>0.46750503729357096</v>
      </c>
      <c r="K1253" s="9">
        <f>(J1285+$B$4)*EXP(10*$K$22)</f>
        <v>0.57903495962988538</v>
      </c>
      <c r="L1253" s="87"/>
      <c r="M1253" s="87"/>
      <c r="N1253" s="87"/>
      <c r="O1253" s="87"/>
      <c r="P1253" s="87"/>
      <c r="Q1253" s="87"/>
      <c r="R1253" s="87"/>
      <c r="S1253" s="88">
        <f>MIN($B$8,AVERAGE(T1189:T1190)/(1+I1253+$D$8/10000))+$B$7</f>
        <v>65.942234492780941</v>
      </c>
      <c r="T1253" s="88">
        <f>MIN($B$8,AVERAGE(U1189:U1190)/(1+J1253+$D$8/10000))+$B$7</f>
        <v>62.8427739526607</v>
      </c>
      <c r="U1253" s="88">
        <f t="shared" ref="U1253:U1316" si="46">MIN($B$8,((100+$B$7)/(1+K1253+$D$8/10000)))+$B$7</f>
        <v>77.141316018104803</v>
      </c>
    </row>
    <row r="1254" spans="1:21" x14ac:dyDescent="0.35">
      <c r="A1254" s="30"/>
      <c r="B1254" s="4"/>
      <c r="C1254" s="4"/>
      <c r="D1254" s="4"/>
      <c r="E1254" s="4"/>
      <c r="F1254" s="4"/>
      <c r="G1254" s="4"/>
      <c r="H1254" s="17"/>
      <c r="I1254" s="8">
        <f>H1285*EXP(10*I$22)</f>
        <v>0.30365815418856751</v>
      </c>
      <c r="J1254" s="8">
        <f>I1285*EXP(10*J$22)</f>
        <v>0.46498531881467253</v>
      </c>
      <c r="K1254" s="8">
        <f>J1285*EXP(10*K$22)</f>
        <v>0.57656019032739814</v>
      </c>
      <c r="L1254" s="87"/>
      <c r="M1254" s="87"/>
      <c r="N1254" s="87"/>
      <c r="O1254" s="87"/>
      <c r="P1254" s="87"/>
      <c r="Q1254" s="87"/>
      <c r="R1254" s="87"/>
      <c r="S1254" s="88">
        <f>MIN($B$8,AVERAGE(T1191:T1192)/(1+I1254+$D$8/10000))+$B$7</f>
        <v>66.392816689444984</v>
      </c>
      <c r="T1254" s="88">
        <f>MIN($B$8,AVERAGE(U1191:U1192)/(1+J1254+$D$8/10000))+$B$7</f>
        <v>63.078919661912501</v>
      </c>
      <c r="U1254" s="88">
        <f t="shared" si="46"/>
        <v>77.268837529806191</v>
      </c>
    </row>
    <row r="1255" spans="1:21" x14ac:dyDescent="0.35">
      <c r="A1255" s="30"/>
      <c r="B1255" s="4"/>
      <c r="C1255" s="4"/>
      <c r="D1255" s="4"/>
      <c r="E1255" s="4"/>
      <c r="F1255" s="4"/>
      <c r="G1255" s="4"/>
      <c r="H1255" s="17"/>
      <c r="I1255" s="9">
        <f>(H1286+$B$4)*EXP(10*$I$22)</f>
        <v>0.35882905627170247</v>
      </c>
      <c r="J1255" s="9">
        <f>(I1286+$B$4)*EXP(10*$J$22)</f>
        <v>0.46435584129862095</v>
      </c>
      <c r="K1255" s="9">
        <f>(J1286+$B$4)*EXP(10*$K$22)</f>
        <v>0.57591709865864149</v>
      </c>
      <c r="L1255" s="87"/>
      <c r="M1255" s="87"/>
      <c r="N1255" s="87"/>
      <c r="O1255" s="87"/>
      <c r="P1255" s="87"/>
      <c r="Q1255" s="87"/>
      <c r="R1255" s="87"/>
      <c r="S1255" s="88">
        <f>MIN($B$8,AVERAGE(T1193:T1194)/(1+I1255+$D$8/10000))+$B$7</f>
        <v>57.416160881488665</v>
      </c>
      <c r="T1255" s="88">
        <f>MIN($B$8,AVERAGE(U1193:U1194)/(1+J1255+$D$8/10000))+$B$7</f>
        <v>63.138140129570431</v>
      </c>
      <c r="U1255" s="88">
        <f t="shared" si="46"/>
        <v>77.302047994603512</v>
      </c>
    </row>
    <row r="1256" spans="1:21" x14ac:dyDescent="0.35">
      <c r="A1256" s="30"/>
      <c r="B1256" s="4"/>
      <c r="C1256" s="4"/>
      <c r="D1256" s="4"/>
      <c r="E1256" s="4"/>
      <c r="F1256" s="4"/>
      <c r="G1256" s="4"/>
      <c r="H1256" s="17"/>
      <c r="I1256" s="8">
        <f>H1286*EXP(10*I$22)</f>
        <v>0.3563294151242305</v>
      </c>
      <c r="J1256" s="8">
        <f>I1286*EXP(10*J$22)</f>
        <v>0.46183612281972247</v>
      </c>
      <c r="K1256" s="8">
        <f>J1286*EXP(10*K$22)</f>
        <v>0.57344232935615436</v>
      </c>
      <c r="L1256" s="87"/>
      <c r="M1256" s="87"/>
      <c r="N1256" s="87"/>
      <c r="O1256" s="87"/>
      <c r="P1256" s="87"/>
      <c r="Q1256" s="87"/>
      <c r="R1256" s="87"/>
      <c r="S1256" s="88">
        <f>MIN($B$8,AVERAGE(T1195:T1196)/(1+I1256+$D$8/10000))+$B$7</f>
        <v>57.782499635066536</v>
      </c>
      <c r="T1256" s="88">
        <f>MIN($B$8,AVERAGE(U1195:U1196)/(1+J1256+$D$8/10000))+$B$7</f>
        <v>63.376104041429365</v>
      </c>
      <c r="U1256" s="88">
        <f t="shared" si="46"/>
        <v>77.43013108364147</v>
      </c>
    </row>
    <row r="1257" spans="1:21" x14ac:dyDescent="0.35">
      <c r="A1257" s="30"/>
      <c r="B1257" s="4"/>
      <c r="C1257" s="4"/>
      <c r="D1257" s="4"/>
      <c r="E1257" s="4"/>
      <c r="F1257" s="4"/>
      <c r="G1257" s="4"/>
      <c r="H1257" s="17"/>
      <c r="I1257" s="9">
        <f>(H1287+$B$4)*EXP(10*$I$22)</f>
        <v>0.35961017697321895</v>
      </c>
      <c r="J1257" s="9">
        <f>(I1287+$B$4)*EXP(10*$J$22)</f>
        <v>0.4713105365013977</v>
      </c>
      <c r="K1257" s="9">
        <f>(J1287+$B$4)*EXP(10*$K$22)</f>
        <v>0.57513819284197631</v>
      </c>
      <c r="L1257" s="87"/>
      <c r="M1257" s="87"/>
      <c r="N1257" s="87"/>
      <c r="O1257" s="87"/>
      <c r="P1257" s="87"/>
      <c r="Q1257" s="87"/>
      <c r="R1257" s="87"/>
      <c r="S1257" s="88">
        <f>MIN($B$8,AVERAGE(T1197:T1198)/(1+I1257+$D$8/10000))+$B$7</f>
        <v>57.302398069505706</v>
      </c>
      <c r="T1257" s="88">
        <f>MIN($B$8,AVERAGE(U1197:U1198)/(1+J1257+$D$8/10000))+$B$7</f>
        <v>62.488854554219792</v>
      </c>
      <c r="U1257" s="88">
        <f t="shared" si="46"/>
        <v>77.34231249508008</v>
      </c>
    </row>
    <row r="1258" spans="1:21" x14ac:dyDescent="0.35">
      <c r="A1258" s="30"/>
      <c r="B1258" s="4"/>
      <c r="C1258" s="4"/>
      <c r="D1258" s="4"/>
      <c r="E1258" s="4"/>
      <c r="F1258" s="4"/>
      <c r="G1258" s="4"/>
      <c r="H1258" s="17"/>
      <c r="I1258" s="8">
        <f>H1287*EXP(10*I$22)</f>
        <v>0.35711053582574698</v>
      </c>
      <c r="J1258" s="8">
        <f>I1287*EXP(10*J$22)</f>
        <v>0.46879081802249922</v>
      </c>
      <c r="K1258" s="8">
        <f>J1287*EXP(10*K$22)</f>
        <v>0.57266342353948918</v>
      </c>
      <c r="L1258" s="87"/>
      <c r="M1258" s="87"/>
      <c r="N1258" s="87"/>
      <c r="O1258" s="87"/>
      <c r="P1258" s="87"/>
      <c r="Q1258" s="87"/>
      <c r="R1258" s="87"/>
      <c r="S1258" s="88">
        <f>MIN($B$8,AVERAGE(T1199:T1200)/(1+I1258+$D$8/10000))+$B$7</f>
        <v>57.66764496469947</v>
      </c>
      <c r="T1258" s="88">
        <f>MIN($B$8,AVERAGE(U1199:U1200)/(1+J1258+$D$8/10000))+$B$7</f>
        <v>62.722827922580393</v>
      </c>
      <c r="U1258" s="88">
        <f t="shared" si="46"/>
        <v>77.470536456816276</v>
      </c>
    </row>
    <row r="1259" spans="1:21" x14ac:dyDescent="0.35">
      <c r="A1259" s="30"/>
      <c r="B1259" s="4"/>
      <c r="C1259" s="4"/>
      <c r="D1259" s="4"/>
      <c r="E1259" s="4"/>
      <c r="F1259" s="4"/>
      <c r="G1259" s="4"/>
      <c r="H1259" s="17"/>
      <c r="I1259" s="9">
        <f>(H1288+$B$4)*EXP(10*$I$22)</f>
        <v>0.36263075188243693</v>
      </c>
      <c r="J1259" s="9">
        <f>(I1288+$B$4)*EXP(10*$J$22)</f>
        <v>0.46816134050644764</v>
      </c>
      <c r="K1259" s="9">
        <f>(J1288+$B$4)*EXP(10*$K$22)</f>
        <v>0.57202033187073253</v>
      </c>
      <c r="L1259" s="87"/>
      <c r="M1259" s="87"/>
      <c r="N1259" s="87"/>
      <c r="O1259" s="87"/>
      <c r="P1259" s="87"/>
      <c r="Q1259" s="87"/>
      <c r="R1259" s="87"/>
      <c r="S1259" s="88">
        <f>MIN($B$8,AVERAGE(T1201:T1202)/(1+I1259+$D$8/10000))+$B$7</f>
        <v>56.865653910747298</v>
      </c>
      <c r="T1259" s="88">
        <f>MIN($B$8,AVERAGE(U1201:U1202)/(1+J1259+$D$8/10000))+$B$7</f>
        <v>62.781502903542275</v>
      </c>
      <c r="U1259" s="88">
        <f t="shared" si="46"/>
        <v>77.503930062546843</v>
      </c>
    </row>
    <row r="1260" spans="1:21" x14ac:dyDescent="0.35">
      <c r="A1260" s="30"/>
      <c r="B1260" s="4"/>
      <c r="C1260" s="4"/>
      <c r="D1260" s="4"/>
      <c r="E1260" s="4"/>
      <c r="F1260" s="4"/>
      <c r="G1260" s="4"/>
      <c r="H1260" s="17"/>
      <c r="I1260" s="8">
        <f>H1288*EXP(10*I$22)</f>
        <v>0.36013111073496495</v>
      </c>
      <c r="J1260" s="8">
        <f>I1288*EXP(10*J$22)</f>
        <v>0.46564162202754922</v>
      </c>
      <c r="K1260" s="8">
        <f>J1288*EXP(10*K$22)</f>
        <v>0.56954556256824529</v>
      </c>
      <c r="L1260" s="87"/>
      <c r="M1260" s="87"/>
      <c r="N1260" s="87"/>
      <c r="O1260" s="87"/>
      <c r="P1260" s="87"/>
      <c r="Q1260" s="87"/>
      <c r="R1260" s="87"/>
      <c r="S1260" s="88">
        <f>MIN($B$8,AVERAGE(T1203:T1204)/(1+I1260+$D$8/10000))+$B$7</f>
        <v>57.226717241660147</v>
      </c>
      <c r="T1260" s="88">
        <f>MIN($B$8,AVERAGE(U1203:U1204)/(1+J1260+$D$8/10000))+$B$7</f>
        <v>63.017272041769459</v>
      </c>
      <c r="U1260" s="88">
        <f t="shared" si="46"/>
        <v>77.632720253303575</v>
      </c>
    </row>
    <row r="1261" spans="1:21" x14ac:dyDescent="0.35">
      <c r="A1261" s="30"/>
      <c r="B1261" s="4"/>
      <c r="C1261" s="4"/>
      <c r="D1261" s="4"/>
      <c r="E1261" s="4"/>
      <c r="F1261" s="4"/>
      <c r="G1261" s="4"/>
      <c r="H1261" s="17"/>
      <c r="I1261" s="9">
        <f>(H1289+$B$4)*EXP(10*$I$22)</f>
        <v>0.36046583398785259</v>
      </c>
      <c r="J1261" s="9">
        <f>(I1289+$B$4)*EXP(10*$J$22)</f>
        <v>0.47229463863432847</v>
      </c>
      <c r="K1261" s="9">
        <f>(J1289+$B$4)*EXP(10*$K$22)</f>
        <v>0.58374382593996976</v>
      </c>
      <c r="L1261" s="87"/>
      <c r="M1261" s="87"/>
      <c r="N1261" s="87"/>
      <c r="O1261" s="87"/>
      <c r="P1261" s="87"/>
      <c r="Q1261" s="87"/>
      <c r="R1261" s="87"/>
      <c r="S1261" s="88">
        <f>MIN($B$8,AVERAGE(T1205:T1206)/(1+I1262+$D$8/10000))+$B$7</f>
        <v>57.288863006099874</v>
      </c>
      <c r="T1261" s="88">
        <f>MIN($B$8,AVERAGE(U1205:U1206)/(1+J1261+$D$8/10000))+$B$7</f>
        <v>62.397861061087845</v>
      </c>
      <c r="U1261" s="88">
        <f t="shared" si="46"/>
        <v>76.899896320208654</v>
      </c>
    </row>
    <row r="1262" spans="1:21" x14ac:dyDescent="0.35">
      <c r="A1262" s="30"/>
      <c r="B1262" s="4"/>
      <c r="C1262" s="4"/>
      <c r="D1262" s="4"/>
      <c r="E1262" s="4"/>
      <c r="F1262" s="4"/>
      <c r="G1262" s="4"/>
      <c r="H1262" s="17"/>
      <c r="I1262" s="8">
        <f>H1289*EXP(10*I$22)</f>
        <v>0.35796619284038061</v>
      </c>
      <c r="J1262" s="8">
        <f>I1289*EXP(10*J$22)</f>
        <v>0.46977492015542999</v>
      </c>
      <c r="K1262" s="8">
        <f>J1289*EXP(10*K$22)</f>
        <v>0.58126905663748263</v>
      </c>
      <c r="L1262" s="87"/>
      <c r="M1262" s="87"/>
      <c r="N1262" s="87"/>
      <c r="O1262" s="87"/>
      <c r="P1262" s="87"/>
      <c r="Q1262" s="87"/>
      <c r="R1262" s="87"/>
      <c r="S1262" s="88">
        <f>MIN($B$8,AVERAGE(T1207:T1208)/(1+I1262+$D$8/10000))+$B$7</f>
        <v>57.542223773410115</v>
      </c>
      <c r="T1262" s="88">
        <f>MIN($B$8,AVERAGE(U1207:U1208)/(1+J1262+$D$8/10000))+$B$7</f>
        <v>62.631277027967883</v>
      </c>
      <c r="U1262" s="88">
        <f t="shared" si="46"/>
        <v>77.026576664186948</v>
      </c>
    </row>
    <row r="1263" spans="1:21" x14ac:dyDescent="0.35">
      <c r="A1263" s="30"/>
      <c r="B1263" s="4"/>
      <c r="C1263" s="4"/>
      <c r="D1263" s="4"/>
      <c r="E1263" s="4"/>
      <c r="F1263" s="4"/>
      <c r="G1263" s="4"/>
      <c r="H1263" s="17"/>
      <c r="I1263" s="9">
        <f>(H1290+$B$4)*EXP(10*$I$22)</f>
        <v>0.36348640889707057</v>
      </c>
      <c r="J1263" s="9">
        <f>(I1290+$B$4)*EXP(10*$J$22)</f>
        <v>0.46914544263937841</v>
      </c>
      <c r="K1263" s="9">
        <f>(J1290+$B$4)*EXP(10*$K$22)</f>
        <v>0.58062596496872598</v>
      </c>
      <c r="L1263" s="87"/>
      <c r="M1263" s="87"/>
      <c r="N1263" s="87"/>
      <c r="O1263" s="87"/>
      <c r="P1263" s="87"/>
      <c r="Q1263" s="87"/>
      <c r="R1263" s="87"/>
      <c r="S1263" s="88">
        <f>MIN($B$8,AVERAGE(T1209:T1210)/(1+I1263+$D$8/10000))+$B$7</f>
        <v>56.742844548762484</v>
      </c>
      <c r="T1263" s="88">
        <f>MIN($B$8,AVERAGE(U1209:U1210)/(1+J1263+$D$8/10000))+$B$7</f>
        <v>62.689812043788834</v>
      </c>
      <c r="U1263" s="88">
        <f t="shared" si="46"/>
        <v>77.059567824124372</v>
      </c>
    </row>
    <row r="1264" spans="1:21" x14ac:dyDescent="0.35">
      <c r="A1264" s="30"/>
      <c r="B1264" s="4"/>
      <c r="C1264" s="4"/>
      <c r="D1264" s="4"/>
      <c r="E1264" s="4"/>
      <c r="F1264" s="4"/>
      <c r="G1264" s="4"/>
      <c r="H1264" s="17"/>
      <c r="I1264" s="8">
        <f>H1290*EXP(10*I$22)</f>
        <v>0.36098676774959859</v>
      </c>
      <c r="J1264" s="8">
        <f>I1290*EXP(10*J$22)</f>
        <v>0.46662572416047993</v>
      </c>
      <c r="K1264" s="8">
        <f>J1290*EXP(10*K$22)</f>
        <v>0.57815119566623874</v>
      </c>
      <c r="L1264" s="87"/>
      <c r="M1264" s="87"/>
      <c r="N1264" s="87"/>
      <c r="O1264" s="87"/>
      <c r="P1264" s="87"/>
      <c r="Q1264" s="87"/>
      <c r="R1264" s="87"/>
      <c r="S1264" s="88">
        <f>MIN($B$8,AVERAGE(T1211:T1212)/(1+I1264+$D$8/10000))+$B$7</f>
        <v>57.102733830925764</v>
      </c>
      <c r="T1264" s="88">
        <f>MIN($B$8,AVERAGE(U1211:U1212)/(1+J1264+$D$8/10000))+$B$7</f>
        <v>62.925018036000168</v>
      </c>
      <c r="U1264" s="88">
        <f t="shared" si="46"/>
        <v>77.186804192065622</v>
      </c>
    </row>
    <row r="1265" spans="1:21" x14ac:dyDescent="0.35">
      <c r="A1265" s="30"/>
      <c r="B1265" s="4"/>
      <c r="C1265" s="4"/>
      <c r="D1265" s="4"/>
      <c r="E1265" s="4"/>
      <c r="F1265" s="4"/>
      <c r="G1265" s="4"/>
      <c r="H1265" s="17"/>
      <c r="I1265" s="9">
        <f>(H1291+$B$4)*EXP(10*$I$22)</f>
        <v>0.3642675295985871</v>
      </c>
      <c r="J1265" s="9">
        <f>(I1291+$B$4)*EXP(10*$J$22)</f>
        <v>0.47610013784215516</v>
      </c>
      <c r="K1265" s="9">
        <f>(J1291+$B$4)*EXP(10*$K$22)</f>
        <v>0.57984705915206092</v>
      </c>
      <c r="L1265" s="87"/>
      <c r="M1265" s="87"/>
      <c r="N1265" s="87"/>
      <c r="O1265" s="87"/>
      <c r="P1265" s="87"/>
      <c r="Q1265" s="87"/>
      <c r="R1265" s="87"/>
      <c r="S1265" s="88">
        <f>MIN($B$8,AVERAGE(T1213:T1214)/(1+I1265+$D$8/10000))+$B$7</f>
        <v>56.63108122947402</v>
      </c>
      <c r="T1265" s="88">
        <f>MIN($B$8,AVERAGE(U1213:U1214)/(1+J1265+$D$8/10000))+$B$7</f>
        <v>62.048022186910146</v>
      </c>
      <c r="U1265" s="88">
        <f t="shared" si="46"/>
        <v>77.099566305885148</v>
      </c>
    </row>
    <row r="1266" spans="1:21" x14ac:dyDescent="0.35">
      <c r="A1266" s="30"/>
      <c r="B1266" s="4"/>
      <c r="C1266" s="4"/>
      <c r="D1266" s="4"/>
      <c r="E1266" s="4"/>
      <c r="F1266" s="4"/>
      <c r="G1266" s="4"/>
      <c r="H1266" s="17"/>
      <c r="I1266" s="8">
        <f>H1291*EXP(10*I$22)</f>
        <v>0.36176788845111513</v>
      </c>
      <c r="J1266" s="8">
        <f>I1291*EXP(10*J$22)</f>
        <v>0.47358041936325668</v>
      </c>
      <c r="K1266" s="8">
        <f>J1291*EXP(10*K$22)</f>
        <v>0.57737228984957367</v>
      </c>
      <c r="L1266" s="87"/>
      <c r="M1266" s="87"/>
      <c r="N1266" s="87"/>
      <c r="O1266" s="87"/>
      <c r="P1266" s="87"/>
      <c r="Q1266" s="87"/>
      <c r="R1266" s="87"/>
      <c r="S1266" s="88">
        <f>MIN($B$8,AVERAGE(T1215:T1216)/(1+I1266+$D$8/10000))+$B$7</f>
        <v>56.989902957458284</v>
      </c>
      <c r="T1266" s="88">
        <f>MIN($B$8,AVERAGE(U1215:U1216)/(1+J1266+$D$8/10000))+$B$7</f>
        <v>62.279299382420149</v>
      </c>
      <c r="U1266" s="88">
        <f t="shared" si="46"/>
        <v>77.226942151550247</v>
      </c>
    </row>
    <row r="1267" spans="1:21" x14ac:dyDescent="0.35">
      <c r="A1267" s="30"/>
      <c r="B1267" s="4"/>
      <c r="C1267" s="4"/>
      <c r="D1267" s="4"/>
      <c r="E1267" s="4"/>
      <c r="F1267" s="4"/>
      <c r="G1267" s="4"/>
      <c r="H1267" s="17"/>
      <c r="I1267" s="9">
        <f>(H1292+$B$4)*EXP(10*$I$22)</f>
        <v>0.36728810450780508</v>
      </c>
      <c r="J1267" s="9">
        <f>(I1292+$B$4)*EXP(10*$J$22)</f>
        <v>0.4729509418472051</v>
      </c>
      <c r="K1267" s="9">
        <f>(J1292+$B$4)*EXP(10*$K$22)</f>
        <v>0.57672919818081703</v>
      </c>
      <c r="L1267" s="87"/>
      <c r="M1267" s="87"/>
      <c r="N1267" s="87"/>
      <c r="O1267" s="87"/>
      <c r="P1267" s="87"/>
      <c r="Q1267" s="87"/>
      <c r="R1267" s="87"/>
      <c r="S1267" s="88">
        <f>MIN($B$8,AVERAGE(T1217:T1218)/(1+I1267+$D$8/10000))+$B$7</f>
        <v>56.201998579598815</v>
      </c>
      <c r="T1267" s="88">
        <f>MIN($B$8,AVERAGE(U1217:U1218)/(1+J1267+$D$8/10000))+$B$7</f>
        <v>62.337297351919446</v>
      </c>
      <c r="U1267" s="88">
        <f t="shared" si="46"/>
        <v>77.260114638887913</v>
      </c>
    </row>
    <row r="1268" spans="1:21" x14ac:dyDescent="0.35">
      <c r="A1268" s="30"/>
      <c r="B1268" s="4"/>
      <c r="C1268" s="4"/>
      <c r="D1268" s="4"/>
      <c r="E1268" s="4"/>
      <c r="F1268" s="4"/>
      <c r="G1268" s="4"/>
      <c r="H1268" s="17"/>
      <c r="I1268" s="8">
        <f>H1292*EXP(10*I$22)</f>
        <v>0.3647884633603331</v>
      </c>
      <c r="J1268" s="8">
        <f>I1292*EXP(10*J$22)</f>
        <v>0.47043122336830667</v>
      </c>
      <c r="K1268" s="8">
        <f>J1292*EXP(10*K$22)</f>
        <v>0.57425442887832989</v>
      </c>
      <c r="L1268" s="87"/>
      <c r="M1268" s="87"/>
      <c r="N1268" s="87"/>
      <c r="O1268" s="87"/>
      <c r="P1268" s="87"/>
      <c r="Q1268" s="87"/>
      <c r="R1268" s="87"/>
      <c r="S1268" s="88">
        <f>MIN($B$8,AVERAGE(T1219:T1220)/(1+I1268+$D$8/10000))+$B$7</f>
        <v>56.55672969114503</v>
      </c>
      <c r="T1268" s="88">
        <f>MIN($B$8,AVERAGE(U1219:U1220)/(1+J1268+$D$8/10000))+$B$7</f>
        <v>62.570342574485707</v>
      </c>
      <c r="U1268" s="88">
        <f t="shared" si="46"/>
        <v>77.388051098884219</v>
      </c>
    </row>
    <row r="1269" spans="1:21" x14ac:dyDescent="0.35">
      <c r="A1269" s="30"/>
      <c r="B1269" s="4"/>
      <c r="C1269" s="4"/>
      <c r="D1269" s="4"/>
      <c r="E1269" s="4"/>
      <c r="F1269" s="4"/>
      <c r="G1269" s="4"/>
      <c r="H1269" s="17"/>
      <c r="I1269" s="9">
        <f>(H1293+$B$4)*EXP(10*$I$22)</f>
        <v>0.36169960753739383</v>
      </c>
      <c r="J1269" s="9">
        <f>(I1293+$B$4)*EXP(10*$J$22)</f>
        <v>0.47337264603001417</v>
      </c>
      <c r="K1269" s="9">
        <f>(J1293+$B$4)*EXP(10*$K$22)</f>
        <v>0.5849615388145144</v>
      </c>
      <c r="L1269" s="87"/>
      <c r="M1269" s="87"/>
      <c r="N1269" s="87"/>
      <c r="O1269" s="87"/>
      <c r="P1269" s="87"/>
      <c r="Q1269" s="87"/>
      <c r="R1269" s="87"/>
      <c r="S1269" s="88">
        <f>MIN($B$8,AVERAGE(T1221:T1222)/(1+I1269+$D$8/10000))+$B$7</f>
        <v>56.999752579896288</v>
      </c>
      <c r="T1269" s="88">
        <f>MIN($B$8,AVERAGE(U1221:U1222)/(1+J1269+$D$8/10000))+$B$7</f>
        <v>62.298433167856437</v>
      </c>
      <c r="U1269" s="88">
        <f t="shared" si="46"/>
        <v>76.837724320299074</v>
      </c>
    </row>
    <row r="1270" spans="1:21" x14ac:dyDescent="0.35">
      <c r="A1270" s="30"/>
      <c r="B1270" s="4"/>
      <c r="C1270" s="4"/>
      <c r="D1270" s="4"/>
      <c r="E1270" s="4"/>
      <c r="F1270" s="4"/>
      <c r="G1270" s="4"/>
      <c r="H1270" s="17"/>
      <c r="I1270" s="8">
        <f>H1293*EXP(10*I$22)</f>
        <v>0.35919996638992185</v>
      </c>
      <c r="J1270" s="8">
        <f>I1293*EXP(10*J$22)</f>
        <v>0.47085292755111574</v>
      </c>
      <c r="K1270" s="8">
        <f>J1293*EXP(10*K$22)</f>
        <v>0.58248676951202716</v>
      </c>
      <c r="L1270" s="87"/>
      <c r="M1270" s="87"/>
      <c r="N1270" s="87"/>
      <c r="O1270" s="87"/>
      <c r="P1270" s="87"/>
      <c r="Q1270" s="87"/>
      <c r="R1270" s="87"/>
      <c r="S1270" s="88">
        <f>MIN($B$8,AVERAGE(T1223:T1224)/(1+I1270+$D$8/10000))+$B$7</f>
        <v>57.362099059076428</v>
      </c>
      <c r="T1270" s="88">
        <f>MIN($B$8,AVERAGE(U1223:U1224)/(1+J1270+$D$8/10000))+$B$7</f>
        <v>62.531240587409243</v>
      </c>
      <c r="U1270" s="88">
        <f t="shared" si="46"/>
        <v>76.964188492684912</v>
      </c>
    </row>
    <row r="1271" spans="1:21" x14ac:dyDescent="0.35">
      <c r="A1271" s="30"/>
      <c r="B1271" s="4"/>
      <c r="C1271" s="4"/>
      <c r="D1271" s="4"/>
      <c r="E1271" s="4"/>
      <c r="F1271" s="4"/>
      <c r="G1271" s="4"/>
      <c r="H1271" s="17"/>
      <c r="I1271" s="9">
        <f>(H1294+$B$4)*EXP(10*$I$22)</f>
        <v>0.36472018244661181</v>
      </c>
      <c r="J1271" s="9">
        <f>(I1294+$B$4)*EXP(10*$J$22)</f>
        <v>0.47022345003506411</v>
      </c>
      <c r="K1271" s="9">
        <f>(J1294+$B$4)*EXP(10*$K$22)</f>
        <v>0.58184367784327051</v>
      </c>
      <c r="L1271" s="87"/>
      <c r="M1271" s="87"/>
      <c r="N1271" s="87"/>
      <c r="O1271" s="87"/>
      <c r="P1271" s="87"/>
      <c r="Q1271" s="87"/>
      <c r="R1271" s="87"/>
      <c r="S1271" s="88">
        <f>MIN($B$8,AVERAGE(T1225:T1226)/(1+I1271+$D$8/10000))+$B$7</f>
        <v>56.566466880862755</v>
      </c>
      <c r="T1271" s="88">
        <f>MIN($B$8,AVERAGE(U1225:U1226)/(1+J1271+$D$8/10000))+$B$7</f>
        <v>62.58962279588367</v>
      </c>
      <c r="U1271" s="88">
        <f t="shared" si="46"/>
        <v>76.997123293878275</v>
      </c>
    </row>
    <row r="1272" spans="1:21" x14ac:dyDescent="0.35">
      <c r="A1272" s="30"/>
      <c r="B1272" s="4"/>
      <c r="C1272" s="4"/>
      <c r="D1272" s="4"/>
      <c r="E1272" s="4"/>
      <c r="F1272" s="4"/>
      <c r="G1272" s="4"/>
      <c r="H1272" s="17"/>
      <c r="I1272" s="8">
        <f>H1294*EXP(10*I$22)</f>
        <v>0.36222054129913983</v>
      </c>
      <c r="J1272" s="8">
        <f>I1294*EXP(10*J$22)</f>
        <v>0.46770373155616568</v>
      </c>
      <c r="K1272" s="8">
        <f>J1294*EXP(10*K$22)</f>
        <v>0.57936890854078338</v>
      </c>
      <c r="L1272" s="87"/>
      <c r="M1272" s="87"/>
      <c r="N1272" s="87"/>
      <c r="O1272" s="87"/>
      <c r="P1272" s="87"/>
      <c r="Q1272" s="87"/>
      <c r="R1272" s="87"/>
      <c r="S1272" s="88">
        <f>MIN($B$8,AVERAGE(T1227:T1228)/(1+I1272+$D$8/10000))+$B$7</f>
        <v>56.924671807452704</v>
      </c>
      <c r="T1272" s="88">
        <f>MIN($B$8,AVERAGE(U1227:U1228)/(1+J1272+$D$8/10000))+$B$7</f>
        <v>62.824213974500793</v>
      </c>
      <c r="U1272" s="88">
        <f t="shared" si="46"/>
        <v>77.124142066049899</v>
      </c>
    </row>
    <row r="1273" spans="1:21" x14ac:dyDescent="0.35">
      <c r="A1273" s="30"/>
      <c r="B1273" s="4"/>
      <c r="C1273" s="4"/>
      <c r="D1273" s="4"/>
      <c r="E1273" s="4"/>
      <c r="F1273" s="4"/>
      <c r="G1273" s="4"/>
      <c r="H1273" s="17"/>
      <c r="I1273" s="9">
        <f>(H1295+$B$4)*EXP(10*$I$22)</f>
        <v>0.36550130314812829</v>
      </c>
      <c r="J1273" s="9">
        <f>(I1295+$B$4)*EXP(10*$J$22)</f>
        <v>0.47717814523784091</v>
      </c>
      <c r="K1273" s="9">
        <f>(J1295+$B$4)*EXP(10*$K$22)</f>
        <v>0.58106477202660534</v>
      </c>
      <c r="L1273" s="87"/>
      <c r="M1273" s="87"/>
      <c r="N1273" s="87"/>
      <c r="O1273" s="87"/>
      <c r="P1273" s="87"/>
      <c r="Q1273" s="87"/>
      <c r="R1273" s="87"/>
      <c r="S1273" s="88">
        <f>MIN($B$8,AVERAGE(T1229:T1230)/(1+I1273+$D$8/10000))+$B$7</f>
        <v>56.455225765026007</v>
      </c>
      <c r="T1273" s="88">
        <f>MIN($B$8,AVERAGE(U1229:U1230)/(1+J1273+$D$8/10000))+$B$7</f>
        <v>61.949503996388017</v>
      </c>
      <c r="U1273" s="88">
        <f t="shared" si="46"/>
        <v>77.037053412202809</v>
      </c>
    </row>
    <row r="1274" spans="1:21" x14ac:dyDescent="0.35">
      <c r="A1274" s="30"/>
      <c r="B1274" s="4"/>
      <c r="C1274" s="4"/>
      <c r="D1274" s="4"/>
      <c r="E1274" s="4"/>
      <c r="F1274" s="4"/>
      <c r="G1274" s="4"/>
      <c r="H1274" s="17"/>
      <c r="I1274" s="8">
        <f>H1295*EXP(10*I$22)</f>
        <v>0.36300166200065631</v>
      </c>
      <c r="J1274" s="8">
        <f>I1295*EXP(10*J$22)</f>
        <v>0.47465842675894243</v>
      </c>
      <c r="K1274" s="8">
        <f>J1295*EXP(10*K$22)</f>
        <v>0.5785900027241182</v>
      </c>
      <c r="L1274" s="87"/>
      <c r="M1274" s="87"/>
      <c r="N1274" s="87"/>
      <c r="O1274" s="87"/>
      <c r="P1274" s="87"/>
      <c r="Q1274" s="87"/>
      <c r="R1274" s="87"/>
      <c r="S1274" s="88">
        <f>MIN($B$8,AVERAGE(T1231:T1232)/(1+I1274+$D$8/10000))+$B$7</f>
        <v>56.812369465903657</v>
      </c>
      <c r="T1274" s="88">
        <f>MIN($B$8,AVERAGE(U1231:U1232)/(1+J1274+$D$8/10000))+$B$7</f>
        <v>62.180180110262057</v>
      </c>
      <c r="U1274" s="88">
        <f t="shared" si="46"/>
        <v>77.164211304357522</v>
      </c>
    </row>
    <row r="1275" spans="1:21" x14ac:dyDescent="0.35">
      <c r="A1275" s="30"/>
      <c r="B1275" s="4"/>
      <c r="C1275" s="4"/>
      <c r="D1275" s="4"/>
      <c r="E1275" s="4"/>
      <c r="F1275" s="4"/>
      <c r="G1275" s="4"/>
      <c r="H1275" s="17"/>
      <c r="I1275" s="9">
        <f>(H1296+$B$4)*EXP(10*$I$22)</f>
        <v>0.36852187805734632</v>
      </c>
      <c r="J1275" s="9">
        <f>(I1296+$B$4)*EXP(10*$J$22)</f>
        <v>0.47402894924289085</v>
      </c>
      <c r="K1275" s="9">
        <f>(J1296+$B$4)*EXP(10*$K$22)</f>
        <v>0.57794691105536156</v>
      </c>
      <c r="L1275" s="87"/>
      <c r="M1275" s="87"/>
      <c r="N1275" s="87"/>
      <c r="O1275" s="87"/>
      <c r="P1275" s="87"/>
      <c r="Q1275" s="87"/>
      <c r="R1275" s="87"/>
      <c r="S1275" s="88">
        <f>MIN($B$8,AVERAGE(T1233:T1234)/(1+I1275+$D$8/10000))+$B$7</f>
        <v>56.028144110264158</v>
      </c>
      <c r="T1275" s="88">
        <f>MIN($B$8,AVERAGE(U1233:U1234)/(1+J1275+$D$8/10000))+$B$7</f>
        <v>62.238027149482065</v>
      </c>
      <c r="U1275" s="88">
        <f t="shared" si="46"/>
        <v>77.197326967871149</v>
      </c>
    </row>
    <row r="1276" spans="1:21" x14ac:dyDescent="0.35">
      <c r="A1276" s="30"/>
      <c r="B1276" s="4"/>
      <c r="C1276" s="4"/>
      <c r="D1276" s="4"/>
      <c r="E1276" s="4"/>
      <c r="F1276" s="4"/>
      <c r="G1276" s="4"/>
      <c r="H1276" s="17"/>
      <c r="I1276" s="8">
        <f>H1296*EXP(10*I$22)</f>
        <v>0.36602223690987434</v>
      </c>
      <c r="J1276" s="8">
        <f>I1296*EXP(10*J$22)</f>
        <v>0.47150923076399237</v>
      </c>
      <c r="K1276" s="8">
        <f>J1296*EXP(10*K$22)</f>
        <v>0.57547214175287431</v>
      </c>
      <c r="L1276" s="87"/>
      <c r="M1276" s="87"/>
      <c r="N1276" s="87"/>
      <c r="O1276" s="87"/>
      <c r="P1276" s="87"/>
      <c r="Q1276" s="87"/>
      <c r="R1276" s="87"/>
      <c r="S1276" s="88">
        <f>MIN($B$8,AVERAGE(T1235:T1236)/(1+I1276+$D$8/10000))+$B$7</f>
        <v>56.381221397787186</v>
      </c>
      <c r="T1276" s="88">
        <f>MIN($B$8,AVERAGE(U1235:U1236)/(1+J1276+$D$8/10000))+$B$7</f>
        <v>62.470465120531884</v>
      </c>
      <c r="U1276" s="88">
        <f t="shared" si="46"/>
        <v>77.325044034488329</v>
      </c>
    </row>
    <row r="1277" spans="1:21" x14ac:dyDescent="0.35">
      <c r="A1277" s="30"/>
      <c r="B1277" s="4"/>
      <c r="C1277" s="4"/>
      <c r="D1277" s="4"/>
      <c r="E1277" s="4"/>
      <c r="F1277" s="4"/>
      <c r="G1277" s="4"/>
      <c r="H1277" s="17"/>
      <c r="I1277" s="9">
        <f>(H1297+$B$4)*EXP(10*$I$22)</f>
        <v>0.36635696016276198</v>
      </c>
      <c r="J1277" s="9">
        <f>(I1297+$B$4)*EXP(10*$J$22)</f>
        <v>0.47816224737077156</v>
      </c>
      <c r="K1277" s="9">
        <f>(J1297+$B$4)*EXP(10*$K$22)</f>
        <v>0.58967040512459901</v>
      </c>
      <c r="L1277" s="87"/>
      <c r="M1277" s="87"/>
      <c r="N1277" s="87"/>
      <c r="O1277" s="87"/>
      <c r="P1277" s="87"/>
      <c r="Q1277" s="87"/>
      <c r="R1277" s="87"/>
      <c r="S1277" s="88">
        <f>MIN($B$8,AVERAGE(T1237:T1238)/(1+I1277+$D$8/10000))+$B$7</f>
        <v>56.333747331231905</v>
      </c>
      <c r="T1277" s="88">
        <f>MIN($B$8,AVERAGE(U1237:U1238)/(1+J1277+$D$8/10000))+$B$7</f>
        <v>61.859790981307178</v>
      </c>
      <c r="U1277" s="88">
        <f t="shared" si="46"/>
        <v>76.598301330952211</v>
      </c>
    </row>
    <row r="1278" spans="1:21" x14ac:dyDescent="0.35">
      <c r="A1278" s="30"/>
      <c r="B1278" s="4"/>
      <c r="C1278" s="4"/>
      <c r="D1278" s="4"/>
      <c r="E1278" s="4"/>
      <c r="F1278" s="4"/>
      <c r="G1278" s="4"/>
      <c r="H1278" s="17"/>
      <c r="I1278" s="8">
        <f>H1297*EXP(10*I$22)</f>
        <v>0.36385731901529</v>
      </c>
      <c r="J1278" s="8">
        <f>I1297*EXP(10*J$22)</f>
        <v>0.47564252889187308</v>
      </c>
      <c r="K1278" s="8">
        <f>J1297*EXP(10*K$22)</f>
        <v>0.58719563582211176</v>
      </c>
      <c r="L1278" s="87"/>
      <c r="M1278" s="87"/>
      <c r="N1278" s="87"/>
      <c r="O1278" s="87"/>
      <c r="P1278" s="87"/>
      <c r="Q1278" s="87"/>
      <c r="R1278" s="87"/>
      <c r="S1278" s="88">
        <f>MIN($B$8,AVERAGE(T1239:T1240)/(1+I1278+$D$8/10000))+$B$7</f>
        <v>56.689733112634975</v>
      </c>
      <c r="T1278" s="88">
        <f>MIN($B$8,AVERAGE(U1239:U1240)/(1+J1278+$D$8/10000))+$B$7</f>
        <v>62.089920202306089</v>
      </c>
      <c r="U1278" s="88">
        <f t="shared" si="46"/>
        <v>76.723934758569868</v>
      </c>
    </row>
    <row r="1279" spans="1:21" x14ac:dyDescent="0.35">
      <c r="A1279" s="30"/>
      <c r="B1279" s="4"/>
      <c r="C1279" s="4"/>
      <c r="D1279" s="4"/>
      <c r="E1279" s="4"/>
      <c r="F1279" s="4"/>
      <c r="G1279" s="4"/>
      <c r="H1279" s="17"/>
      <c r="I1279" s="9">
        <f>(H1298+$B$4)*EXP(10*$I$22)</f>
        <v>0.36937753507197996</v>
      </c>
      <c r="J1279" s="9">
        <f>(I1298+$B$4)*EXP(10*$J$22)</f>
        <v>0.4750130513758215</v>
      </c>
      <c r="K1279" s="9">
        <f>(J1298+$B$4)*EXP(10*$K$22)</f>
        <v>0.58655254415335512</v>
      </c>
      <c r="L1279" s="87"/>
      <c r="M1279" s="87"/>
      <c r="N1279" s="87"/>
      <c r="O1279" s="87"/>
      <c r="P1279" s="87"/>
      <c r="Q1279" s="87"/>
      <c r="R1279" s="87"/>
      <c r="S1279" s="88">
        <f>MIN($B$8,AVERAGE(T1241:T1242)/(1+I1279+$D$8/10000))+$B$7</f>
        <v>55.908046478654349</v>
      </c>
      <c r="T1279" s="88">
        <f>MIN($B$8,AVERAGE(U1241:U1242)/(1+J1279+$D$8/10000))+$B$7</f>
        <v>62.147629918519513</v>
      </c>
      <c r="U1279" s="88">
        <f t="shared" si="46"/>
        <v>76.756652975274747</v>
      </c>
    </row>
    <row r="1280" spans="1:21" x14ac:dyDescent="0.35">
      <c r="A1280" s="30"/>
      <c r="B1280" s="4"/>
      <c r="C1280" s="4"/>
      <c r="D1280" s="4"/>
      <c r="E1280" s="4"/>
      <c r="F1280" s="4"/>
      <c r="G1280" s="4"/>
      <c r="H1280" s="17"/>
      <c r="I1280" s="8">
        <f>H1298*EXP(10*I$22)</f>
        <v>0.36687789392450798</v>
      </c>
      <c r="J1280" s="8">
        <f>I1298*EXP(10*J$22)</f>
        <v>0.47249333289692308</v>
      </c>
      <c r="K1280" s="8">
        <f>J1298*EXP(10*K$22)</f>
        <v>0.58407777485086787</v>
      </c>
      <c r="L1280" s="87"/>
      <c r="M1280" s="87"/>
      <c r="N1280" s="87"/>
      <c r="O1280" s="87"/>
      <c r="P1280" s="87"/>
      <c r="Q1280" s="87"/>
      <c r="R1280" s="87"/>
      <c r="S1280" s="88">
        <f>MIN($B$8,AVERAGE(T1243:T1244)/(1+I1280+$D$8/10000))+$B$7</f>
        <v>56.259982530589426</v>
      </c>
      <c r="T1280" s="88">
        <f>MIN($B$8,AVERAGE(U1243:U1244)/(1+J1280+$D$8/10000))+$B$7</f>
        <v>62.37951538783215</v>
      </c>
      <c r="U1280" s="88">
        <f t="shared" si="46"/>
        <v>76.882835540963768</v>
      </c>
    </row>
    <row r="1281" spans="1:21" x14ac:dyDescent="0.35">
      <c r="A1281" s="30"/>
      <c r="B1281" s="4"/>
      <c r="C1281" s="4"/>
      <c r="D1281" s="4"/>
      <c r="E1281" s="4"/>
      <c r="F1281" s="4"/>
      <c r="G1281" s="4"/>
      <c r="H1281" s="17"/>
      <c r="I1281" s="9">
        <f>(H1299+$B$4)*EXP(10*$I$22)</f>
        <v>0.37015865577349644</v>
      </c>
      <c r="J1281" s="9">
        <f>(I1299+$B$4)*EXP(10*$J$22)</f>
        <v>0.48196774657859837</v>
      </c>
      <c r="K1281" s="9">
        <f>(J1299+$B$4)*EXP(10*$K$22)</f>
        <v>0.58577363833668994</v>
      </c>
      <c r="L1281" s="87"/>
      <c r="M1281" s="87"/>
      <c r="N1281" s="87"/>
      <c r="O1281" s="87"/>
      <c r="P1281" s="87"/>
      <c r="Q1281" s="87"/>
      <c r="R1281" s="87"/>
      <c r="S1281" s="88">
        <f>MIN($B$8,AVERAGE(T1245:T1246)/(1+I1281+$D$8/10000))+$B$7</f>
        <v>55.798748957396093</v>
      </c>
      <c r="T1281" s="88">
        <f>MIN($B$8,AVERAGE(U1245:U1246)/(1+J1281+$D$8/10000))+$B$7</f>
        <v>61.514865483019477</v>
      </c>
      <c r="U1281" s="88">
        <f t="shared" si="46"/>
        <v>76.796320376355624</v>
      </c>
    </row>
    <row r="1282" spans="1:21" x14ac:dyDescent="0.35">
      <c r="A1282" s="30"/>
      <c r="B1282" s="4"/>
      <c r="C1282" s="4"/>
      <c r="D1282" s="4"/>
      <c r="E1282" s="4"/>
      <c r="F1282" s="4"/>
      <c r="G1282" s="4"/>
      <c r="H1282" s="17"/>
      <c r="I1282" s="8">
        <f>H1299*EXP(10*I$22)</f>
        <v>0.36765901462602446</v>
      </c>
      <c r="J1282" s="8">
        <f>I1299*EXP(10*J$22)</f>
        <v>0.47944802809969989</v>
      </c>
      <c r="K1282" s="8">
        <f>J1299*EXP(10*K$22)</f>
        <v>0.58329886903420269</v>
      </c>
      <c r="L1282" s="87"/>
      <c r="M1282" s="87"/>
      <c r="N1282" s="87"/>
      <c r="O1282" s="87"/>
      <c r="P1282" s="87"/>
      <c r="Q1282" s="87"/>
      <c r="R1282" s="87"/>
      <c r="S1282" s="88">
        <f>MIN($B$8,AVERAGE(T1247:T1248)/(1+I1282+$D$8/10000))+$B$7</f>
        <v>56.14964726772785</v>
      </c>
      <c r="T1282" s="88">
        <f>MIN($B$8,AVERAGE(U1247:U1248)/(1+J1282+$D$8/10000))+$B$7</f>
        <v>61.742896176033632</v>
      </c>
      <c r="U1282" s="88">
        <f t="shared" si="46"/>
        <v>76.922640690108807</v>
      </c>
    </row>
    <row r="1283" spans="1:21" x14ac:dyDescent="0.35">
      <c r="A1283" s="30"/>
      <c r="B1283" s="4"/>
      <c r="C1283" s="4"/>
      <c r="D1283" s="4"/>
      <c r="E1283" s="4"/>
      <c r="F1283" s="4"/>
      <c r="G1283" s="4"/>
      <c r="H1283" s="17"/>
      <c r="I1283" s="9">
        <f>(H1300+$B$4)*EXP(10*$I$22)</f>
        <v>0.37317923068271441</v>
      </c>
      <c r="J1283" s="9">
        <f>(I1300+$B$4)*EXP(10*$J$22)</f>
        <v>0.47881855058364836</v>
      </c>
      <c r="K1283" s="9">
        <f>(J1300+$B$4)*EXP(10*$K$22)</f>
        <v>0.58265577736544605</v>
      </c>
      <c r="L1283" s="87"/>
      <c r="M1283" s="87"/>
      <c r="N1283" s="87"/>
      <c r="O1283" s="87"/>
      <c r="P1283" s="87"/>
      <c r="Q1283" s="87"/>
      <c r="R1283" s="87"/>
      <c r="S1283" s="88">
        <f>MIN($B$8,AVERAGE(T1249:T1250)/(1+I1283+$D$8/10000))+$B$7</f>
        <v>55.379115027488993</v>
      </c>
      <c r="T1283" s="88">
        <f>MIN($B$8,AVERAGE(U1249:U1250)/(1+J1283+$D$8/10000))+$B$7</f>
        <v>61.800078964022688</v>
      </c>
      <c r="U1283" s="88">
        <f t="shared" si="46"/>
        <v>76.955537985574196</v>
      </c>
    </row>
    <row r="1284" spans="1:21" x14ac:dyDescent="0.35">
      <c r="A1284" s="30"/>
      <c r="B1284" s="4"/>
      <c r="C1284" s="4"/>
      <c r="D1284" s="4"/>
      <c r="E1284" s="4"/>
      <c r="F1284" s="4"/>
      <c r="G1284" s="4"/>
      <c r="H1284" s="17"/>
      <c r="I1284" s="8">
        <f>H1300*EXP(10*I$22)</f>
        <v>0.37067958953524244</v>
      </c>
      <c r="J1284" s="8">
        <f>I1300*EXP(10*J$22)</f>
        <v>0.47629883210474994</v>
      </c>
      <c r="K1284" s="8">
        <f>J1300*EXP(10*K$22)</f>
        <v>0.58018100806295891</v>
      </c>
      <c r="L1284" s="87"/>
      <c r="M1284" s="87"/>
      <c r="N1284" s="87"/>
      <c r="O1284" s="87"/>
      <c r="P1284" s="87"/>
      <c r="Q1284" s="87"/>
      <c r="R1284" s="87"/>
      <c r="S1284" s="88">
        <f>MIN($B$8,AVERAGE(T1251:T1252)/(1+I1284+$D$8/10000))+$B$7</f>
        <v>55.726036741848823</v>
      </c>
      <c r="T1284" s="88">
        <f>MIN($B$8,AVERAGE(U1251:U1252)/(1+J1284+$D$8/10000))+$B$7</f>
        <v>62.02984442561484</v>
      </c>
      <c r="U1284" s="88">
        <f t="shared" si="46"/>
        <v>77.082411952023875</v>
      </c>
    </row>
    <row r="1285" spans="1:21" x14ac:dyDescent="0.35">
      <c r="A1285" s="30"/>
      <c r="B1285" s="4"/>
      <c r="C1285" s="4"/>
      <c r="D1285" s="4"/>
      <c r="E1285" s="4"/>
      <c r="F1285" s="4"/>
      <c r="G1285" s="4"/>
      <c r="H1285" s="8">
        <f>G1301*EXP(2*$H$22)</f>
        <v>0.24296139827564819</v>
      </c>
      <c r="I1285" s="9">
        <f>(H1301+$B$4)*EXP(10*$I$22)</f>
        <v>0.36907719867018529</v>
      </c>
      <c r="J1285" s="9">
        <f>(I1301+$B$4)*EXP(10*$J$22)</f>
        <v>0.46595065628779347</v>
      </c>
      <c r="K1285" s="9">
        <f>(J1301+$B$4)*EXP(10*$K$22)</f>
        <v>0.57770104982453663</v>
      </c>
      <c r="L1285" s="87"/>
      <c r="M1285" s="87"/>
      <c r="N1285" s="87"/>
      <c r="O1285" s="87"/>
      <c r="P1285" s="87"/>
      <c r="Q1285" s="87"/>
      <c r="R1285" s="88">
        <f>MIN($B$8,AVERAGE(S1253:S1254)/(1+H1285+$D$8/10000))+$B$7</f>
        <v>64.937200467945701</v>
      </c>
      <c r="S1285" s="88">
        <f>MIN($B$8,AVERAGE(T1253:T1254)/(1+I1285+$D$8/10000))+$B$7</f>
        <v>55.95015663749269</v>
      </c>
      <c r="T1285" s="88">
        <f>MIN($B$8,AVERAGE(U1253:U1254)/(1+J1285+$D$8/10000))+$B$7</f>
        <v>62.988278037215707</v>
      </c>
      <c r="U1285" s="88">
        <f t="shared" si="46"/>
        <v>77.209995383789959</v>
      </c>
    </row>
    <row r="1286" spans="1:21" x14ac:dyDescent="0.35">
      <c r="A1286" s="30"/>
      <c r="B1286" s="4"/>
      <c r="C1286" s="4"/>
      <c r="D1286" s="4"/>
      <c r="E1286" s="4"/>
      <c r="F1286" s="4"/>
      <c r="G1286" s="4"/>
      <c r="H1286" s="9">
        <f>(G1301+$B$4)*EXP(10*$H$22)</f>
        <v>0.28510445628134029</v>
      </c>
      <c r="I1286" s="8">
        <f>H1301*EXP(10*I$22)</f>
        <v>0.36657755752271332</v>
      </c>
      <c r="J1286" s="8">
        <f>I1301*EXP(10*J$22)</f>
        <v>0.46343093780889499</v>
      </c>
      <c r="K1286" s="8">
        <f>J1301*EXP(10*K$22)</f>
        <v>0.57522628052204949</v>
      </c>
      <c r="L1286" s="87"/>
      <c r="M1286" s="87"/>
      <c r="N1286" s="87"/>
      <c r="O1286" s="87"/>
      <c r="P1286" s="87"/>
      <c r="Q1286" s="87"/>
      <c r="R1286" s="88">
        <f>MIN($B$8,AVERAGE(S1255:S1256)/(1+H1286+$D$8/10000))+$B$7</f>
        <v>55.064392404920852</v>
      </c>
      <c r="S1286" s="88">
        <f>MIN($B$8,AVERAGE(T1255:T1256)/(1+I1286+$D$8/10000))+$B$7</f>
        <v>56.302492730704401</v>
      </c>
      <c r="T1286" s="88">
        <f>MIN($B$8,AVERAGE(U1255:U1256)/(1+J1286+$D$8/10000))+$B$7</f>
        <v>63.225318837243883</v>
      </c>
      <c r="U1286" s="88">
        <f t="shared" si="46"/>
        <v>77.337756701339117</v>
      </c>
    </row>
    <row r="1287" spans="1:21" x14ac:dyDescent="0.35">
      <c r="A1287" s="30"/>
      <c r="B1287" s="4"/>
      <c r="C1287" s="4"/>
      <c r="D1287" s="4"/>
      <c r="E1287" s="4"/>
      <c r="F1287" s="4"/>
      <c r="G1287" s="4"/>
      <c r="H1287" s="8">
        <f>G1302*EXP(10*$H$22)</f>
        <v>0.28572944255371502</v>
      </c>
      <c r="I1287" s="9">
        <f>(H1302+$B$4)*EXP(10*$I$22)</f>
        <v>0.37209777357940321</v>
      </c>
      <c r="J1287" s="9">
        <f>(I1302+$B$4)*EXP(10*$J$22)</f>
        <v>0.46280146029284341</v>
      </c>
      <c r="K1287" s="9">
        <f>(J1302+$B$4)*EXP(10*$K$22)</f>
        <v>0.57458318885329285</v>
      </c>
      <c r="L1287" s="87"/>
      <c r="M1287" s="87"/>
      <c r="N1287" s="87"/>
      <c r="O1287" s="87"/>
      <c r="P1287" s="87"/>
      <c r="Q1287" s="87"/>
      <c r="R1287" s="88">
        <f>MIN($B$8,AVERAGE(S1257:S1258)/(1+H1287+$D$8/10000))+$B$7</f>
        <v>54.934830684507119</v>
      </c>
      <c r="S1287" s="88">
        <f>MIN($B$8,AVERAGE(T1257:T1258)/(1+I1287+$D$8/10000))+$B$7</f>
        <v>55.528808088429955</v>
      </c>
      <c r="T1287" s="88">
        <f>MIN($B$8,AVERAGE(U1257:U1258)/(1+J1287+$D$8/10000))+$B$7</f>
        <v>63.284764069658856</v>
      </c>
      <c r="U1287" s="88">
        <f t="shared" si="46"/>
        <v>77.371029687502471</v>
      </c>
    </row>
    <row r="1288" spans="1:21" x14ac:dyDescent="0.35">
      <c r="A1288" s="30"/>
      <c r="B1288" s="4"/>
      <c r="C1288" s="4"/>
      <c r="D1288" s="4"/>
      <c r="E1288" s="4"/>
      <c r="F1288" s="4"/>
      <c r="G1288" s="4"/>
      <c r="H1288" s="9">
        <f>(G1302+$B$4)*EXP(10*$H$22)</f>
        <v>0.28814624939198685</v>
      </c>
      <c r="I1288" s="8">
        <f>H1302*EXP(10*I$22)</f>
        <v>0.36959813243193124</v>
      </c>
      <c r="J1288" s="8">
        <f>I1302*EXP(10*J$22)</f>
        <v>0.46028174181394493</v>
      </c>
      <c r="K1288" s="8">
        <f>J1302*EXP(10*K$22)</f>
        <v>0.5721084195508056</v>
      </c>
      <c r="L1288" s="87"/>
      <c r="M1288" s="87"/>
      <c r="N1288" s="87"/>
      <c r="O1288" s="87"/>
      <c r="P1288" s="87"/>
      <c r="Q1288" s="87"/>
      <c r="R1288" s="88">
        <f>MIN($B$8,AVERAGE(S1259:S1260)/(1+H1288+$D$8/10000))+$B$7</f>
        <v>54.437989380674843</v>
      </c>
      <c r="S1288" s="88">
        <f>MIN($B$8,AVERAGE(T1259:T1260)/(1+I1288+$D$8/10000))+$B$7</f>
        <v>55.877146945292665</v>
      </c>
      <c r="T1288" s="88">
        <f>MIN($B$8,AVERAGE(U1259:U1260)/(1+J1288+$D$8/10000))+$B$7</f>
        <v>63.523632336133495</v>
      </c>
      <c r="U1288" s="88">
        <f t="shared" si="46"/>
        <v>77.499354168960039</v>
      </c>
    </row>
    <row r="1289" spans="1:21" x14ac:dyDescent="0.35">
      <c r="A1289" s="30"/>
      <c r="B1289" s="4"/>
      <c r="C1289" s="4"/>
      <c r="D1289" s="4"/>
      <c r="E1289" s="4"/>
      <c r="F1289" s="4"/>
      <c r="G1289" s="4"/>
      <c r="H1289" s="8">
        <f>G1303*EXP(10*$H$22)</f>
        <v>0.28641406643702644</v>
      </c>
      <c r="I1289" s="9">
        <f>(H1303+$B$4)*EXP(10*$I$22)</f>
        <v>0.3728788942809198</v>
      </c>
      <c r="J1289" s="9">
        <f>(I1303+$B$4)*EXP(10*$J$22)</f>
        <v>0.46975615549562016</v>
      </c>
      <c r="K1289" s="9">
        <f>(J1303+$B$4)*EXP(10*$K$22)</f>
        <v>0.57380428303662767</v>
      </c>
      <c r="L1289" s="87"/>
      <c r="M1289" s="87"/>
      <c r="N1289" s="87"/>
      <c r="O1289" s="87"/>
      <c r="P1289" s="87"/>
      <c r="Q1289" s="87"/>
      <c r="R1289" s="88">
        <f>MIN($B$8,AVERAGE(S1261:S1262)/(1+H1289+$D$8/10000))+$B$7</f>
        <v>54.842427601856826</v>
      </c>
      <c r="S1289" s="88">
        <f>MIN($B$8,AVERAGE(T1261:T1262)/(1+I1289+$D$8/10000))+$B$7</f>
        <v>55.420625869870449</v>
      </c>
      <c r="T1289" s="88">
        <f>MIN($B$8,AVERAGE(U1261:U1262)/(1+J1289+$D$8/10000))+$B$7</f>
        <v>62.633020658603364</v>
      </c>
      <c r="U1289" s="88">
        <f t="shared" si="46"/>
        <v>77.411370027185782</v>
      </c>
    </row>
    <row r="1290" spans="1:21" x14ac:dyDescent="0.35">
      <c r="A1290" s="30"/>
      <c r="B1290" s="4"/>
      <c r="C1290" s="4"/>
      <c r="D1290" s="4"/>
      <c r="E1290" s="4"/>
      <c r="F1290" s="4"/>
      <c r="G1290" s="4"/>
      <c r="H1290" s="9">
        <f>(G1303+$B$4)*EXP(10*$H$22)</f>
        <v>0.28883087327529827</v>
      </c>
      <c r="I1290" s="8">
        <f>H1303*EXP(10*I$22)</f>
        <v>0.37037925313344783</v>
      </c>
      <c r="J1290" s="8">
        <f>I1303*EXP(10*J$22)</f>
        <v>0.46723643701672168</v>
      </c>
      <c r="K1290" s="8">
        <f>J1303*EXP(10*K$22)</f>
        <v>0.57132951373414043</v>
      </c>
      <c r="L1290" s="87"/>
      <c r="M1290" s="87"/>
      <c r="N1290" s="87"/>
      <c r="O1290" s="87"/>
      <c r="P1290" s="87"/>
      <c r="Q1290" s="87"/>
      <c r="R1290" s="88">
        <f>MIN($B$8,AVERAGE(S1263:S1264)/(1+H1290+$D$8/10000))+$B$7</f>
        <v>54.298440633965164</v>
      </c>
      <c r="S1290" s="88">
        <f>MIN($B$8,AVERAGE(T1263:T1264)/(1+I1290+$D$8/10000))+$B$7</f>
        <v>55.76794041099334</v>
      </c>
      <c r="T1290" s="88">
        <f>MIN($B$8,AVERAGE(U1263:U1264)/(1+J1290+$D$8/10000))+$B$7</f>
        <v>62.867878081504777</v>
      </c>
      <c r="U1290" s="88">
        <f t="shared" si="46"/>
        <v>77.539835779883646</v>
      </c>
    </row>
    <row r="1291" spans="1:21" x14ac:dyDescent="0.35">
      <c r="A1291" s="30"/>
      <c r="B1291" s="4"/>
      <c r="C1291" s="4"/>
      <c r="D1291" s="4"/>
      <c r="E1291" s="4"/>
      <c r="F1291" s="4"/>
      <c r="G1291" s="4"/>
      <c r="H1291" s="8">
        <f>G1304*EXP(10*$H$22)</f>
        <v>0.28945585954767306</v>
      </c>
      <c r="I1291" s="9">
        <f>(H1304+$B$4)*EXP(10*$I$22)</f>
        <v>0.37589946919013772</v>
      </c>
      <c r="J1291" s="9">
        <f>(I1304+$B$4)*EXP(10*$J$22)</f>
        <v>0.46660695950067022</v>
      </c>
      <c r="K1291" s="9">
        <f>(J1304+$B$4)*EXP(10*$K$22)</f>
        <v>0.57068642206538378</v>
      </c>
      <c r="L1291" s="87"/>
      <c r="M1291" s="87"/>
      <c r="N1291" s="87"/>
      <c r="O1291" s="87"/>
      <c r="P1291" s="87"/>
      <c r="Q1291" s="87"/>
      <c r="R1291" s="88">
        <f>MIN($B$8,AVERAGE(S1265:S1266)/(1+H1291+$D$8/10000))+$B$7</f>
        <v>54.171504619845102</v>
      </c>
      <c r="S1291" s="88">
        <f>MIN($B$8,AVERAGE(T1265:T1266)/(1+I1291+$D$8/10000))+$B$7</f>
        <v>55.00526584898158</v>
      </c>
      <c r="T1291" s="88">
        <f>MIN($B$8,AVERAGE(U1265:U1266)/(1+J1291+$D$8/10000))+$B$7</f>
        <v>62.926775052339678</v>
      </c>
      <c r="U1291" s="88">
        <f t="shared" si="46"/>
        <v>77.573292425103844</v>
      </c>
    </row>
    <row r="1292" spans="1:21" x14ac:dyDescent="0.35">
      <c r="A1292" s="30"/>
      <c r="B1292" s="4"/>
      <c r="C1292" s="4"/>
      <c r="D1292" s="4"/>
      <c r="E1292" s="4"/>
      <c r="F1292" s="4"/>
      <c r="G1292" s="4"/>
      <c r="H1292" s="9">
        <f>(G1304+$B$4)*EXP(10*$H$22)</f>
        <v>0.29187266638594489</v>
      </c>
      <c r="I1292" s="8">
        <f>H1304*EXP(10*I$22)</f>
        <v>0.37339982804266575</v>
      </c>
      <c r="J1292" s="8">
        <f>I1304*EXP(10*J$22)</f>
        <v>0.46408724102177173</v>
      </c>
      <c r="K1292" s="8">
        <f>J1304*EXP(10*K$22)</f>
        <v>0.56821165276289654</v>
      </c>
      <c r="L1292" s="87"/>
      <c r="M1292" s="87"/>
      <c r="N1292" s="87"/>
      <c r="O1292" s="87"/>
      <c r="P1292" s="87"/>
      <c r="Q1292" s="87"/>
      <c r="R1292" s="88">
        <f>MIN($B$8,AVERAGE(S1267:S1268)/(1+H1292+$D$8/10000))+$B$7</f>
        <v>53.68471337641266</v>
      </c>
      <c r="S1292" s="88">
        <f>MIN($B$8,AVERAGE(T1267:T1268)/(1+I1292+$D$8/10000))+$B$7</f>
        <v>55.34865514481195</v>
      </c>
      <c r="T1292" s="88">
        <f>MIN($B$8,AVERAGE(U1267:U1268)/(1+J1292+$D$8/10000))+$B$7</f>
        <v>63.163437365735497</v>
      </c>
      <c r="U1292" s="88">
        <f t="shared" si="46"/>
        <v>77.702326010949193</v>
      </c>
    </row>
    <row r="1293" spans="1:21" x14ac:dyDescent="0.35">
      <c r="A1293" s="30"/>
      <c r="B1293" s="4"/>
      <c r="C1293" s="4"/>
      <c r="D1293" s="4"/>
      <c r="E1293" s="4"/>
      <c r="F1293" s="4"/>
      <c r="G1293" s="4"/>
      <c r="H1293" s="8">
        <f>G1305*EXP(10*$H$22)</f>
        <v>0.28740122697468123</v>
      </c>
      <c r="I1293" s="9">
        <f>(H1305+$B$4)*EXP(10*$I$22)</f>
        <v>0.37373455129555344</v>
      </c>
      <c r="J1293" s="9">
        <f>(I1305+$B$4)*EXP(10*$J$22)</f>
        <v>0.47074025762855093</v>
      </c>
      <c r="K1293" s="9">
        <f>(J1305+$B$4)*EXP(10*$K$22)</f>
        <v>0.58240991613462134</v>
      </c>
      <c r="L1293" s="87"/>
      <c r="M1293" s="87"/>
      <c r="N1293" s="87"/>
      <c r="O1293" s="87"/>
      <c r="P1293" s="87"/>
      <c r="Q1293" s="87"/>
      <c r="R1293" s="88">
        <f>MIN($B$8,AVERAGE(S1269:S1270)/(1+H1293+$D$8/10000))+$B$7</f>
        <v>54.5904463060062</v>
      </c>
      <c r="S1293" s="88">
        <f>MIN($B$8,AVERAGE(T1269:T1270)/(1+I1293+$D$8/10000))+$B$7</f>
        <v>55.302485110028336</v>
      </c>
      <c r="T1293" s="88">
        <f>MIN($B$8,AVERAGE(U1269:U1270)/(1+J1293+$D$8/10000))+$B$7</f>
        <v>62.541683851738952</v>
      </c>
      <c r="U1293" s="88">
        <f t="shared" si="46"/>
        <v>76.968122838669771</v>
      </c>
    </row>
    <row r="1294" spans="1:21" x14ac:dyDescent="0.35">
      <c r="A1294" s="30"/>
      <c r="B1294" s="4"/>
      <c r="C1294" s="4"/>
      <c r="D1294" s="4"/>
      <c r="E1294" s="4"/>
      <c r="F1294" s="4"/>
      <c r="G1294" s="4"/>
      <c r="H1294" s="9">
        <f>(G1305+$B$4)*EXP(10*$H$22)</f>
        <v>0.28981803381295307</v>
      </c>
      <c r="I1294" s="8">
        <f>H1305*EXP(10*I$22)</f>
        <v>0.37123491014808147</v>
      </c>
      <c r="J1294" s="8">
        <f>I1305*EXP(10*J$22)</f>
        <v>0.46822053914965245</v>
      </c>
      <c r="K1294" s="8">
        <f>J1305*EXP(10*K$22)</f>
        <v>0.5799351468321341</v>
      </c>
      <c r="L1294" s="87"/>
      <c r="M1294" s="87"/>
      <c r="N1294" s="87"/>
      <c r="O1294" s="87"/>
      <c r="P1294" s="87"/>
      <c r="Q1294" s="87"/>
      <c r="R1294" s="88">
        <f>MIN($B$8,AVERAGE(S1271:S1272)/(1+H1294+$D$8/10000))+$B$7</f>
        <v>54.098144988020977</v>
      </c>
      <c r="S1294" s="88">
        <f>MIN($B$8,AVERAGE(T1271:T1272)/(1+I1294+$D$8/10000))+$B$7</f>
        <v>55.648681972255609</v>
      </c>
      <c r="T1294" s="88">
        <f>MIN($B$8,AVERAGE(U1271:U1272)/(1+J1294+$D$8/10000))+$B$7</f>
        <v>62.775981047002361</v>
      </c>
      <c r="U1294" s="88">
        <f t="shared" si="46"/>
        <v>77.095040618566273</v>
      </c>
    </row>
    <row r="1295" spans="1:21" x14ac:dyDescent="0.35">
      <c r="A1295" s="30"/>
      <c r="B1295" s="4"/>
      <c r="C1295" s="4"/>
      <c r="D1295" s="4"/>
      <c r="E1295" s="4"/>
      <c r="F1295" s="4"/>
      <c r="G1295" s="4"/>
      <c r="H1295" s="8">
        <f>G1306*EXP(10*$H$22)</f>
        <v>0.2904430200853278</v>
      </c>
      <c r="I1295" s="9">
        <f>(H1306+$B$4)*EXP(10*$I$22)</f>
        <v>0.37675512620477136</v>
      </c>
      <c r="J1295" s="9">
        <f>(I1306+$B$4)*EXP(10*$J$22)</f>
        <v>0.46759106163360087</v>
      </c>
      <c r="K1295" s="9">
        <f>(J1306+$B$4)*EXP(10*$K$22)</f>
        <v>0.57929205516337745</v>
      </c>
      <c r="L1295" s="87"/>
      <c r="M1295" s="87"/>
      <c r="N1295" s="87"/>
      <c r="O1295" s="87"/>
      <c r="P1295" s="87"/>
      <c r="Q1295" s="87"/>
      <c r="R1295" s="88">
        <f>MIN($B$8,AVERAGE(S1273:S1274)/(1+H1295+$D$8/10000))+$B$7</f>
        <v>53.971893564940103</v>
      </c>
      <c r="S1295" s="88">
        <f>MIN($B$8,AVERAGE(T1273:T1274)/(1+I1295+$D$8/10000))+$B$7</f>
        <v>54.888458035018004</v>
      </c>
      <c r="T1295" s="88">
        <f>MIN($B$8,AVERAGE(U1273:U1274)/(1+J1295+$D$8/10000))+$B$7</f>
        <v>62.834737342113534</v>
      </c>
      <c r="U1295" s="88">
        <f t="shared" si="46"/>
        <v>77.128093681315747</v>
      </c>
    </row>
    <row r="1296" spans="1:21" x14ac:dyDescent="0.35">
      <c r="A1296" s="30"/>
      <c r="B1296" s="4"/>
      <c r="C1296" s="4"/>
      <c r="D1296" s="4"/>
      <c r="E1296" s="4"/>
      <c r="F1296" s="4"/>
      <c r="G1296" s="4"/>
      <c r="H1296" s="9">
        <f>(G1306+$B$4)*EXP(10*$H$22)</f>
        <v>0.29285982692359969</v>
      </c>
      <c r="I1296" s="8">
        <f>H1306*EXP(10*I$22)</f>
        <v>0.37425548505729939</v>
      </c>
      <c r="J1296" s="8">
        <f>I1306*EXP(10*J$22)</f>
        <v>0.46507134315470239</v>
      </c>
      <c r="K1296" s="8">
        <f>J1306*EXP(10*K$22)</f>
        <v>0.57681728586089021</v>
      </c>
      <c r="L1296" s="87"/>
      <c r="M1296" s="87"/>
      <c r="N1296" s="87"/>
      <c r="O1296" s="87"/>
      <c r="P1296" s="87"/>
      <c r="Q1296" s="87"/>
      <c r="R1296" s="88">
        <f>MIN($B$8,AVERAGE(S1275:S1276)/(1+H1296+$D$8/10000))+$B$7</f>
        <v>53.487722715066582</v>
      </c>
      <c r="S1296" s="88">
        <f>MIN($B$8,AVERAGE(T1275:T1276)/(1+I1296+$D$8/10000))+$B$7</f>
        <v>55.230745638418277</v>
      </c>
      <c r="T1296" s="88">
        <f>MIN($B$8,AVERAGE(U1275:U1276)/(1+J1296+$D$8/10000))+$B$7</f>
        <v>63.070833646735899</v>
      </c>
      <c r="U1296" s="88">
        <f t="shared" si="46"/>
        <v>77.255569050852628</v>
      </c>
    </row>
    <row r="1297" spans="1:21" x14ac:dyDescent="0.35">
      <c r="A1297" s="30"/>
      <c r="B1297" s="4"/>
      <c r="C1297" s="4"/>
      <c r="D1297" s="4"/>
      <c r="E1297" s="4"/>
      <c r="F1297" s="4"/>
      <c r="G1297" s="4"/>
      <c r="H1297" s="8">
        <f>G1307*EXP(10*$H$22)</f>
        <v>0.29112764396863927</v>
      </c>
      <c r="I1297" s="9">
        <f>(H1307+$B$4)*EXP(10*$I$22)</f>
        <v>0.3775362469062879</v>
      </c>
      <c r="J1297" s="9">
        <f>(I1307+$B$4)*EXP(10*$J$22)</f>
        <v>0.47454575683637773</v>
      </c>
      <c r="K1297" s="9">
        <f>(J1307+$B$4)*EXP(10*$K$22)</f>
        <v>0.57851314934671227</v>
      </c>
      <c r="L1297" s="87"/>
      <c r="M1297" s="87"/>
      <c r="N1297" s="87"/>
      <c r="O1297" s="87"/>
      <c r="P1297" s="87"/>
      <c r="Q1297" s="87"/>
      <c r="R1297" s="88">
        <f>MIN($B$8,AVERAGE(S1277:S1278)/(1+H1297+$D$8/10000))+$B$7</f>
        <v>53.834089623114131</v>
      </c>
      <c r="S1297" s="88">
        <f>MIN($B$8,AVERAGE(T1277:T1278)/(1+I1297+$D$8/10000))+$B$7</f>
        <v>54.782152048886985</v>
      </c>
      <c r="T1297" s="88">
        <f>MIN($B$8,AVERAGE(U1277:U1278)/(1+J1297+$D$8/10000))+$B$7</f>
        <v>62.19052766520258</v>
      </c>
      <c r="U1297" s="88">
        <f t="shared" si="46"/>
        <v>77.168167251595648</v>
      </c>
    </row>
    <row r="1298" spans="1:21" x14ac:dyDescent="0.35">
      <c r="A1298" s="30"/>
      <c r="B1298" s="4"/>
      <c r="C1298" s="4"/>
      <c r="D1298" s="4"/>
      <c r="E1298" s="4"/>
      <c r="F1298" s="4"/>
      <c r="G1298" s="4"/>
      <c r="H1298" s="9">
        <f>(G1307+$B$4)*EXP(10*$H$22)</f>
        <v>0.29354445080691111</v>
      </c>
      <c r="I1298" s="8">
        <f>H1307*EXP(10*I$22)</f>
        <v>0.37503660575881592</v>
      </c>
      <c r="J1298" s="8">
        <f>I1307*EXP(10*J$22)</f>
        <v>0.47202603835747925</v>
      </c>
      <c r="K1298" s="8">
        <f>J1307*EXP(10*K$22)</f>
        <v>0.57603838004422503</v>
      </c>
      <c r="L1298" s="87"/>
      <c r="M1298" s="87"/>
      <c r="N1298" s="87"/>
      <c r="O1298" s="87"/>
      <c r="P1298" s="87"/>
      <c r="Q1298" s="87"/>
      <c r="R1298" s="88">
        <f>MIN($B$8,AVERAGE(S1279:S1280)/(1+H1298+$D$8/10000))+$B$7</f>
        <v>53.351725917247386</v>
      </c>
      <c r="S1298" s="88">
        <f>MIN($B$8,AVERAGE(T1279:T1280)/(1+I1298+$D$8/10000))+$B$7</f>
        <v>55.123437838965124</v>
      </c>
      <c r="T1298" s="88">
        <f>MIN($B$8,AVERAGE(U1279:U1280)/(1+J1298+$D$8/10000))+$B$7</f>
        <v>62.422675266464196</v>
      </c>
      <c r="U1298" s="88">
        <f t="shared" si="46"/>
        <v>77.295782492142649</v>
      </c>
    </row>
    <row r="1299" spans="1:21" x14ac:dyDescent="0.35">
      <c r="A1299" s="30"/>
      <c r="B1299" s="4"/>
      <c r="C1299" s="4"/>
      <c r="D1299" s="4"/>
      <c r="E1299" s="4"/>
      <c r="F1299" s="4"/>
      <c r="G1299" s="4"/>
      <c r="H1299" s="8">
        <f>G1308*EXP(10*$H$22)</f>
        <v>0.29416943707928583</v>
      </c>
      <c r="I1299" s="9">
        <f>(H1308+$B$4)*EXP(10*$I$22)</f>
        <v>0.38055682181550587</v>
      </c>
      <c r="J1299" s="9">
        <f>(I1308+$B$4)*EXP(10*$J$22)</f>
        <v>0.47139656084142767</v>
      </c>
      <c r="K1299" s="9">
        <f>(J1308+$B$4)*EXP(10*$K$22)</f>
        <v>0.57539528837546838</v>
      </c>
      <c r="L1299" s="87"/>
      <c r="M1299" s="87"/>
      <c r="N1299" s="87"/>
      <c r="O1299" s="87"/>
      <c r="P1299" s="87"/>
      <c r="Q1299" s="87"/>
      <c r="R1299" s="88">
        <f>MIN($B$8,AVERAGE(S1281:S1282)/(1+H1299+$D$8/10000))+$B$7</f>
        <v>53.22801820871134</v>
      </c>
      <c r="S1299" s="88">
        <f>MIN($B$8,AVERAGE(T1281:T1282)/(1+I1299+$D$8/10000))+$B$7</f>
        <v>54.373982105502883</v>
      </c>
      <c r="T1299" s="88">
        <f>MIN($B$8,AVERAGE(U1281:U1282)/(1+J1299+$D$8/10000))+$B$7</f>
        <v>62.480891794146217</v>
      </c>
      <c r="U1299" s="88">
        <f t="shared" si="46"/>
        <v>77.3290173935832</v>
      </c>
    </row>
    <row r="1300" spans="1:21" x14ac:dyDescent="0.35">
      <c r="A1300" s="30"/>
      <c r="B1300" s="4"/>
      <c r="C1300" s="4"/>
      <c r="D1300" s="4"/>
      <c r="E1300" s="4"/>
      <c r="F1300" s="4"/>
      <c r="G1300" s="4"/>
      <c r="H1300" s="9">
        <f>(G1308+$B$4)*EXP(10*$H$22)</f>
        <v>0.29658624391755767</v>
      </c>
      <c r="I1300" s="8">
        <f>H1308*EXP(10*I$22)</f>
        <v>0.37805718066803395</v>
      </c>
      <c r="J1300" s="8">
        <f>I1308*EXP(10*J$22)</f>
        <v>0.46887684236252919</v>
      </c>
      <c r="K1300" s="8">
        <f>J1308*EXP(10*K$22)</f>
        <v>0.57292051907298125</v>
      </c>
      <c r="L1300" s="87"/>
      <c r="M1300" s="87"/>
      <c r="N1300" s="87"/>
      <c r="O1300" s="87"/>
      <c r="P1300" s="87"/>
      <c r="Q1300" s="87"/>
      <c r="R1300" s="88">
        <f>MIN($B$8,AVERAGE(S1283:S1284)/(1+H1300+$D$8/10000))+$B$7</f>
        <v>52.753584160172693</v>
      </c>
      <c r="S1300" s="88">
        <f>MIN($B$8,AVERAGE(T1283:T1284)/(1+I1300+$D$8/10000))+$B$7</f>
        <v>54.711428720050122</v>
      </c>
      <c r="T1300" s="88">
        <f>MIN($B$8,AVERAGE(U1283:U1284)/(1+J1300+$D$8/10000))+$B$7</f>
        <v>62.714816366611991</v>
      </c>
      <c r="U1300" s="88">
        <f t="shared" si="46"/>
        <v>77.457194831404991</v>
      </c>
    </row>
    <row r="1301" spans="1:21" x14ac:dyDescent="0.35">
      <c r="A1301" s="30"/>
      <c r="B1301" s="4"/>
      <c r="C1301" s="4"/>
      <c r="D1301" s="4"/>
      <c r="E1301" s="4"/>
      <c r="F1301" s="4"/>
      <c r="G1301" s="8">
        <f>F1309*EXP(10*$G$22)</f>
        <v>0.23393483084085065</v>
      </c>
      <c r="H1301" s="8">
        <f>G1309*EXP(10*$H$22)</f>
        <v>0.2933041471920515</v>
      </c>
      <c r="I1301" s="9">
        <f>(H1309+$B$4)*EXP(10*$I$22)</f>
        <v>0.36784342512064411</v>
      </c>
      <c r="J1301" s="9">
        <f>(I1309+$B$4)*EXP(10*$J$22)</f>
        <v>0.46487264889210766</v>
      </c>
      <c r="K1301" s="9">
        <f>(J1309+$B$4)*EXP(10*$K$22)</f>
        <v>0.5764833369499921</v>
      </c>
      <c r="L1301" s="89"/>
      <c r="M1301" s="87"/>
      <c r="N1301" s="87"/>
      <c r="O1301" s="87"/>
      <c r="P1301" s="87"/>
      <c r="Q1301" s="88">
        <f>MIN($B$8,AVERAGE(R1285:R1286)/(1+G1301+$D$8/10000))+$B$7</f>
        <v>59.721143440246379</v>
      </c>
      <c r="R1301" s="88">
        <f>MIN($B$8,AVERAGE(S1285:S1286)/(1+H1301+$D$8/10000))+$B$7</f>
        <v>53.399403095739792</v>
      </c>
      <c r="S1301" s="88">
        <f>MIN($B$8,AVERAGE(T1285:T1286)/(1+I1301+$D$8/10000))+$B$7</f>
        <v>56.123646378945033</v>
      </c>
      <c r="T1301" s="88">
        <f>MIN($B$8,AVERAGE(U1285:U1286)/(1+J1301+$D$8/10000))+$B$7</f>
        <v>63.089512839570808</v>
      </c>
      <c r="U1301" s="88">
        <f t="shared" si="46"/>
        <v>77.272804799601658</v>
      </c>
    </row>
    <row r="1302" spans="1:21" x14ac:dyDescent="0.35">
      <c r="A1302" s="30"/>
      <c r="B1302" s="4"/>
      <c r="C1302" s="4"/>
      <c r="D1302" s="4"/>
      <c r="E1302" s="4"/>
      <c r="F1302" s="4"/>
      <c r="G1302" s="9">
        <f>(F1309+$B$4)*EXP(10*$G$22)</f>
        <v>0.23645203086070962</v>
      </c>
      <c r="H1302" s="9">
        <f>(G1309+$B$4)*EXP(10*$H$22)</f>
        <v>0.29572095403032334</v>
      </c>
      <c r="I1302" s="8">
        <f>H1309*EXP(10*I$22)</f>
        <v>0.36534378397317213</v>
      </c>
      <c r="J1302" s="8">
        <f>I1309*EXP(10*J$22)</f>
        <v>0.46235293041320918</v>
      </c>
      <c r="K1302" s="8">
        <f>J1309*EXP(10*K$22)</f>
        <v>0.57400856764750485</v>
      </c>
      <c r="L1302" s="89"/>
      <c r="M1302" s="87"/>
      <c r="N1302" s="87"/>
      <c r="O1302" s="87"/>
      <c r="P1302" s="87"/>
      <c r="Q1302" s="88">
        <f>MIN($B$8,AVERAGE(R1287:R1288)/(1+G1302+$D$8/10000))+$B$7</f>
        <v>54.667371246912367</v>
      </c>
      <c r="R1302" s="88">
        <f>MIN($B$8,AVERAGE(S1287:S1288)/(1+H1302+$D$8/10000))+$B$7</f>
        <v>52.922729729835716</v>
      </c>
      <c r="S1302" s="88">
        <f>MIN($B$8,AVERAGE(T1287:T1288)/(1+I1302+$D$8/10000))+$B$7</f>
        <v>56.477631892589002</v>
      </c>
      <c r="T1302" s="88">
        <f>MIN($B$8,AVERAGE(U1287:U1288)/(1+J1302+$D$8/10000))+$B$7</f>
        <v>63.327177085156421</v>
      </c>
      <c r="U1302" s="88">
        <f t="shared" si="46"/>
        <v>77.40078562461072</v>
      </c>
    </row>
    <row r="1303" spans="1:21" x14ac:dyDescent="0.35">
      <c r="A1303" s="30"/>
      <c r="B1303" s="4"/>
      <c r="C1303" s="4"/>
      <c r="D1303" s="4"/>
      <c r="E1303" s="4"/>
      <c r="F1303" s="4"/>
      <c r="G1303" s="8">
        <f>F1310*EXP(10*$G$22)</f>
        <v>0.23701858328225189</v>
      </c>
      <c r="H1303" s="8">
        <f>G1310*EXP(10*$H$22)</f>
        <v>0.29634594030269812</v>
      </c>
      <c r="I1303" s="9">
        <f>(H1310+$B$4)*EXP(10*$I$22)</f>
        <v>0.37086400002986203</v>
      </c>
      <c r="J1303" s="9">
        <f>(I1310+$B$4)*EXP(10*$J$22)</f>
        <v>0.4617234528971576</v>
      </c>
      <c r="K1303" s="9">
        <f>(J1310+$B$4)*EXP(10*$K$22)</f>
        <v>0.57336547597874832</v>
      </c>
      <c r="L1303" s="89"/>
      <c r="M1303" s="87"/>
      <c r="N1303" s="87"/>
      <c r="O1303" s="87"/>
      <c r="P1303" s="87"/>
      <c r="Q1303" s="88">
        <f>MIN($B$8,AVERAGE(R1289:R1290)/(1+G1303+$D$8/10000))+$B$7</f>
        <v>54.533392946935017</v>
      </c>
      <c r="R1303" s="88">
        <f>MIN($B$8,AVERAGE(S1289:S1290)/(1+H1303+$D$8/10000))+$B$7</f>
        <v>52.800478621866972</v>
      </c>
      <c r="S1303" s="88">
        <f>MIN($B$8,AVERAGE(T1289:T1290)/(1+I1303+$D$8/10000))+$B$7</f>
        <v>55.700330853803386</v>
      </c>
      <c r="T1303" s="88">
        <f>MIN($B$8,AVERAGE(U1289:U1290)/(1+J1303+$D$8/10000))+$B$7</f>
        <v>63.386778870828948</v>
      </c>
      <c r="U1303" s="88">
        <f t="shared" si="46"/>
        <v>77.434115840182926</v>
      </c>
    </row>
    <row r="1304" spans="1:21" x14ac:dyDescent="0.35">
      <c r="A1304" s="30"/>
      <c r="B1304" s="4"/>
      <c r="C1304" s="4"/>
      <c r="D1304" s="4"/>
      <c r="E1304" s="4"/>
      <c r="F1304" s="4"/>
      <c r="G1304" s="9">
        <f>(F1310+$B$4)*EXP(10*$G$22)</f>
        <v>0.23953578330211087</v>
      </c>
      <c r="H1304" s="9">
        <f>(G1310+$B$4)*EXP(10*$H$22)</f>
        <v>0.29876274714096995</v>
      </c>
      <c r="I1304" s="8">
        <f>H1310*EXP(10*I$22)</f>
        <v>0.36836435888239011</v>
      </c>
      <c r="J1304" s="8">
        <f>I1310*EXP(10*J$22)</f>
        <v>0.45920373441825912</v>
      </c>
      <c r="K1304" s="8">
        <f>J1310*EXP(10*K$22)</f>
        <v>0.57089070667626107</v>
      </c>
      <c r="L1304" s="89"/>
      <c r="M1304" s="87"/>
      <c r="N1304" s="87"/>
      <c r="O1304" s="87"/>
      <c r="P1304" s="87"/>
      <c r="Q1304" s="88">
        <f>MIN($B$8,AVERAGE(R1291:R1292)/(1+G1304+$D$8/10000))+$B$7</f>
        <v>53.822450905250733</v>
      </c>
      <c r="R1304" s="88">
        <f>MIN($B$8,AVERAGE(S1291:S1292)/(1+H1304+$D$8/10000))+$B$7</f>
        <v>52.33162033506688</v>
      </c>
      <c r="S1304" s="88">
        <f>MIN($B$8,AVERAGE(T1291:T1292)/(1+I1304+$D$8/10000))+$B$7</f>
        <v>56.05029542524661</v>
      </c>
      <c r="T1304" s="88">
        <f>MIN($B$8,AVERAGE(U1291:U1292)/(1+J1304+$D$8/10000))+$B$7</f>
        <v>63.626277042377758</v>
      </c>
      <c r="U1304" s="88">
        <f t="shared" si="46"/>
        <v>77.562661282688424</v>
      </c>
    </row>
    <row r="1305" spans="1:21" x14ac:dyDescent="0.35">
      <c r="A1305" s="30"/>
      <c r="B1305" s="4"/>
      <c r="C1305" s="4"/>
      <c r="D1305" s="4"/>
      <c r="E1305" s="4"/>
      <c r="F1305" s="4"/>
      <c r="G1305" s="8">
        <f>F1311*EXP(10*$G$22)</f>
        <v>0.23783549634458059</v>
      </c>
      <c r="H1305" s="8">
        <f>G1311*EXP(10*$H$22)</f>
        <v>0.29703056418600954</v>
      </c>
      <c r="I1305" s="9">
        <f>(H1311+$B$4)*EXP(10*$I$22)</f>
        <v>0.37164512073137862</v>
      </c>
      <c r="J1305" s="9">
        <f>(I1311+$B$4)*EXP(10*$J$22)</f>
        <v>0.46867814809993452</v>
      </c>
      <c r="K1305" s="9">
        <f>(J1311+$B$4)*EXP(10*$K$22)</f>
        <v>0.57258657016208325</v>
      </c>
      <c r="L1305" s="89"/>
      <c r="M1305" s="87"/>
      <c r="N1305" s="87"/>
      <c r="O1305" s="87"/>
      <c r="P1305" s="87"/>
      <c r="Q1305" s="88">
        <f>MIN($B$8,AVERAGE(R1293:R1294)/(1+G1305+$D$8/10000))+$B$7</f>
        <v>54.285943608901597</v>
      </c>
      <c r="R1305" s="88">
        <f>MIN($B$8,AVERAGE(S1293:S1294)/(1+H1305+$D$8/10000))+$B$7</f>
        <v>52.6670375330119</v>
      </c>
      <c r="S1305" s="88">
        <f>MIN($B$8,AVERAGE(T1293:T1294)/(1+I1305+$D$8/10000))+$B$7</f>
        <v>55.59164458293251</v>
      </c>
      <c r="T1305" s="88">
        <f>MIN($B$8,AVERAGE(U1293:U1294)/(1+J1305+$D$8/10000))+$B$7</f>
        <v>62.73332354608192</v>
      </c>
      <c r="U1305" s="88">
        <f t="shared" si="46"/>
        <v>77.474525599956081</v>
      </c>
    </row>
    <row r="1306" spans="1:21" x14ac:dyDescent="0.35">
      <c r="A1306" s="30"/>
      <c r="B1306" s="4"/>
      <c r="C1306" s="4"/>
      <c r="D1306" s="4"/>
      <c r="E1306" s="4"/>
      <c r="F1306" s="4"/>
      <c r="G1306" s="9">
        <f>(F1311+$B$4)*EXP(10*$G$22)</f>
        <v>0.24035269636443954</v>
      </c>
      <c r="H1306" s="9">
        <f>(G1311+$B$4)*EXP(10*$H$22)</f>
        <v>0.29944737102428137</v>
      </c>
      <c r="I1306" s="8">
        <f>H1311*EXP(10*I$22)</f>
        <v>0.36914547958390664</v>
      </c>
      <c r="J1306" s="8">
        <f>I1311*EXP(10*J$22)</f>
        <v>0.46615842962103604</v>
      </c>
      <c r="K1306" s="8">
        <f>J1311*EXP(10*K$22)</f>
        <v>0.57011180085959601</v>
      </c>
      <c r="L1306" s="89"/>
      <c r="M1306" s="87"/>
      <c r="N1306" s="87"/>
      <c r="O1306" s="87"/>
      <c r="P1306" s="87"/>
      <c r="Q1306" s="88">
        <f>MIN($B$8,AVERAGE(R1295:R1296)/(1+G1306+$D$8/10000))+$B$7</f>
        <v>53.601811631471278</v>
      </c>
      <c r="R1306" s="88">
        <f>MIN($B$8,AVERAGE(S1295:S1296)/(1+H1306+$D$8/10000))+$B$7</f>
        <v>52.199916444716123</v>
      </c>
      <c r="S1306" s="88">
        <f>MIN($B$8,AVERAGE(T1295:T1296)/(1+I1306+$D$8/10000))+$B$7</f>
        <v>55.940578775476403</v>
      </c>
      <c r="T1306" s="88">
        <f>MIN($B$8,AVERAGE(U1295:U1296)/(1+J1306+$D$8/10000))+$B$7</f>
        <v>62.968796719282274</v>
      </c>
      <c r="U1306" s="88">
        <f t="shared" si="46"/>
        <v>77.603212678840578</v>
      </c>
    </row>
    <row r="1307" spans="1:21" x14ac:dyDescent="0.35">
      <c r="A1307" s="30"/>
      <c r="B1307" s="4"/>
      <c r="C1307" s="4"/>
      <c r="D1307" s="4"/>
      <c r="E1307" s="4"/>
      <c r="F1307" s="4"/>
      <c r="G1307" s="8">
        <f>F1312*EXP(10*$G$22)</f>
        <v>0.24091924878598184</v>
      </c>
      <c r="H1307" s="8">
        <f>G1312*EXP(10*$H$22)</f>
        <v>0.3000723572966561</v>
      </c>
      <c r="I1307" s="9">
        <f>(H1312+$B$4)*EXP(10*$I$22)</f>
        <v>0.3746656956405966</v>
      </c>
      <c r="J1307" s="9">
        <f>(I1312+$B$4)*EXP(10*$J$22)</f>
        <v>0.46552895210498446</v>
      </c>
      <c r="K1307" s="9">
        <f>(J1312+$B$4)*EXP(10*$K$22)</f>
        <v>0.56946870919083936</v>
      </c>
      <c r="L1307" s="89"/>
      <c r="M1307" s="87"/>
      <c r="N1307" s="87"/>
      <c r="O1307" s="87"/>
      <c r="P1307" s="87"/>
      <c r="Q1307" s="88">
        <f>MIN($B$8,AVERAGE(R1297:R1298)/(1+G1307+$D$8/10000))+$B$7</f>
        <v>53.449565799082642</v>
      </c>
      <c r="R1307" s="88">
        <f>MIN($B$8,AVERAGE(S1297:S1298)/(1+H1307+$D$8/10000))+$B$7</f>
        <v>52.080110596218624</v>
      </c>
      <c r="S1307" s="88">
        <f>MIN($B$8,AVERAGE(T1297:T1298)/(1+I1307+$D$8/10000))+$B$7</f>
        <v>55.174352989339894</v>
      </c>
      <c r="T1307" s="88">
        <f>MIN($B$8,AVERAGE(U1297:U1298)/(1+J1307+$D$8/10000))+$B$7</f>
        <v>63.027848308512041</v>
      </c>
      <c r="U1307" s="88">
        <f t="shared" si="46"/>
        <v>77.6367270281673</v>
      </c>
    </row>
    <row r="1308" spans="1:21" x14ac:dyDescent="0.35">
      <c r="A1308" s="30"/>
      <c r="B1308" s="4"/>
      <c r="C1308" s="4"/>
      <c r="D1308" s="4"/>
      <c r="E1308" s="4"/>
      <c r="F1308" s="4"/>
      <c r="G1308" s="9">
        <f>(F1312+$B$4)*EXP(10*$G$22)</f>
        <v>0.24343644880584078</v>
      </c>
      <c r="H1308" s="9">
        <f>(G1312+$B$4)*EXP(10*$H$22)</f>
        <v>0.30248916413492799</v>
      </c>
      <c r="I1308" s="8">
        <f>H1312*EXP(10*I$22)</f>
        <v>0.37216605449312462</v>
      </c>
      <c r="J1308" s="8">
        <f>I1312*EXP(10*J$22)</f>
        <v>0.46300923362608598</v>
      </c>
      <c r="K1308" s="8">
        <f>J1312*EXP(10*K$22)</f>
        <v>0.56699393988835212</v>
      </c>
      <c r="L1308" s="90"/>
      <c r="M1308" s="87"/>
      <c r="N1308" s="87"/>
      <c r="O1308" s="87"/>
      <c r="P1308" s="87"/>
      <c r="Q1308" s="88">
        <f>MIN($B$8,AVERAGE(R1299:R1300)/(1+G1308+$D$8/10000))+$B$7</f>
        <v>52.780711228119799</v>
      </c>
      <c r="R1308" s="88">
        <f>MIN($B$8,AVERAGE(S1299:S1300)/(1+H1308+$D$8/10000))+$B$7</f>
        <v>51.620612922734821</v>
      </c>
      <c r="S1308" s="88">
        <f>MIN($B$8,AVERAGE(T1299:T1300)/(1+I1308+$D$8/10000))+$B$7</f>
        <v>55.51933874628353</v>
      </c>
      <c r="T1308" s="88">
        <f>MIN($B$8,AVERAGE(U1299:U1300)/(1+J1308+$D$8/10000))+$B$7</f>
        <v>63.265132731756232</v>
      </c>
      <c r="U1308" s="88">
        <f t="shared" si="46"/>
        <v>77.765983409885507</v>
      </c>
    </row>
    <row r="1309" spans="1:21" x14ac:dyDescent="0.35">
      <c r="A1309" s="30"/>
      <c r="B1309" s="4"/>
      <c r="C1309" s="4"/>
      <c r="D1309" s="4"/>
      <c r="E1309" s="4"/>
      <c r="F1309" s="8">
        <f>E1313*EXP(10*$F$22)</f>
        <v>0.18586908389898912</v>
      </c>
      <c r="G1309" s="8">
        <f>F1313*EXP(10*$G$22)</f>
        <v>0.24272038836316753</v>
      </c>
      <c r="H1309" s="8">
        <f>G1313*EXP(10*$H$22)</f>
        <v>0.29231698665439676</v>
      </c>
      <c r="I1309" s="9">
        <f>(H1313+$B$4)*EXP(10*$I$22)</f>
        <v>0.36698776810601041</v>
      </c>
      <c r="J1309" s="9">
        <f>(I1313+$B$4)*EXP(10*$J$22)</f>
        <v>0.46388854675917696</v>
      </c>
      <c r="K1309" s="9">
        <f>(J1313+$B$4)*EXP(10*$K$22)</f>
        <v>0.57177447063990772</v>
      </c>
      <c r="L1309" s="87"/>
      <c r="M1309" s="87"/>
      <c r="N1309" s="87"/>
      <c r="O1309" s="87"/>
      <c r="P1309" s="88">
        <f>MIN($B$8,AVERAGE(Q1301:Q1302)/(1+F1309+$D$8/10000))+$B$7</f>
        <v>59.596465847111936</v>
      </c>
      <c r="Q1309" s="88">
        <f>MIN($B$8,AVERAGE(R1301:R1302)/(1+G1309+$D$8/10000))+$B$7</f>
        <v>52.969728345645173</v>
      </c>
      <c r="R1309" s="88">
        <f>MIN($B$8,AVERAGE(S1301:S1302)/(1+H1309+$D$8/10000))+$B$7</f>
        <v>53.595916617838675</v>
      </c>
      <c r="S1309" s="88">
        <f>MIN($B$8,AVERAGE(T1301:T1302)/(1+I1309+$D$8/10000))+$B$7</f>
        <v>56.244442800341766</v>
      </c>
      <c r="T1309" s="88">
        <f>MIN($B$8,AVERAGE(U1301:U1302)/(1+J1309+$D$8/10000))+$B$7</f>
        <v>63.182161390032682</v>
      </c>
      <c r="U1309" s="88">
        <f t="shared" si="46"/>
        <v>77.516704838888671</v>
      </c>
    </row>
    <row r="1310" spans="1:21" x14ac:dyDescent="0.35">
      <c r="A1310" s="30"/>
      <c r="B1310" s="4"/>
      <c r="C1310" s="4"/>
      <c r="D1310" s="4"/>
      <c r="E1310" s="4"/>
      <c r="F1310" s="9">
        <f>(E1313+$B$4)*EXP(10*$F$22)</f>
        <v>0.1883192288354841</v>
      </c>
      <c r="G1310" s="9">
        <f>(F1313+$B$4)*EXP(10*$G$22)</f>
        <v>0.24523758838302651</v>
      </c>
      <c r="H1310" s="9">
        <f>(G1313+$B$4)*EXP(10*$H$22)</f>
        <v>0.29473379349266859</v>
      </c>
      <c r="I1310" s="8">
        <f>H1313*EXP(10*I$22)</f>
        <v>0.36448812695853844</v>
      </c>
      <c r="J1310" s="8">
        <f>I1313*EXP(10*J$22)</f>
        <v>0.46136882828027853</v>
      </c>
      <c r="K1310" s="8">
        <f>J1313*EXP(10*K$22)</f>
        <v>0.56929970133742047</v>
      </c>
      <c r="L1310" s="87"/>
      <c r="M1310" s="87"/>
      <c r="N1310" s="87"/>
      <c r="O1310" s="87"/>
      <c r="P1310" s="88">
        <f>MIN($B$8,AVERAGE(Q1303:Q1304)/(1+F1310+$D$8/10000))+$B$7</f>
        <v>56.539262834693965</v>
      </c>
      <c r="Q1310" s="88">
        <f>MIN($B$8,AVERAGE(R1303:R1304)/(1+G1310+$D$8/10000))+$B$7</f>
        <v>52.309606549644855</v>
      </c>
      <c r="R1310" s="88">
        <f>MIN($B$8,AVERAGE(S1303:S1304)/(1+H1310+$D$8/10000))+$B$7</f>
        <v>53.116672658040933</v>
      </c>
      <c r="S1310" s="88">
        <f>MIN($B$8,AVERAGE(T1303:T1304)/(1+I1310+$D$8/10000))+$B$7</f>
        <v>56.59957798651088</v>
      </c>
      <c r="T1310" s="88">
        <f>MIN($B$8,AVERAGE(U1303:U1304)/(1+J1310+$D$8/10000))+$B$7</f>
        <v>63.420396694999646</v>
      </c>
      <c r="U1310" s="88">
        <f t="shared" si="46"/>
        <v>77.645539839514285</v>
      </c>
    </row>
    <row r="1311" spans="1:21" x14ac:dyDescent="0.35">
      <c r="A1311" s="30"/>
      <c r="B1311" s="4"/>
      <c r="C1311" s="4"/>
      <c r="D1311" s="4"/>
      <c r="E1311" s="4"/>
      <c r="F1311" s="8">
        <f>E1314*EXP(10*$F$22)</f>
        <v>0.18896829371382814</v>
      </c>
      <c r="G1311" s="8">
        <f>F1314*EXP(10*$G$22)</f>
        <v>0.24580414080456878</v>
      </c>
      <c r="H1311" s="8">
        <f>G1314*EXP(10*$H$22)</f>
        <v>0.29535877976504338</v>
      </c>
      <c r="I1311" s="9">
        <f>(H1314+$B$4)*EXP(10*$I$22)</f>
        <v>0.37000834301522845</v>
      </c>
      <c r="J1311" s="9">
        <f>(I1314+$B$4)*EXP(10*$J$22)</f>
        <v>0.46073935076422701</v>
      </c>
      <c r="K1311" s="9">
        <f>(J1314+$B$4)*EXP(10*$K$22)</f>
        <v>0.56865660966866383</v>
      </c>
      <c r="L1311" s="87"/>
      <c r="M1311" s="87"/>
      <c r="N1311" s="87"/>
      <c r="O1311" s="87"/>
      <c r="P1311" s="88">
        <f>MIN($B$8,AVERAGE(Q1305:Q1306)/(1+F1311+$D$8/10000))+$B$7</f>
        <v>56.279391013905645</v>
      </c>
      <c r="Q1311" s="88">
        <f>MIN($B$8,AVERAGE(R1305:R1306)/(1+G1311+$D$8/10000))+$B$7</f>
        <v>52.162691684872591</v>
      </c>
      <c r="R1311" s="88">
        <f>MIN($B$8,AVERAGE(S1305:S1306)/(1+H1311+$D$8/10000))+$B$7</f>
        <v>52.9937635303123</v>
      </c>
      <c r="S1311" s="88">
        <f>MIN($B$8,AVERAGE(T1305:T1306)/(1+I1311+$D$8/10000))+$B$7</f>
        <v>55.819756280282562</v>
      </c>
      <c r="T1311" s="88">
        <f>MIN($B$8,AVERAGE(U1305:U1306)/(1+J1311+$D$8/10000))+$B$7</f>
        <v>63.480141879882957</v>
      </c>
      <c r="U1311" s="88">
        <f t="shared" si="46"/>
        <v>77.679092755050888</v>
      </c>
    </row>
    <row r="1312" spans="1:21" x14ac:dyDescent="0.35">
      <c r="A1312" s="30"/>
      <c r="B1312" s="4"/>
      <c r="C1312" s="4"/>
      <c r="D1312" s="4"/>
      <c r="E1312" s="4"/>
      <c r="F1312" s="9">
        <f>(E1314+$B$4)*EXP(10*$F$22)</f>
        <v>0.19141843865032312</v>
      </c>
      <c r="G1312" s="9">
        <f>(F1314+$B$4)*EXP(10*$G$22)</f>
        <v>0.24832134082442775</v>
      </c>
      <c r="H1312" s="9">
        <f>(G1314+$B$4)*EXP(10*$H$22)</f>
        <v>0.29777558660331521</v>
      </c>
      <c r="I1312" s="8">
        <f>H1314*EXP(10*I$22)</f>
        <v>0.36750870186775647</v>
      </c>
      <c r="J1312" s="8">
        <f>I1314*EXP(10*J$22)</f>
        <v>0.45821963228532853</v>
      </c>
      <c r="K1312" s="8">
        <f>J1314*EXP(10*K$22)</f>
        <v>0.56618184036617658</v>
      </c>
      <c r="L1312" s="87"/>
      <c r="M1312" s="87"/>
      <c r="N1312" s="87"/>
      <c r="O1312" s="87"/>
      <c r="P1312" s="88">
        <f>MIN($B$8,AVERAGE(Q1307:Q1308)/(1+F1312+$D$8/10000))+$B$7</f>
        <v>55.354280419988946</v>
      </c>
      <c r="Q1312" s="88">
        <f>MIN($B$8,AVERAGE(R1307:R1308)/(1+G1312+$D$8/10000))+$B$7</f>
        <v>51.517204196563931</v>
      </c>
      <c r="R1312" s="88">
        <f>MIN($B$8,AVERAGE(S1307:S1308)/(1+H1312+$D$8/10000))+$B$7</f>
        <v>52.522386372989843</v>
      </c>
      <c r="S1312" s="88">
        <f>MIN($B$8,AVERAGE(T1307:T1308)/(1+I1312+$D$8/10000))+$B$7</f>
        <v>56.170853983709137</v>
      </c>
      <c r="T1312" s="88">
        <f>MIN($B$8,AVERAGE(U1307:U1308)/(1+J1312+$D$8/10000))+$B$7</f>
        <v>63.720217032662141</v>
      </c>
      <c r="U1312" s="88">
        <f t="shared" si="46"/>
        <v>77.80849804147239</v>
      </c>
    </row>
    <row r="1313" spans="1:21" x14ac:dyDescent="0.35">
      <c r="A1313" s="30"/>
      <c r="B1313" s="4"/>
      <c r="C1313" s="4"/>
      <c r="D1313" s="4"/>
      <c r="E1313" s="8">
        <f>D1314*EXP(10*$E$22)</f>
        <v>0.15172088894045599</v>
      </c>
      <c r="F1313" s="8">
        <f>E1315*EXP(10*$F$22)</f>
        <v>0.19284950456719582</v>
      </c>
      <c r="G1313" s="8">
        <f>F1315*EXP(10*$G$22)</f>
        <v>0.24190347530083889</v>
      </c>
      <c r="H1313" s="8">
        <f>G1315*EXP(10*$H$22)</f>
        <v>0.29163236277108529</v>
      </c>
      <c r="I1313" s="9">
        <f>(H1315+$B$4)*EXP(10*$I$22)</f>
        <v>0.36620664740449388</v>
      </c>
      <c r="J1313" s="9">
        <f>(I1315+$B$4)*EXP(10*$J$22)</f>
        <v>0.46008304755135027</v>
      </c>
      <c r="K1313" s="9">
        <f>(J1315+$B$4)*EXP(10*$K$22)</f>
        <v>0.56787770385199865</v>
      </c>
      <c r="L1313" s="87"/>
      <c r="M1313" s="87"/>
      <c r="N1313" s="87"/>
      <c r="O1313" s="88">
        <f t="shared" ref="O1313:T1313" si="47">MIN($B$8,AVERAGE(P1309:P1310)/(1+E1313+$D$8/10000))+$B$7</f>
        <v>62.383668085641744</v>
      </c>
      <c r="P1313" s="88">
        <f t="shared" si="47"/>
        <v>54.824250403242097</v>
      </c>
      <c r="Q1313" s="88">
        <f t="shared" si="47"/>
        <v>53.186577523148387</v>
      </c>
      <c r="R1313" s="88">
        <f t="shared" si="47"/>
        <v>53.732827577028935</v>
      </c>
      <c r="S1313" s="88">
        <f t="shared" si="47"/>
        <v>56.355058861159911</v>
      </c>
      <c r="T1313" s="88">
        <f t="shared" si="47"/>
        <v>63.542531087363642</v>
      </c>
      <c r="U1313" s="88">
        <f t="shared" si="46"/>
        <v>77.719772653913623</v>
      </c>
    </row>
    <row r="1314" spans="1:21" x14ac:dyDescent="0.35">
      <c r="A1314" s="30"/>
      <c r="B1314" s="4"/>
      <c r="C1314" s="4"/>
      <c r="D1314" s="8">
        <f>C1316*EXP(10*$D$22)</f>
        <v>0.11994611207608333</v>
      </c>
      <c r="E1314" s="9">
        <f>(D1314+$B$4)*EXP(10*$E$22)</f>
        <v>0.15425070647792177</v>
      </c>
      <c r="F1314" s="9">
        <f>(E1315+$B$4)*EXP(10*$F$22)</f>
        <v>0.1952996495036908</v>
      </c>
      <c r="G1314" s="9">
        <f>(F1315+$B$4)*EXP(10*$G$22)</f>
        <v>0.24442067532069786</v>
      </c>
      <c r="H1314" s="9">
        <f>(G1315+$B$4)*EXP(10*$H$22)</f>
        <v>0.29404916960935717</v>
      </c>
      <c r="I1314" s="8">
        <f>H1315*EXP(10*I$22)</f>
        <v>0.36370700625702196</v>
      </c>
      <c r="J1314" s="8">
        <f>I1315*EXP(10*J$22)</f>
        <v>0.45756332907245179</v>
      </c>
      <c r="K1314" s="8">
        <f>J1315*EXP(10*K$22)</f>
        <v>0.5654029345495114</v>
      </c>
      <c r="L1314" s="87"/>
      <c r="M1314" s="87"/>
      <c r="N1314" s="87"/>
      <c r="O1314" s="88">
        <f>MIN($B$8,AVERAGE(P1311:P1312)/(1+E1314+$D$8/10000))+$B$7</f>
        <v>59.978012846715657</v>
      </c>
      <c r="P1314" s="88">
        <f>MIN($B$8,AVERAGE(Q1311:Q1312)/(1+F1314+$D$8/10000))+$B$7</f>
        <v>53.933985226307627</v>
      </c>
      <c r="Q1314" s="88">
        <f>MIN($B$8,AVERAGE(R1311:R1312)/(1+G1314+$D$8/10000))+$B$7</f>
        <v>52.522512102009891</v>
      </c>
      <c r="R1314" s="88">
        <f>MIN($B$8,AVERAGE(S1311:S1312)/(1+H1063*+$D$8/10000))+$B$7</f>
        <v>59.995305131995849</v>
      </c>
      <c r="S1314" s="88">
        <f>MIN($B$8,AVERAGE(T1311:T1312)/(1+I1314+$D$8/10000))+$B$7</f>
        <v>56.711247708564898</v>
      </c>
      <c r="T1314" s="88">
        <f>MIN($B$8,AVERAGE(U1311:U1312)/(1+J1314+$D$8/10000))+$B$7</f>
        <v>63.782992069046124</v>
      </c>
      <c r="U1314" s="88">
        <f t="shared" si="46"/>
        <v>77.849321000597286</v>
      </c>
    </row>
    <row r="1315" spans="1:21" x14ac:dyDescent="0.35">
      <c r="A1315" s="30"/>
      <c r="B1315" s="4"/>
      <c r="C1315" s="4"/>
      <c r="D1315" s="9">
        <f>(C1316+$B$4)*EXP(10*$D$22)</f>
        <v>0.12245075750846705</v>
      </c>
      <c r="E1315" s="9">
        <f>(D1315+$B$4)*EXP(10*$E$22)</f>
        <v>0.15741885444791073</v>
      </c>
      <c r="F1315" s="9">
        <f>(E1316+$B$4)*EXP(10*$F$22)</f>
        <v>0.19220043968885181</v>
      </c>
      <c r="G1315" s="9">
        <f>(F1316+$B$4)*EXP(10*$G$22)</f>
        <v>0.24133692287929659</v>
      </c>
      <c r="H1315" s="9">
        <f>(G1316+$B$4)*EXP(10*$H$22)</f>
        <v>0.29100737649871056</v>
      </c>
      <c r="I1315" s="9">
        <f>(H1316+$B$4)*EXP(10*$I$22)</f>
        <v>0.36318607249527596</v>
      </c>
      <c r="J1315" s="9">
        <f>(I1316+$B$4)*EXP(10*$J$22)</f>
        <v>0.45693385155640021</v>
      </c>
      <c r="K1315" s="9">
        <f>(J1316+$B$4)*EXP(10*$K$22)</f>
        <v>0.56475984288075476</v>
      </c>
      <c r="L1315" s="81"/>
      <c r="M1315" s="87"/>
      <c r="N1315" s="88">
        <f>MIN($B$8,AVERAGE(O1313:O1314)/(1+D1314+$D$8/10000))+$B$7</f>
        <v>67.543640056310238</v>
      </c>
      <c r="O1315" s="88">
        <f t="shared" ref="O1315:T1315" si="48">MIN($B$8,AVERAGE(P1313:P1314)/(1+E1315+$D$8/10000))+$B$7</f>
        <v>58.363414700634962</v>
      </c>
      <c r="P1315" s="88">
        <f t="shared" si="48"/>
        <v>55.063717777958693</v>
      </c>
      <c r="Q1315" s="88">
        <f t="shared" si="48"/>
        <v>56.447614154224503</v>
      </c>
      <c r="R1315" s="88">
        <f t="shared" si="48"/>
        <v>53.858260211020891</v>
      </c>
      <c r="S1315" s="88">
        <f t="shared" si="48"/>
        <v>56.78590525769625</v>
      </c>
      <c r="T1315" s="88">
        <f t="shared" si="48"/>
        <v>63.843296151273385</v>
      </c>
      <c r="U1315" s="88">
        <f t="shared" si="46"/>
        <v>77.883059901004245</v>
      </c>
    </row>
    <row r="1316" spans="1:21" x14ac:dyDescent="0.35">
      <c r="A1316" s="30"/>
      <c r="B1316" s="4"/>
      <c r="C1316" s="9">
        <f>(B1317+$B$4)*EXP(10*$C$22)</f>
        <v>9.5778915869882505E-2</v>
      </c>
      <c r="D1316" s="4"/>
      <c r="E1316" s="8">
        <f>D1315*EXP(10*$E$22)</f>
        <v>0.15488903691044495</v>
      </c>
      <c r="F1316" s="8">
        <f>E1316*EXP(10*$F$22)</f>
        <v>0.1897502947523568</v>
      </c>
      <c r="G1316" s="8">
        <f>F1316*EXP(10*$G$22)</f>
        <v>0.23881972285943762</v>
      </c>
      <c r="H1316" s="8">
        <f>G1316*EXP(10*$H$22)</f>
        <v>0.28859056966043872</v>
      </c>
      <c r="I1316" s="8">
        <f>H1316*EXP(10*I$22)</f>
        <v>0.36068643134780398</v>
      </c>
      <c r="J1316" s="8">
        <f>I1316*EXP(10*J$22)</f>
        <v>0.45441413307750173</v>
      </c>
      <c r="K1316" s="8">
        <f>J1316*EXP(10*K$22)</f>
        <v>0.56228507357826762</v>
      </c>
      <c r="L1316" s="89"/>
      <c r="M1316" s="88">
        <f t="shared" ref="M1316:T1316" si="49">MIN($B$8,AVERAGE(N1315:N1316)/(1+C1316+$D$8/10000))+$B$7</f>
        <v>79.638838248107774</v>
      </c>
      <c r="N1316" s="88">
        <f t="shared" si="49"/>
        <v>74.452986982177308</v>
      </c>
      <c r="O1316" s="88">
        <f t="shared" si="49"/>
        <v>60.402003574700622</v>
      </c>
      <c r="P1316" s="88">
        <f t="shared" si="49"/>
        <v>57.487499755066843</v>
      </c>
      <c r="Q1316" s="88">
        <f t="shared" si="49"/>
        <v>54.016941371062977</v>
      </c>
      <c r="R1316" s="88">
        <f t="shared" si="49"/>
        <v>54.347362688862802</v>
      </c>
      <c r="S1316" s="88">
        <f t="shared" si="49"/>
        <v>57.146206079986591</v>
      </c>
      <c r="T1316" s="88">
        <f t="shared" si="49"/>
        <v>64.085620107333853</v>
      </c>
      <c r="U1316" s="88">
        <f t="shared" si="46"/>
        <v>78.013183281729198</v>
      </c>
    </row>
    <row r="1317" spans="1:21" x14ac:dyDescent="0.35">
      <c r="A1317" s="30"/>
      <c r="B1317" s="8">
        <f>B1059*EXP(10*B1058)</f>
        <v>7.3765464539439385E-2</v>
      </c>
      <c r="C1317" s="14"/>
      <c r="D1317" s="4"/>
      <c r="E1317" s="4"/>
      <c r="F1317" s="4"/>
      <c r="G1317" s="4"/>
      <c r="H1317" s="15"/>
      <c r="L1317" s="91">
        <f>AVERAGE(M1316:M1318)/(1+F1317+$D$8/10000)</f>
        <v>101.94615805748104</v>
      </c>
      <c r="M1317" s="87"/>
      <c r="N1317" s="87"/>
      <c r="O1317" s="87"/>
      <c r="P1317" s="87"/>
      <c r="Q1317" s="87"/>
      <c r="R1317" s="87"/>
      <c r="S1317" s="87"/>
      <c r="T1317" s="87"/>
      <c r="U1317" s="87"/>
    </row>
    <row r="1318" spans="1:21" x14ac:dyDescent="0.35">
      <c r="A1318" s="30"/>
      <c r="B1318" s="4"/>
      <c r="C1318" s="40">
        <f>(B1317-$B$4)*EXP(10*$C$22)</f>
        <v>9.0722315665443698E-2</v>
      </c>
      <c r="D1318" s="4"/>
      <c r="E1318" s="8">
        <f>D1319*EXP(10*$E$22)</f>
        <v>0.14054271213409775</v>
      </c>
      <c r="F1318" s="8">
        <f>E1318*EXP(10*$F$22)</f>
        <v>0.17217500724831689</v>
      </c>
      <c r="G1318" s="8">
        <f>F1318*EXP(10*$G$22)</f>
        <v>0.21669946583233957</v>
      </c>
      <c r="H1318" s="8">
        <f>G1318*EXP(10*H$22)</f>
        <v>0.26186037543672791</v>
      </c>
      <c r="I1318" s="8">
        <f>H1318*EXP(10*I$22)</f>
        <v>0.32727848466705145</v>
      </c>
      <c r="J1318" s="8">
        <f>I1318*EXP(10*J$22)</f>
        <v>0.41232482278072841</v>
      </c>
      <c r="K1318" s="8">
        <f>J1318*EXP(10*K$22)</f>
        <v>0.5102044070356111</v>
      </c>
      <c r="L1318" s="89"/>
      <c r="M1318" s="88">
        <f t="shared" ref="M1318:T1318" si="50">MIN($B$8,AVERAGE(N1318:N1319)/(1+C1318+$D$8/10000))+$B$7</f>
        <v>92.215878235710321</v>
      </c>
      <c r="N1318" s="88">
        <f t="shared" si="50"/>
        <v>88.319076096417135</v>
      </c>
      <c r="O1318" s="88">
        <f t="shared" si="50"/>
        <v>70.168163846212408</v>
      </c>
      <c r="P1318" s="88">
        <f t="shared" si="50"/>
        <v>64.454365117284496</v>
      </c>
      <c r="Q1318" s="88">
        <f t="shared" si="50"/>
        <v>60.951042859218894</v>
      </c>
      <c r="R1318" s="88">
        <f t="shared" si="50"/>
        <v>60.056303334954393</v>
      </c>
      <c r="S1318" s="88">
        <f t="shared" si="50"/>
        <v>62.131876443075683</v>
      </c>
      <c r="T1318" s="88">
        <f t="shared" si="50"/>
        <v>68.157464382657835</v>
      </c>
      <c r="U1318" s="88">
        <f t="shared" ref="U1318:U1381" si="51">MIN($B$8,((100+$B$7)/(1+K1318+$D$8/10000)))+$B$7</f>
        <v>80.861996250338407</v>
      </c>
    </row>
    <row r="1319" spans="1:21" x14ac:dyDescent="0.35">
      <c r="A1319" s="30"/>
      <c r="B1319" s="4"/>
      <c r="C1319" s="4"/>
      <c r="D1319" s="40">
        <f>(C1318-$B$4)*EXP(10*$D$22)</f>
        <v>0.11110897134098045</v>
      </c>
      <c r="E1319" s="40">
        <f>(D1319-$B$4)*EXP(10*$E$22)</f>
        <v>0.13801289459663196</v>
      </c>
      <c r="F1319" s="40">
        <f>(E1318-$B$4)*EXP(10*$F$22)</f>
        <v>0.16972486231182188</v>
      </c>
      <c r="G1319" s="40">
        <f>(F1318-$B$4)*EXP(10*$G$22)</f>
        <v>0.21418226581248059</v>
      </c>
      <c r="H1319" s="40">
        <f>(G1318-$B$4)*EXP(10*H$22)</f>
        <v>0.25944356859845608</v>
      </c>
      <c r="I1319" s="40">
        <f>(H1318+$B$4)*EXP(10*$I$22)</f>
        <v>0.32977812581452343</v>
      </c>
      <c r="J1319" s="40">
        <f>(I1318+$B$4)*EXP(10*$J$22)</f>
        <v>0.41484454125962683</v>
      </c>
      <c r="K1319" s="40">
        <f>(J1318+$B$4)*EXP(10*$J$22)</f>
        <v>0.52199095611346602</v>
      </c>
      <c r="L1319" s="89"/>
      <c r="M1319" s="87"/>
      <c r="N1319" s="88">
        <f t="shared" ref="N1319:T1319" si="52">MIN($B$8,AVERAGE(O1320:O1321)/(1+D1319+$D$8/10000))+$B$7</f>
        <v>76.396255984658097</v>
      </c>
      <c r="O1319" s="88">
        <f t="shared" si="52"/>
        <v>71.971875492561821</v>
      </c>
      <c r="P1319" s="88">
        <f t="shared" si="52"/>
        <v>65.686861812589711</v>
      </c>
      <c r="Q1319" s="88">
        <f t="shared" si="52"/>
        <v>61.776760098113968</v>
      </c>
      <c r="R1319" s="88">
        <f t="shared" si="52"/>
        <v>60.630868786920082</v>
      </c>
      <c r="S1319" s="88">
        <f t="shared" si="52"/>
        <v>61.722325614562862</v>
      </c>
      <c r="T1319" s="88">
        <f t="shared" si="52"/>
        <v>67.888389878776707</v>
      </c>
      <c r="U1319" s="88">
        <f t="shared" si="51"/>
        <v>80.198238021363764</v>
      </c>
    </row>
    <row r="1320" spans="1:21" x14ac:dyDescent="0.35">
      <c r="A1320" s="30"/>
      <c r="B1320" s="4"/>
      <c r="C1320" s="4"/>
      <c r="D1320" s="8">
        <f>C1318*EXP(10*$D$22)</f>
        <v>0.11361361677336418</v>
      </c>
      <c r="E1320" s="40">
        <f>(D1320-$B$4)*EXP(10*$E$22)</f>
        <v>0.14118104256662092</v>
      </c>
      <c r="F1320" s="40">
        <f>(E1319-$B$4)*EXP(10*$F$22)</f>
        <v>0.16662565249698286</v>
      </c>
      <c r="G1320" s="40">
        <f>(F1319-$B$4)*EXP(10*$G$22)</f>
        <v>0.21109851337107932</v>
      </c>
      <c r="H1320" s="40">
        <f>(G1319-$B$4)*EXP(10*H$22)</f>
        <v>0.25640177548780946</v>
      </c>
      <c r="I1320" s="8">
        <f>H1319*EXP(10*I$22)</f>
        <v>0.32425790975783347</v>
      </c>
      <c r="J1320" s="8">
        <f>I1319*EXP(10*J$22)</f>
        <v>0.41547401877567841</v>
      </c>
      <c r="K1320" s="8">
        <f>J1319*EXP(10*K$22)</f>
        <v>0.51332226800685488</v>
      </c>
      <c r="L1320" s="89"/>
      <c r="M1320" s="87"/>
      <c r="N1320" s="87"/>
      <c r="O1320" s="88">
        <f t="shared" ref="O1320:T1320" si="53">MIN($B$8,AVERAGE(P1322:P1323)/(1+E1320+$D$8/10000))+$B$7</f>
        <v>69.873462234769221</v>
      </c>
      <c r="P1320" s="88">
        <f t="shared" si="53"/>
        <v>67.253365507103823</v>
      </c>
      <c r="Q1320" s="88">
        <f t="shared" si="53"/>
        <v>62.778659111252097</v>
      </c>
      <c r="R1320" s="88">
        <f t="shared" si="53"/>
        <v>61.365366752062762</v>
      </c>
      <c r="S1320" s="88">
        <f t="shared" si="53"/>
        <v>62.632211396739436</v>
      </c>
      <c r="T1320" s="88">
        <f t="shared" si="53"/>
        <v>67.82143900549255</v>
      </c>
      <c r="U1320" s="88">
        <f t="shared" si="51"/>
        <v>80.685291940828492</v>
      </c>
    </row>
    <row r="1321" spans="1:21" x14ac:dyDescent="0.35">
      <c r="A1321" s="30"/>
      <c r="B1321" s="4"/>
      <c r="C1321" s="4"/>
      <c r="D1321" s="4"/>
      <c r="E1321" s="8">
        <f>D1320*EXP(10*$E$22)</f>
        <v>0.14371086010408671</v>
      </c>
      <c r="F1321" s="8">
        <f>E1319*EXP(10*$F$22)</f>
        <v>0.16907579743347786</v>
      </c>
      <c r="G1321" s="8">
        <f>F1319*EXP(10*$G$22)</f>
        <v>0.21361571339093827</v>
      </c>
      <c r="H1321" s="8">
        <f>G1319*EXP(10*H$22)</f>
        <v>0.25881858232608129</v>
      </c>
      <c r="I1321" s="40">
        <f>(H1319+$B$4)*EXP(10*$I$22)</f>
        <v>0.32675755090530545</v>
      </c>
      <c r="J1321" s="40">
        <f>(I1319+$B$4)*EXP(10*$J$22)</f>
        <v>0.41799373725457689</v>
      </c>
      <c r="K1321" s="40">
        <f>(J1319+$B$4)*EXP(10*$J$22)</f>
        <v>0.52516544671991727</v>
      </c>
      <c r="L1321" s="89"/>
      <c r="M1321" s="87"/>
      <c r="N1321" s="87"/>
      <c r="O1321" s="88">
        <f t="shared" ref="O1321:T1321" si="54">MIN($B$8,AVERAGE(P1324:P1325)/(1+E1321+$D$8/10000))+$B$7</f>
        <v>68.25554939159565</v>
      </c>
      <c r="P1321" s="88">
        <f t="shared" si="54"/>
        <v>66.091534461507962</v>
      </c>
      <c r="Q1321" s="88">
        <f t="shared" si="54"/>
        <v>62.148939575883226</v>
      </c>
      <c r="R1321" s="88">
        <f t="shared" si="54"/>
        <v>60.780743593968218</v>
      </c>
      <c r="S1321" s="88">
        <f t="shared" si="54"/>
        <v>62.217738733942141</v>
      </c>
      <c r="T1321" s="88">
        <f t="shared" si="54"/>
        <v>67.55451489365305</v>
      </c>
      <c r="U1321" s="88">
        <f t="shared" si="51"/>
        <v>80.021421995575153</v>
      </c>
    </row>
    <row r="1322" spans="1:21" x14ac:dyDescent="0.35">
      <c r="A1322" s="30"/>
      <c r="B1322" s="4"/>
      <c r="C1322" s="4"/>
      <c r="D1322" s="4"/>
      <c r="E1322" s="4"/>
      <c r="F1322" s="40">
        <f>(E1320-$B$4)*EXP(10*$F$22)</f>
        <v>0.17050686335035053</v>
      </c>
      <c r="G1322" s="40">
        <f>(F1320-$B$4)*EXP(10*$G$22)</f>
        <v>0.20719784786734938</v>
      </c>
      <c r="H1322" s="40">
        <f>(G1320-$B$4)*EXP(10*H$22)</f>
        <v>0.25267535849385142</v>
      </c>
      <c r="I1322" s="8">
        <f>H1320*EXP(10*I$22)</f>
        <v>0.32045621414709896</v>
      </c>
      <c r="J1322" s="8">
        <f>I1320*EXP(10*J$22)</f>
        <v>0.4085193235729016</v>
      </c>
      <c r="K1322" s="8">
        <f>J1320*EXP(10*K$22)</f>
        <v>0.51410117382352005</v>
      </c>
      <c r="L1322" s="90"/>
      <c r="M1322" s="87"/>
      <c r="N1322" s="87"/>
      <c r="O1322" s="87"/>
      <c r="P1322" s="88">
        <f>MIN($B$8,AVERAGE(Q1326:Q1327)/(1+F1322+$D$8/10000))+$B$7</f>
        <v>65.390051001464997</v>
      </c>
      <c r="Q1322" s="88">
        <f>MIN($B$8,AVERAGE(R1326:R1327)/(1+G1322+$D$8/10000))+$B$7</f>
        <v>64.244107615840107</v>
      </c>
      <c r="R1322" s="88">
        <f>MIN($B$8,AVERAGE(S1326:S1327)/(1+H1322+$D$8/10000))+$B$7</f>
        <v>62.173756785311767</v>
      </c>
      <c r="S1322" s="88">
        <f>MIN($B$8,AVERAGE(T1326:T1327)/(1+I1322+$D$8/10000))+$B$7</f>
        <v>63.270515746741253</v>
      </c>
      <c r="T1322" s="88">
        <f>MIN($B$8,AVERAGE(U1326:U1327)/(1+J1322+$D$8/10000))+$B$7</f>
        <v>68.56714241900076</v>
      </c>
      <c r="U1322" s="88">
        <f t="shared" si="51"/>
        <v>80.641274336698359</v>
      </c>
    </row>
    <row r="1323" spans="1:21" x14ac:dyDescent="0.35">
      <c r="A1323" s="30"/>
      <c r="B1323" s="4"/>
      <c r="C1323" s="4"/>
      <c r="D1323" s="4"/>
      <c r="E1323" s="4"/>
      <c r="F1323" s="8">
        <f>E1320*EXP(10*$F$22)</f>
        <v>0.17295700828684554</v>
      </c>
      <c r="G1323" s="8">
        <f>F1320*EXP(10*$G$22)</f>
        <v>0.20971504788720835</v>
      </c>
      <c r="H1323" s="8">
        <f>G1320*EXP(10*H$22)</f>
        <v>0.25509216533212326</v>
      </c>
      <c r="I1323" s="40">
        <f>(H1320+$B$4)*EXP(10*$I$22)</f>
        <v>0.32295585529457094</v>
      </c>
      <c r="J1323" s="40">
        <f>(I1320+$B$4)*EXP(10*$J$22)</f>
        <v>0.41103904205180003</v>
      </c>
      <c r="K1323" s="40">
        <f>(J1320+$B$4)*EXP(10*$J$22)</f>
        <v>0.52595849978454035</v>
      </c>
      <c r="L1323" s="87"/>
      <c r="M1323" s="87"/>
      <c r="N1323" s="87"/>
      <c r="O1323" s="87"/>
      <c r="P1323" s="88">
        <f>MIN($B$8,AVERAGE(Q1328:Q1329)/(1+F1323+$D$8/10000))+$B$7</f>
        <v>64.255647377730142</v>
      </c>
      <c r="Q1323" s="88">
        <f>MIN($B$8,AVERAGE(R1328:R1329)/(1+G1323+$D$8/10000))+$B$7</f>
        <v>63.463887354607742</v>
      </c>
      <c r="R1323" s="88">
        <f>MIN($B$8,AVERAGE(S1328:S1329)/(1+H1323+$D$8/10000))+$B$7</f>
        <v>61.727955137551866</v>
      </c>
      <c r="S1323" s="88">
        <f>MIN($B$8,AVERAGE(T1328:T1329)/(1+I1323+$D$8/10000))+$B$7</f>
        <v>62.849741375357503</v>
      </c>
      <c r="T1323" s="88">
        <f>MIN($B$8,AVERAGE(U1328:U1329)/(1+J1323+$D$8/10000))+$B$7</f>
        <v>68.295438244911097</v>
      </c>
      <c r="U1323" s="88">
        <f t="shared" si="51"/>
        <v>79.977377747738345</v>
      </c>
    </row>
    <row r="1324" spans="1:21" x14ac:dyDescent="0.35">
      <c r="A1324" s="30"/>
      <c r="B1324" s="4"/>
      <c r="C1324" s="4"/>
      <c r="D1324" s="4"/>
      <c r="E1324" s="4"/>
      <c r="F1324" s="40">
        <f>(E1321-$B$4)*EXP(10*$F$22)</f>
        <v>0.17360607316518956</v>
      </c>
      <c r="G1324" s="40">
        <f>(F1321-$B$4)*EXP(10*$G$22)</f>
        <v>0.21028160030875068</v>
      </c>
      <c r="H1324" s="40">
        <f>(G1321-$B$4)*EXP(10*H$22)</f>
        <v>0.25571715160449798</v>
      </c>
      <c r="I1324" s="8">
        <f>H1321*EXP(10*I$22)</f>
        <v>0.32347678905631694</v>
      </c>
      <c r="J1324" s="8">
        <f>I1321*EXP(10*J$22)</f>
        <v>0.41166851956785161</v>
      </c>
      <c r="K1324" s="8">
        <f>J1321*EXP(10*K$22)</f>
        <v>0.51721903479476383</v>
      </c>
      <c r="L1324" s="87"/>
      <c r="M1324" s="87"/>
      <c r="N1324" s="87"/>
      <c r="O1324" s="87"/>
      <c r="P1324" s="88">
        <f>MIN($B$8,AVERAGE(Q1330:Q1331)/(1+F1324+$D$8/10000))+$B$7</f>
        <v>63.944927052922694</v>
      </c>
      <c r="Q1324" s="88">
        <f>MIN($B$8,AVERAGE(R1330:R1331)/(1+G1324+$D$8/10000))+$B$7</f>
        <v>63.249633208583859</v>
      </c>
      <c r="R1324" s="88">
        <f>MIN($B$8,AVERAGE(S1330:S1331)/(1+H1324+$D$8/10000))+$B$7</f>
        <v>61.717568712192119</v>
      </c>
      <c r="S1324" s="88">
        <f>MIN($B$8,AVERAGE(T1330:T1331)/(1+I1324+$D$8/10000))+$B$7</f>
        <v>62.762575731081313</v>
      </c>
      <c r="T1324" s="88">
        <f>MIN($B$8,AVERAGE(U1330:U1331)/(1+J1324+$D$8/10000))+$B$7</f>
        <v>68.227833963269163</v>
      </c>
      <c r="U1324" s="88">
        <f t="shared" si="51"/>
        <v>80.465582281305217</v>
      </c>
    </row>
    <row r="1325" spans="1:21" x14ac:dyDescent="0.35">
      <c r="A1325" s="30"/>
      <c r="B1325" s="4"/>
      <c r="C1325" s="4"/>
      <c r="D1325" s="4"/>
      <c r="E1325" s="4"/>
      <c r="F1325" s="8">
        <f>E1321*EXP(10*$F$22)</f>
        <v>0.17605621810168456</v>
      </c>
      <c r="G1325" s="8">
        <f>F1321*EXP(10*$G$22)</f>
        <v>0.21279880032860962</v>
      </c>
      <c r="H1325" s="8">
        <f>G1321*EXP(10*H1058)</f>
        <v>0.25813395844276982</v>
      </c>
      <c r="I1325" s="40">
        <f>(H1321+$B$4)*EXP(10*$I$22)</f>
        <v>0.32597643020378891</v>
      </c>
      <c r="J1325" s="40">
        <f>(I1321+$B$4)*EXP(10*$J$22)</f>
        <v>0.41418823804675009</v>
      </c>
      <c r="K1325" s="40">
        <f>(J1321+$B$4)*EXP(10*$J$22)</f>
        <v>0.5291329903909916</v>
      </c>
      <c r="L1325" s="87"/>
      <c r="M1325" s="87"/>
      <c r="N1325" s="87"/>
      <c r="O1325" s="87"/>
      <c r="P1325" s="88">
        <f>MIN($B$8,AVERAGE(Q1332:Q1333)/(1+F1325+$D$8/10000))+$B$7</f>
        <v>62.841663317519433</v>
      </c>
      <c r="Q1325" s="88">
        <f>MIN($B$8,AVERAGE(R1332:R1333)/(1+G1325+$D$8/10000))+$B$7</f>
        <v>62.41690150045401</v>
      </c>
      <c r="R1325" s="88">
        <f>MIN($B$8,AVERAGE(S1332:S1333)/(1+H1325+$D$8/10000))+$B$7</f>
        <v>61.149479109314981</v>
      </c>
      <c r="S1325" s="88">
        <f>MIN($B$8,AVERAGE(T1332:T1333)/(1+I1325+$D$8/10000))+$B$7</f>
        <v>62.346818095837833</v>
      </c>
      <c r="T1325" s="88">
        <f>MIN($B$8,AVERAGE(U1332:U1333)/(1+J1325+$D$8/10000))+$B$7</f>
        <v>67.958308385982207</v>
      </c>
      <c r="U1325" s="88">
        <f t="shared" si="51"/>
        <v>79.801584055120912</v>
      </c>
    </row>
    <row r="1326" spans="1:21" x14ac:dyDescent="0.35">
      <c r="A1326" s="30"/>
      <c r="B1326" s="4"/>
      <c r="C1326" s="4"/>
      <c r="D1326" s="4"/>
      <c r="E1326" s="4"/>
      <c r="F1326" s="4"/>
      <c r="G1326" s="40">
        <f>(F1322-$B$4)*EXP(10*$G$22)</f>
        <v>0.21208273988593634</v>
      </c>
      <c r="H1326" s="40">
        <f>(G1322-$B$4)*EXP(10*H$22)</f>
        <v>0.24796178096223859</v>
      </c>
      <c r="I1326" s="8">
        <f>H1322*EXP(10*I$22)</f>
        <v>0.31579886152173081</v>
      </c>
      <c r="J1326" s="8">
        <f>I1322*EXP(10*J$22)</f>
        <v>0.40372972223214415</v>
      </c>
      <c r="K1326" s="8">
        <f>J1322*EXP(10*K$22)</f>
        <v>0.50549554072552649</v>
      </c>
      <c r="L1326" s="87"/>
      <c r="M1326" s="87"/>
      <c r="N1326" s="87"/>
      <c r="O1326" s="87"/>
      <c r="P1326" s="87"/>
      <c r="Q1326" s="88">
        <f>MIN($B$8,AVERAGE(R1334:R1335)/(1+G1326+$D$8/10000))+$B$7</f>
        <v>62.605769440522138</v>
      </c>
      <c r="R1326" s="88">
        <f>MIN($B$8,AVERAGE(S1334:S1335)/(1+H1326+$D$8/10000))+$B$7</f>
        <v>63.453812084549675</v>
      </c>
      <c r="S1326" s="88">
        <f>MIN($B$8,AVERAGE(T1334:T1335)/(1+I1326+$D$8/10000))+$B$7</f>
        <v>63.748854381722516</v>
      </c>
      <c r="T1326" s="88">
        <f>MIN($B$8,AVERAGE(U1334:U1335)/(1+J1326+$D$8/10000))+$B$7</f>
        <v>69.088476254371301</v>
      </c>
      <c r="U1326" s="88">
        <f t="shared" si="51"/>
        <v>81.130419651661995</v>
      </c>
    </row>
    <row r="1327" spans="1:21" x14ac:dyDescent="0.35">
      <c r="A1327" s="30"/>
      <c r="B1327" s="4"/>
      <c r="C1327" s="4"/>
      <c r="D1327" s="4"/>
      <c r="E1327" s="4"/>
      <c r="F1327" s="4"/>
      <c r="G1327" s="8">
        <f>F1322*EXP(10*$G$22)</f>
        <v>0.21459993990579532</v>
      </c>
      <c r="H1327" s="8">
        <f>G1322*EXP(10*H$22)</f>
        <v>0.25037858780051042</v>
      </c>
      <c r="I1327" s="40">
        <f>(H1322+$B$4)*EXP(10*$I$22)</f>
        <v>0.31829850266920279</v>
      </c>
      <c r="J1327" s="40">
        <f>(I1322+$B$4)*EXP(10*$J$22)</f>
        <v>0.40624944071104258</v>
      </c>
      <c r="K1327" s="40">
        <f>(J1322+$B$4)*EXP(10*$J$22)</f>
        <v>0.51719656277576875</v>
      </c>
      <c r="L1327" s="87"/>
      <c r="M1327" s="87"/>
      <c r="N1327" s="87"/>
      <c r="O1327" s="87"/>
      <c r="P1327" s="87"/>
      <c r="Q1327" s="88">
        <f>MIN($B$8,AVERAGE(R1336:R1337)/(1+G1327+$D$8/10000))+$B$7</f>
        <v>61.816745209043162</v>
      </c>
      <c r="R1327" s="88">
        <f>MIN($B$8,AVERAGE(S1336:S1337)/(1+H1327+$D$8/10000))+$B$7</f>
        <v>63.066988777158755</v>
      </c>
      <c r="S1327" s="88">
        <f>MIN($B$8,AVERAGE(T1336:T1337)/(1+I1327+$D$8/10000))+$B$7</f>
        <v>63.715124082874489</v>
      </c>
      <c r="T1327" s="88">
        <f>MIN($B$8,AVERAGE(U1336:U1337)/(1+J1327+$D$8/10000))+$B$7</f>
        <v>68.813413134033738</v>
      </c>
      <c r="U1327" s="88">
        <f t="shared" si="51"/>
        <v>80.46684570183514</v>
      </c>
    </row>
    <row r="1328" spans="1:21" x14ac:dyDescent="0.35">
      <c r="A1328" s="30"/>
      <c r="B1328" s="4"/>
      <c r="C1328" s="4"/>
      <c r="D1328" s="4"/>
      <c r="E1328" s="4"/>
      <c r="F1328" s="4"/>
      <c r="G1328" s="40">
        <f>(F1323-$B$4)*EXP(10*G$22)</f>
        <v>0.21516649232733762</v>
      </c>
      <c r="H1328" s="40">
        <f>(G1323-$B$4)*EXP(10*H$22)</f>
        <v>0.2510035740728852</v>
      </c>
      <c r="I1328" s="8">
        <f>H1323*EXP(10*I$22)</f>
        <v>0.31881943643094879</v>
      </c>
      <c r="J1328" s="8">
        <f>I1323*EXP(10*J$22)</f>
        <v>0.40687891822709416</v>
      </c>
      <c r="K1328" s="8">
        <f>J1323*EXP(10*K$22)</f>
        <v>0.50861340169677027</v>
      </c>
      <c r="L1328" s="87"/>
      <c r="M1328" s="87"/>
      <c r="N1328" s="87"/>
      <c r="O1328" s="87"/>
      <c r="P1328" s="87"/>
      <c r="Q1328" s="88">
        <f>MIN($B$8,AVERAGE(R1338:R1339)/(1+G1328+$D$8/10000))+$B$7</f>
        <v>61.610436745298067</v>
      </c>
      <c r="R1328" s="88">
        <f>MIN($B$8,AVERAGE(S1338:S1339)/(1+H1328+$D$8/10000))+$B$7</f>
        <v>62.876871189995143</v>
      </c>
      <c r="S1328" s="88">
        <f>MIN($B$8,AVERAGE(T1338:T1339)/(1+I1328+$D$8/10000))+$B$7</f>
        <v>63.56440288002333</v>
      </c>
      <c r="T1328" s="88">
        <f>MIN($B$8,AVERAGE(U1338:U1339)/(1+J1328+$D$8/10000))+$B$7</f>
        <v>68.744974253846749</v>
      </c>
      <c r="U1328" s="88">
        <f t="shared" si="51"/>
        <v>80.952480414801485</v>
      </c>
    </row>
    <row r="1329" spans="1:21" x14ac:dyDescent="0.35">
      <c r="A1329" s="30"/>
      <c r="B1329" s="4"/>
      <c r="C1329" s="4"/>
      <c r="D1329" s="4"/>
      <c r="E1329" s="4"/>
      <c r="F1329" s="4"/>
      <c r="G1329" s="8">
        <f>F1323*EXP(10*$G$22)</f>
        <v>0.21768369234719659</v>
      </c>
      <c r="H1329" s="8">
        <f>G1323*EXP(10*H$22)</f>
        <v>0.25342038091115704</v>
      </c>
      <c r="I1329" s="40">
        <f>(H1323+$B$4)*EXP(10*$I$22)</f>
        <v>0.32131907757842076</v>
      </c>
      <c r="J1329" s="40">
        <f>(I1323+$B$4)*EXP(10*$J$22)</f>
        <v>0.40939863670599264</v>
      </c>
      <c r="K1329" s="40">
        <f>(J1323+$B$4)*EXP(10*$J$22)</f>
        <v>0.52037105338221989</v>
      </c>
      <c r="L1329" s="89"/>
      <c r="M1329" s="87"/>
      <c r="N1329" s="87"/>
      <c r="O1329" s="87"/>
      <c r="P1329" s="87"/>
      <c r="Q1329" s="88">
        <f>MIN($B$8,AVERAGE(R1340:R1341)/(1+G1329+$D$8/10000))+$B$7</f>
        <v>60.808191270915373</v>
      </c>
      <c r="R1329" s="88">
        <f>MIN($B$8,AVERAGE(S1340:S1341)/(1+H1329+$D$8/10000))+$B$7</f>
        <v>62.304726247423567</v>
      </c>
      <c r="S1329" s="88">
        <f>MIN($B$8,AVERAGE(T1340:T1341)/(1+I1329+$D$8/10000))+$B$7</f>
        <v>63.201818366020895</v>
      </c>
      <c r="T1329" s="88">
        <f>MIN($B$8,AVERAGE(U1340:U1341)/(1+J1329+$D$8/10000))+$B$7</f>
        <v>68.47212589173418</v>
      </c>
      <c r="U1329" s="88">
        <f t="shared" si="51"/>
        <v>80.288782341152768</v>
      </c>
    </row>
    <row r="1330" spans="1:21" x14ac:dyDescent="0.35">
      <c r="A1330" s="30"/>
      <c r="B1330" s="4"/>
      <c r="C1330" s="4"/>
      <c r="D1330" s="4"/>
      <c r="E1330" s="4"/>
      <c r="F1330" s="4"/>
      <c r="G1330" s="40">
        <f>(F1324-$B$4)*EXP(10*G$22)</f>
        <v>0.21598340538966629</v>
      </c>
      <c r="H1330" s="40">
        <f>(G1324-$B$4)*EXP(10*H$22)</f>
        <v>0.25168819795619668</v>
      </c>
      <c r="I1330" s="8">
        <f>H1324*EXP(10*I$22)</f>
        <v>0.31960055713246527</v>
      </c>
      <c r="J1330" s="8">
        <f>I1324*EXP(10*J$22)</f>
        <v>0.4075352214399709</v>
      </c>
      <c r="K1330" s="8">
        <f>J1324*EXP(10*K$22)</f>
        <v>0.50939230751343545</v>
      </c>
      <c r="L1330" s="89"/>
      <c r="M1330" s="87"/>
      <c r="N1330" s="87"/>
      <c r="O1330" s="87"/>
      <c r="P1330" s="87"/>
      <c r="Q1330" s="88">
        <f>MIN($B$8,AVERAGE(R1342:R1343)/(1+G1330+$D$8/10000))+$B$7</f>
        <v>61.320206088732903</v>
      </c>
      <c r="R1330" s="88">
        <f>MIN($B$8,AVERAGE(S1342:S1343)/(1+H1330+$D$8/10000))+$B$7</f>
        <v>62.662701365807685</v>
      </c>
      <c r="S1330" s="88">
        <f>MIN($B$8,AVERAGE(T1342:T1343)/(1+I1330+$D$8/10000))+$B$7</f>
        <v>63.56647054451674</v>
      </c>
      <c r="T1330" s="88">
        <f>MIN($B$8,AVERAGE(U1342:U1343)/(1+J1330+$D$8/10000))+$B$7</f>
        <v>68.67373642769013</v>
      </c>
      <c r="U1330" s="88">
        <f t="shared" si="51"/>
        <v>80.908155630868023</v>
      </c>
    </row>
    <row r="1331" spans="1:21" x14ac:dyDescent="0.35">
      <c r="A1331" s="30"/>
      <c r="B1331" s="4"/>
      <c r="C1331" s="4"/>
      <c r="D1331" s="4"/>
      <c r="E1331" s="4"/>
      <c r="F1331" s="4"/>
      <c r="G1331" s="8">
        <f>F1324*EXP(10*$G$22)</f>
        <v>0.21850060540952523</v>
      </c>
      <c r="H1331" s="8">
        <f>G1324*EXP(10*H$22)</f>
        <v>0.25410500479446851</v>
      </c>
      <c r="I1331" s="40">
        <f>(H1324+$B$4)*EXP(10*$I$22)</f>
        <v>0.32210019827993724</v>
      </c>
      <c r="J1331" s="40">
        <f>(I1324+$B$4)*EXP(10*$J$22)</f>
        <v>0.41005493991886938</v>
      </c>
      <c r="K1331" s="40">
        <f>(J1324+$B$4)*EXP(10*$J$22)</f>
        <v>0.52116410644684308</v>
      </c>
      <c r="L1331" s="89"/>
      <c r="M1331" s="87"/>
      <c r="N1331" s="87"/>
      <c r="O1331" s="87"/>
      <c r="P1331" s="87"/>
      <c r="Q1331" s="88">
        <f>MIN($B$8,AVERAGE(R1344:R1345)/(1+G1331+$D$8/10000))+$B$7</f>
        <v>60.544962025124313</v>
      </c>
      <c r="R1331" s="88">
        <f>MIN($B$8,AVERAGE(S1344:S1345)/(1+H1331+$D$8/10000))+$B$7</f>
        <v>62.134990696845477</v>
      </c>
      <c r="S1331" s="88">
        <f>MIN($B$8,AVERAGE(T1344:T1345)/(1+I1331+$D$8/10000))+$B$7</f>
        <v>63.249088273611328</v>
      </c>
      <c r="T1331" s="88">
        <f>MIN($B$8,AVERAGE(U1344:U1345)/(1+J1331+$D$8/10000))+$B$7</f>
        <v>68.401346613560563</v>
      </c>
      <c r="U1331" s="88">
        <f t="shared" si="51"/>
        <v>80.244427839790916</v>
      </c>
    </row>
    <row r="1332" spans="1:21" x14ac:dyDescent="0.35">
      <c r="A1332" s="30"/>
      <c r="B1332" s="4"/>
      <c r="C1332" s="4"/>
      <c r="D1332" s="4"/>
      <c r="E1332" s="4"/>
      <c r="F1332" s="4"/>
      <c r="G1332" s="40">
        <f>(F1325-$B$4)*EXP(10*G$22)</f>
        <v>0.21906715783106756</v>
      </c>
      <c r="H1332" s="40">
        <f>(G1325-$B$4)*EXP(10*H$22)</f>
        <v>0.25472999106684324</v>
      </c>
      <c r="I1332" s="8">
        <f>H1325*EXP(10*I$22)</f>
        <v>0.32262113204168325</v>
      </c>
      <c r="J1332" s="8">
        <f>I1325*EXP(10*J$22)</f>
        <v>0.41068441743492096</v>
      </c>
      <c r="K1332" s="8">
        <f>J1325*EXP(10*K$22)</f>
        <v>0.51251016848467934</v>
      </c>
      <c r="L1332" s="89"/>
      <c r="M1332" s="87"/>
      <c r="N1332" s="87"/>
      <c r="O1332" s="87"/>
      <c r="P1332" s="87"/>
      <c r="Q1332" s="88">
        <f>MIN($B$8,AVERAGE(R1346:R1347)/(1+G1332+$D$8/10000))+$B$7</f>
        <v>60.344745094320729</v>
      </c>
      <c r="R1332" s="88">
        <f>MIN($B$8,AVERAGE(S1346:S1347)/(1+H1332+$D$8/10000))+$B$7</f>
        <v>61.948950118061532</v>
      </c>
      <c r="S1332" s="88">
        <f>MIN($B$8,AVERAGE(T1346:T1347)/(1+I1332+$D$8/10000))+$B$7</f>
        <v>63.100714309482967</v>
      </c>
      <c r="T1332" s="88">
        <f>MIN($B$8,AVERAGE(U1346:U1347)/(1+J1332+$D$8/10000))+$B$7</f>
        <v>68.333571969156893</v>
      </c>
      <c r="U1332" s="88">
        <f t="shared" si="51"/>
        <v>80.731239262761562</v>
      </c>
    </row>
    <row r="1333" spans="1:21" x14ac:dyDescent="0.35">
      <c r="A1333" s="30"/>
      <c r="B1333" s="4"/>
      <c r="C1333" s="4"/>
      <c r="D1333" s="4"/>
      <c r="E1333" s="4"/>
      <c r="F1333" s="4"/>
      <c r="G1333" s="8">
        <f>F1325*EXP(10*$G$22)</f>
        <v>0.22158435785092651</v>
      </c>
      <c r="H1333" s="8">
        <f>G1325*EXP(10*H$22)</f>
        <v>0.25714679790511508</v>
      </c>
      <c r="I1333" s="40">
        <f>(H1325+$B$4)*EXP(10*$I$22)</f>
        <v>0.32512077318915517</v>
      </c>
      <c r="J1333" s="40">
        <f>(I1325+$B$4)*EXP(10*$J$22)</f>
        <v>0.41320413591381944</v>
      </c>
      <c r="K1333" s="40">
        <f>(J1325+$B$4)*EXP(10*$J$22)</f>
        <v>0.52433859705329422</v>
      </c>
      <c r="L1333" s="89"/>
      <c r="M1333" s="87"/>
      <c r="N1333" s="87"/>
      <c r="O1333" s="87"/>
      <c r="P1333" s="87"/>
      <c r="Q1333" s="88">
        <f>MIN($B$8,AVERAGE(R1348:R1349)/(1+G1333+$D$8/10000))+$B$7</f>
        <v>59.565881847544659</v>
      </c>
      <c r="R1333" s="88">
        <f>MIN($B$8,AVERAGE(S1348:S1349)/(1+H1333+$D$8/10000))+$B$7</f>
        <v>61.388850533736147</v>
      </c>
      <c r="S1333" s="88">
        <f>MIN($B$8,AVERAGE(T1348:T1349)/(1+I1333+$D$8/10000))+$B$7</f>
        <v>62.742891135113375</v>
      </c>
      <c r="T1333" s="88">
        <f>MIN($B$8,AVERAGE(U1348:U1349)/(1+J1333+$D$8/10000))+$B$7</f>
        <v>68.063368120982872</v>
      </c>
      <c r="U1333" s="88">
        <f t="shared" si="51"/>
        <v>80.067397633505408</v>
      </c>
    </row>
    <row r="1334" spans="1:21" x14ac:dyDescent="0.35">
      <c r="A1334" s="30"/>
      <c r="B1334" s="4"/>
      <c r="C1334" s="4"/>
      <c r="D1334" s="4"/>
      <c r="E1334" s="4"/>
      <c r="F1334" s="4"/>
      <c r="G1334" s="4"/>
      <c r="H1334" s="40">
        <f>(G1326-$B$4)*EXP(10*H$22)</f>
        <v>0.25386470117960885</v>
      </c>
      <c r="I1334" s="8">
        <f>H1326*EXP(10*I$22)</f>
        <v>0.30990773534682142</v>
      </c>
      <c r="J1334" s="8">
        <f>I1326*EXP(10*J$22)</f>
        <v>0.39786211349570094</v>
      </c>
      <c r="K1334" s="8">
        <f>J1326*EXP(10*K$22)</f>
        <v>0.49956896154089747</v>
      </c>
      <c r="L1334" s="87"/>
      <c r="M1334" s="87"/>
      <c r="N1334" s="87"/>
      <c r="O1334" s="87"/>
      <c r="P1334" s="87"/>
      <c r="Q1334" s="87"/>
      <c r="R1334" s="88">
        <f>MIN($B$8,AVERAGE(S1350:S1351)/(1+H1334+$D$8/10000))+$B$7</f>
        <v>62.052851115571244</v>
      </c>
      <c r="S1334" s="88">
        <f>MIN($B$8,AVERAGE(T1350:T1351)/(1+I1334+$D$8/10000))+$B$7</f>
        <v>64.793075149561503</v>
      </c>
      <c r="T1334" s="88">
        <f>MIN($B$8,AVERAGE(U1348:U1349)/(1+J1334+$D$8/10000))+$B$7</f>
        <v>68.855530763668995</v>
      </c>
      <c r="U1334" s="88">
        <f t="shared" si="51"/>
        <v>81.4709338595367</v>
      </c>
    </row>
    <row r="1335" spans="1:21" x14ac:dyDescent="0.35">
      <c r="A1335" s="30"/>
      <c r="B1335" s="4"/>
      <c r="C1335" s="4"/>
      <c r="D1335" s="4"/>
      <c r="E1335" s="4"/>
      <c r="F1335" s="4"/>
      <c r="G1335" s="4"/>
      <c r="H1335" s="8">
        <f>G1326*EXP(10*H$22)</f>
        <v>0.25628150801788074</v>
      </c>
      <c r="I1335" s="40">
        <f>(H1326+$B$4)*EXP(10*$I$22)</f>
        <v>0.3124073764942934</v>
      </c>
      <c r="J1335" s="40">
        <f>(I1326+$B$4)*EXP(10*$J$22)</f>
        <v>0.40038183197459937</v>
      </c>
      <c r="K1335" s="40">
        <f>(J1326+$B$4)*EXP(10*$J$22)</f>
        <v>0.5111623392733371</v>
      </c>
      <c r="L1335" s="87"/>
      <c r="M1335" s="87"/>
      <c r="N1335" s="87"/>
      <c r="O1335" s="87"/>
      <c r="P1335" s="87"/>
      <c r="Q1335" s="87"/>
      <c r="R1335" s="88">
        <f>MIN($B$8,AVERAGE(S1352:S1353)/(1+H1335+$D$8/10000))+$B$7</f>
        <v>61.599782973233381</v>
      </c>
      <c r="S1335" s="88">
        <f>MIN($B$8,AVERAGE(T1352:T1353)/(1+I1335+$D$8/10000))+$B$7</f>
        <v>64.91514029280566</v>
      </c>
      <c r="T1335" s="88">
        <f>MIN($B$8,AVERAGE(U1350:U1351)/(1+J1335+$D$8/10000))+$B$7</f>
        <v>69.602743403727217</v>
      </c>
      <c r="U1335" s="88">
        <f t="shared" si="51"/>
        <v>80.807618978888826</v>
      </c>
    </row>
    <row r="1336" spans="1:21" x14ac:dyDescent="0.35">
      <c r="A1336" s="30"/>
      <c r="B1336" s="4"/>
      <c r="C1336" s="4"/>
      <c r="D1336" s="4"/>
      <c r="E1336" s="4"/>
      <c r="F1336" s="4"/>
      <c r="G1336" s="4"/>
      <c r="H1336" s="40">
        <f>(G1327-$B$4)*EXP(10*H$22)</f>
        <v>0.25690649429025547</v>
      </c>
      <c r="I1336" s="8">
        <f>H1327*EXP(10*I$22)</f>
        <v>0.3129283102560394</v>
      </c>
      <c r="J1336" s="8">
        <f>I1327*EXP(10*J$22)</f>
        <v>0.40101130949065095</v>
      </c>
      <c r="K1336" s="8">
        <f>J1327*EXP(10*K$22)</f>
        <v>0.50268682251214125</v>
      </c>
      <c r="L1336" s="87"/>
      <c r="M1336" s="87"/>
      <c r="N1336" s="87"/>
      <c r="O1336" s="87"/>
      <c r="P1336" s="87"/>
      <c r="Q1336" s="87"/>
      <c r="R1336" s="88">
        <f>MIN($B$8,AVERAGE(S1354:S1355)/(1+H1336+$D$8/10000))+$B$7</f>
        <v>61.416074187289247</v>
      </c>
      <c r="S1336" s="88">
        <f>MIN($B$8,AVERAGE(T1354:T1355)/(1+I1336+$D$8/10000))+$B$7</f>
        <v>64.760787575879235</v>
      </c>
      <c r="T1336" s="88">
        <f>MIN($B$8,AVERAGE(U1352:U1353)/(1+J1336+$D$8/10000))+$B$7</f>
        <v>69.423592135765347</v>
      </c>
      <c r="U1336" s="88">
        <f t="shared" si="51"/>
        <v>81.291421855996418</v>
      </c>
    </row>
    <row r="1337" spans="1:21" x14ac:dyDescent="0.35">
      <c r="A1337" s="30"/>
      <c r="B1337" s="4"/>
      <c r="C1337" s="4"/>
      <c r="D1337" s="4"/>
      <c r="E1337" s="4"/>
      <c r="F1337" s="4"/>
      <c r="G1337" s="4"/>
      <c r="H1337" s="8">
        <f>G1327*EXP(10*H$22)</f>
        <v>0.25932330112852731</v>
      </c>
      <c r="I1337" s="40">
        <f>(H1327+$B$4)*EXP(10*$I$22)</f>
        <v>0.31542795140351132</v>
      </c>
      <c r="J1337" s="40">
        <f>(I1327+$B$4)*EXP(10*$J$22)</f>
        <v>0.40353102796954943</v>
      </c>
      <c r="K1337" s="40">
        <f>(J1327+$B$4)*EXP(10*$J$22)</f>
        <v>0.51433682987978824</v>
      </c>
      <c r="L1337" s="87"/>
      <c r="M1337" s="87"/>
      <c r="N1337" s="87"/>
      <c r="O1337" s="87"/>
      <c r="P1337" s="87"/>
      <c r="Q1337" s="87"/>
      <c r="R1337" s="88">
        <f>MIN($B$8,AVERAGE(S1356:S1357)/(1+H1337+$D$8/10000))+$B$7</f>
        <v>60.862865976221862</v>
      </c>
      <c r="S1337" s="88">
        <f>MIN($B$8,AVERAGE(T1356:T1357)/(1+I1337+$D$8/10000))+$B$7</f>
        <v>64.389016556635568</v>
      </c>
      <c r="T1337" s="88">
        <f>MIN($B$8,AVERAGE(U1354:U1355)/(1+J1337+$D$8/10000))+$B$7</f>
        <v>69.255050300268692</v>
      </c>
      <c r="U1337" s="88">
        <f t="shared" si="51"/>
        <v>80.627966873119547</v>
      </c>
    </row>
    <row r="1338" spans="1:21" x14ac:dyDescent="0.35">
      <c r="A1338" s="30"/>
      <c r="B1338" s="4"/>
      <c r="C1338" s="4"/>
      <c r="D1338" s="4"/>
      <c r="E1338" s="4"/>
      <c r="F1338" s="4"/>
      <c r="G1338" s="4"/>
      <c r="H1338" s="40">
        <f>(G1328-$B$4)*EXP(10*H$22)</f>
        <v>0.25759111817356695</v>
      </c>
      <c r="I1338" s="8">
        <f>H1328*EXP(10*I$22)</f>
        <v>0.31370943095755593</v>
      </c>
      <c r="J1338" s="8">
        <f>I1328*EXP(10*J$22)</f>
        <v>0.40166761270352774</v>
      </c>
      <c r="K1338" s="8">
        <f>J1328*EXP(10*K$22)</f>
        <v>0.50346572832880643</v>
      </c>
      <c r="L1338" s="87"/>
      <c r="M1338" s="87"/>
      <c r="N1338" s="87"/>
      <c r="O1338" s="87"/>
      <c r="P1338" s="87"/>
      <c r="Q1338" s="87"/>
      <c r="R1338" s="88">
        <f>MIN($B$8,AVERAGE(S1358:S1359)/(1+H1338+$D$8/10000))+$B$7</f>
        <v>61.209128093857906</v>
      </c>
      <c r="S1338" s="88">
        <f>MIN($B$8,AVERAGE(T1358:T1359)/(1+I1338+$D$8/10000))+$B$7</f>
        <v>64.553714567767159</v>
      </c>
      <c r="T1338" s="88">
        <f>MIN($B$8,AVERAGE(U1356:U1357)/(1+J1338+$D$8/10000))+$B$7</f>
        <v>69.207730424367682</v>
      </c>
      <c r="U1338" s="88">
        <f t="shared" si="51"/>
        <v>81.246705863695823</v>
      </c>
    </row>
    <row r="1339" spans="1:21" x14ac:dyDescent="0.35">
      <c r="A1339" s="30"/>
      <c r="B1339" s="4"/>
      <c r="C1339" s="4"/>
      <c r="D1339" s="4"/>
      <c r="E1339" s="4"/>
      <c r="F1339" s="4"/>
      <c r="G1339" s="4"/>
      <c r="H1339" s="8">
        <f>G1328*EXP(10*H$22)</f>
        <v>0.26000792501183878</v>
      </c>
      <c r="I1339" s="40">
        <f>(H1328+$B$4)*EXP(10*$I$22)</f>
        <v>0.31620907210502791</v>
      </c>
      <c r="J1339" s="40">
        <f>(I1328+$B$4)*EXP(10*$J$22)</f>
        <v>0.40418733118242617</v>
      </c>
      <c r="K1339" s="40">
        <f>(J1328+$B$4)*EXP(10*$J$22)</f>
        <v>0.51512988294441131</v>
      </c>
      <c r="L1339" s="87"/>
      <c r="M1339" s="87"/>
      <c r="N1339" s="87"/>
      <c r="O1339" s="87"/>
      <c r="P1339" s="87"/>
      <c r="Q1339" s="87"/>
      <c r="R1339" s="88">
        <f>MIN($B$8,AVERAGE(S1360:S1361)/(1+H1339+$D$8/10000))+$B$7</f>
        <v>60.698760737024337</v>
      </c>
      <c r="S1339" s="88">
        <f>MIN($B$8,AVERAGE(T1360:T1361)/(1+I1339+$D$8/10000))+$B$7</f>
        <v>64.253992469890591</v>
      </c>
      <c r="T1339" s="88">
        <f>MIN($B$8,AVERAGE(U1358:U1359)/(1+J1339+$D$8/10000))+$B$7</f>
        <v>69.182944801712878</v>
      </c>
      <c r="U1339" s="88">
        <f t="shared" si="51"/>
        <v>80.583217205076267</v>
      </c>
    </row>
    <row r="1340" spans="1:21" x14ac:dyDescent="0.35">
      <c r="A1340" s="30"/>
      <c r="B1340" s="4"/>
      <c r="C1340" s="4"/>
      <c r="D1340" s="4"/>
      <c r="E1340" s="4"/>
      <c r="F1340" s="4"/>
      <c r="G1340" s="4"/>
      <c r="H1340" s="40">
        <f>(G1329-$B$4)*EXP(10*H$22)</f>
        <v>0.26063291128421351</v>
      </c>
      <c r="I1340" s="8">
        <f>H1329*EXP(10*I$22)</f>
        <v>0.31673000586677391</v>
      </c>
      <c r="J1340" s="8">
        <f>I1329*EXP(10*J$22)</f>
        <v>0.40481680869847775</v>
      </c>
      <c r="K1340" s="8">
        <f>J1329*EXP(10*K$22)</f>
        <v>0.50658358930005021</v>
      </c>
      <c r="L1340" s="87"/>
      <c r="M1340" s="87"/>
      <c r="N1340" s="87"/>
      <c r="O1340" s="87"/>
      <c r="P1340" s="87"/>
      <c r="Q1340" s="87"/>
      <c r="R1340" s="88">
        <f>MIN($B$8,AVERAGE(S1362:S1363)/(1+H1340+$D$8/10000))+$B$7</f>
        <v>60.518961768180688</v>
      </c>
      <c r="S1340" s="88">
        <f>MIN($B$8,AVERAGE(T1362:T1363)/(1+I1340+$D$8/10000))+$B$7</f>
        <v>64.102020333086344</v>
      </c>
      <c r="T1340" s="88">
        <f>MIN($B$8,AVERAGE(U1360:U1361)/(1+J1340+$D$8/10000))+$B$7</f>
        <v>69.00557631485988</v>
      </c>
      <c r="U1340" s="88">
        <f t="shared" si="51"/>
        <v>81.068230300490654</v>
      </c>
    </row>
    <row r="1341" spans="1:21" x14ac:dyDescent="0.35">
      <c r="A1341" s="30"/>
      <c r="B1341" s="4"/>
      <c r="C1341" s="4"/>
      <c r="D1341" s="4"/>
      <c r="E1341" s="4"/>
      <c r="F1341" s="4"/>
      <c r="G1341" s="4"/>
      <c r="H1341" s="8">
        <f>G1329*EXP(10*H$22)</f>
        <v>0.2630497181224854</v>
      </c>
      <c r="I1341" s="40">
        <f>(H1329+$B$4)*EXP(10*$I$22)</f>
        <v>0.31922964701424589</v>
      </c>
      <c r="J1341" s="40">
        <f>(I1329+$B$4)*EXP(10*$J$22)</f>
        <v>0.40733652717737623</v>
      </c>
      <c r="K1341" s="40">
        <f>(J1329+$B$4)*EXP(10*$J$22)</f>
        <v>0.51830437355086256</v>
      </c>
      <c r="L1341" s="87"/>
      <c r="M1341" s="87"/>
      <c r="N1341" s="87"/>
      <c r="O1341" s="87"/>
      <c r="P1341" s="87"/>
      <c r="Q1341" s="87"/>
      <c r="R1341" s="88">
        <f>MIN($B$8,AVERAGE(S1364:S1365)/(1+H1341+$D$8/10000))+$B$7</f>
        <v>59.977312247689468</v>
      </c>
      <c r="S1341" s="88">
        <f>MIN($B$8,AVERAGE(T1364:T1365)/(1+I1341+$D$8/10000))+$B$7</f>
        <v>63.735800760331095</v>
      </c>
      <c r="T1341" s="88">
        <f>MIN($B$8,AVERAGE(U1362:U1363)/(1+J1341+$D$8/10000))+$B$7</f>
        <v>68.838644314146279</v>
      </c>
      <c r="U1341" s="88">
        <f t="shared" si="51"/>
        <v>80.404612091467556</v>
      </c>
    </row>
    <row r="1342" spans="1:21" x14ac:dyDescent="0.35">
      <c r="A1342" s="30"/>
      <c r="B1342" s="4"/>
      <c r="C1342" s="4"/>
      <c r="D1342" s="4"/>
      <c r="E1342" s="4"/>
      <c r="F1342" s="4"/>
      <c r="G1342" s="4"/>
      <c r="H1342" s="40">
        <f>(G1330-$B$4)*EXP(10*H$22)</f>
        <v>0.25857827871122169</v>
      </c>
      <c r="I1342" s="8">
        <f>H1330*EXP(10*I$22)</f>
        <v>0.31456508797218963</v>
      </c>
      <c r="J1342" s="8">
        <f>I1330*EXP(10*J$22)</f>
        <v>0.40265171483645834</v>
      </c>
      <c r="K1342" s="8">
        <f>J1330*EXP(10*K$22)</f>
        <v>0.50427782785098196</v>
      </c>
      <c r="L1342" s="87"/>
      <c r="M1342" s="87"/>
      <c r="N1342" s="87"/>
      <c r="O1342" s="87"/>
      <c r="P1342" s="87"/>
      <c r="Q1342" s="87"/>
      <c r="R1342" s="88">
        <f>MIN($B$8,AVERAGE(S1366:S1367)/(1+H1342+$D$8/10000))+$B$7</f>
        <v>60.924131232019022</v>
      </c>
      <c r="S1342" s="88">
        <f>MIN($B$8,AVERAGE(T1366:T1367)/(1+I1342+$D$8/10000))+$B$7</f>
        <v>64.312914640083278</v>
      </c>
      <c r="T1342" s="88">
        <f>MIN($B$8,AVERAGE(U1364:U1364)/(1+J1342+$D$8/10000))+$B$7</f>
        <v>69.204990278957609</v>
      </c>
      <c r="U1342" s="88">
        <f t="shared" si="51"/>
        <v>81.200139323911088</v>
      </c>
    </row>
    <row r="1343" spans="1:21" x14ac:dyDescent="0.35">
      <c r="A1343" s="30"/>
      <c r="B1343" s="4"/>
      <c r="C1343" s="4"/>
      <c r="D1343" s="4"/>
      <c r="E1343" s="4"/>
      <c r="F1343" s="4"/>
      <c r="G1343" s="4"/>
      <c r="H1343" s="8">
        <f>G1330*EXP(10*H$22)</f>
        <v>0.26099508554949352</v>
      </c>
      <c r="I1343" s="40">
        <f>(H1330+$B$4)*EXP(10*$I$22)</f>
        <v>0.3170647291196616</v>
      </c>
      <c r="J1343" s="40">
        <f>(I1330+$B$4)*EXP(10*$J$22)</f>
        <v>0.40517143331535677</v>
      </c>
      <c r="K1343" s="40">
        <f>(J1330+$B$4)*EXP(10*$J$22)</f>
        <v>0.51595673261103425</v>
      </c>
      <c r="L1343" s="87"/>
      <c r="M1343" s="87"/>
      <c r="N1343" s="87"/>
      <c r="O1343" s="87"/>
      <c r="P1343" s="87"/>
      <c r="Q1343" s="87"/>
      <c r="R1343" s="88">
        <f>MIN($B$8,AVERAGE(S1368:S1369)/(1+H1343+$D$8/10000))+$B$7</f>
        <v>60.463259597365621</v>
      </c>
      <c r="S1343" s="88">
        <f>MIN($B$8,AVERAGE(T1368:T1369)/(1+I1343+$D$8/10000))+$B$7</f>
        <v>64.106566748318656</v>
      </c>
      <c r="T1343" s="88">
        <f>MIN($B$8,AVERAGE(U1366:U1367)/(1+J1343+$D$8/10000))+$B$7</f>
        <v>69.283546121640313</v>
      </c>
      <c r="U1343" s="88">
        <f t="shared" si="51"/>
        <v>80.536616114521294</v>
      </c>
    </row>
    <row r="1344" spans="1:21" x14ac:dyDescent="0.35">
      <c r="A1344" s="30"/>
      <c r="B1344" s="4"/>
      <c r="C1344" s="4"/>
      <c r="D1344" s="4"/>
      <c r="E1344" s="4"/>
      <c r="F1344" s="4"/>
      <c r="G1344" s="4"/>
      <c r="H1344" s="40">
        <f>(G1331-$B$4)*EXP(10*H$22)</f>
        <v>0.26162007182186825</v>
      </c>
      <c r="I1344" s="8">
        <f>H1331*EXP(10*I$22)</f>
        <v>0.3175856628814076</v>
      </c>
      <c r="J1344" s="8">
        <f>I1331*EXP(10*J$22)</f>
        <v>0.40580091083140835</v>
      </c>
      <c r="K1344" s="8">
        <f>J1331*EXP(10*K$22)</f>
        <v>0.50739568882222574</v>
      </c>
      <c r="L1344" s="87"/>
      <c r="M1344" s="87"/>
      <c r="N1344" s="87"/>
      <c r="O1344" s="87"/>
      <c r="P1344" s="87"/>
      <c r="Q1344" s="87"/>
      <c r="R1344" s="88">
        <f>MIN($B$8,AVERAGE(S1370:S1371)/(1+H1344+$D$8/10000))+$B$7</f>
        <v>60.284479258728069</v>
      </c>
      <c r="S1344" s="88">
        <f>MIN($B$8,AVERAGE(T1370:T1371)/(1+I1344+$D$8/10000))+$B$7</f>
        <v>63.955124012610362</v>
      </c>
      <c r="T1344" s="88">
        <f>MIN($B$8,AVERAGE(U1368:U1369)/(1+J1344+$D$8/10000))+$B$7</f>
        <v>69.106852030021003</v>
      </c>
      <c r="U1344" s="88">
        <f t="shared" si="51"/>
        <v>81.021878627986453</v>
      </c>
    </row>
    <row r="1345" spans="1:21" x14ac:dyDescent="0.35">
      <c r="A1345" s="30"/>
      <c r="B1345" s="4"/>
      <c r="C1345" s="4"/>
      <c r="D1345" s="4"/>
      <c r="E1345" s="4"/>
      <c r="F1345" s="4"/>
      <c r="G1345" s="4"/>
      <c r="H1345" s="8">
        <f>G1331*EXP(10*H$22)</f>
        <v>0.26403687866014014</v>
      </c>
      <c r="I1345" s="40">
        <f>(H1331+$B$4)*EXP(10*$I$22)</f>
        <v>0.32008530402887958</v>
      </c>
      <c r="J1345" s="40">
        <f>(I1331+$B$4)*EXP(10*$J$22)</f>
        <v>0.40832062931030683</v>
      </c>
      <c r="K1345" s="40">
        <f>(J1331+$B$4)*EXP(10*$J$22)</f>
        <v>0.5191312232174855</v>
      </c>
      <c r="L1345" s="87"/>
      <c r="M1345" s="87"/>
      <c r="N1345" s="87"/>
      <c r="O1345" s="87"/>
      <c r="P1345" s="87"/>
      <c r="Q1345" s="87"/>
      <c r="R1345" s="88">
        <f>MIN($B$8,AVERAGE(S1372:S1373)/(1+H1345+$D$8/10000))+$B$7</f>
        <v>59.745841896201554</v>
      </c>
      <c r="S1345" s="88">
        <f>MIN($B$8,AVERAGE(T1372:T1373)/(1+I1345+$D$8/10000))+$B$7</f>
        <v>63.590139384186529</v>
      </c>
      <c r="T1345" s="88">
        <f>MIN($B$8,AVERAGE(U1370:U1371)/(1+J1345+$D$8/10000))+$B$7</f>
        <v>68.939992198007971</v>
      </c>
      <c r="U1345" s="88">
        <f t="shared" si="51"/>
        <v>80.35822804499287</v>
      </c>
    </row>
    <row r="1346" spans="1:21" x14ac:dyDescent="0.35">
      <c r="A1346" s="30"/>
      <c r="B1346" s="4"/>
      <c r="C1346" s="4"/>
      <c r="D1346" s="4"/>
      <c r="E1346" s="4"/>
      <c r="F1346" s="4"/>
      <c r="G1346" s="4"/>
      <c r="H1346" s="40">
        <f>(G1332-$B$4)*EXP(10*H$22)</f>
        <v>0.26230469570517972</v>
      </c>
      <c r="I1346" s="8">
        <f>H1332*EXP(10*I$22)</f>
        <v>0.31836678358292408</v>
      </c>
      <c r="J1346" s="8">
        <f>I1332*EXP(10*J$22)</f>
        <v>0.40645721404428509</v>
      </c>
      <c r="K1346" s="8">
        <f>J1332*EXP(10*K$22)</f>
        <v>0.50817459463889092</v>
      </c>
      <c r="L1346" s="87"/>
      <c r="M1346" s="87"/>
      <c r="N1346" s="87"/>
      <c r="O1346" s="87"/>
      <c r="P1346" s="87"/>
      <c r="Q1346" s="87"/>
      <c r="R1346" s="88">
        <f>MIN($B$8,AVERAGE(S1374:S1375)/(1+H1346+$D$8/10000))+$B$7</f>
        <v>60.083088274433365</v>
      </c>
      <c r="S1346" s="88">
        <f>MIN($B$8,AVERAGE(T1374:T1375)/(1+I1346+$D$8/10000))+$B$7</f>
        <v>63.751935498736117</v>
      </c>
      <c r="T1346" s="88">
        <f>MIN($B$8,AVERAGE(U1372:U1373)/(1+J1346+$D$8/10000))+$B$7</f>
        <v>68.893974304718412</v>
      </c>
      <c r="U1346" s="88">
        <f t="shared" si="51"/>
        <v>80.977473884048408</v>
      </c>
    </row>
    <row r="1347" spans="1:21" x14ac:dyDescent="0.35">
      <c r="A1347" s="30"/>
      <c r="B1347" s="4"/>
      <c r="C1347" s="4"/>
      <c r="D1347" s="4"/>
      <c r="E1347" s="4"/>
      <c r="F1347" s="4"/>
      <c r="G1347" s="4"/>
      <c r="H1347" s="8">
        <f>G1332*EXP(10*H$22)</f>
        <v>0.26472150254345161</v>
      </c>
      <c r="I1347" s="40">
        <f>(H1332+$B$4)*EXP(10*$I$22)</f>
        <v>0.32086642473039606</v>
      </c>
      <c r="J1347" s="40">
        <f>(I1332+$B$4)*EXP(10*$J$22)</f>
        <v>0.40897693252318357</v>
      </c>
      <c r="K1347" s="40">
        <f>(J1332+$B$4)*EXP(10*$J$22)</f>
        <v>0.51992427628210869</v>
      </c>
      <c r="L1347" s="87"/>
      <c r="M1347" s="87"/>
      <c r="N1347" s="87"/>
      <c r="O1347" s="87"/>
      <c r="P1347" s="87"/>
      <c r="Q1347" s="87"/>
      <c r="R1347" s="88">
        <f>MIN($B$8,AVERAGE(S1376:S1377)/(1+H1347+$D$8/10000))+$B$7</f>
        <v>59.586068653924521</v>
      </c>
      <c r="S1347" s="88">
        <f>MIN($B$8,AVERAGE(T1376:T1377)/(1+I1347+$D$8/10000))+$B$7</f>
        <v>63.457598765098453</v>
      </c>
      <c r="T1347" s="88">
        <f>MIN($B$8,AVERAGE(U1374:U1375)/(1+J1347+$D$8/10000))+$B$7</f>
        <v>68.868742545344404</v>
      </c>
      <c r="U1347" s="88">
        <f t="shared" si="51"/>
        <v>80.31379277855963</v>
      </c>
    </row>
    <row r="1348" spans="1:21" x14ac:dyDescent="0.35">
      <c r="A1348" s="30"/>
      <c r="B1348" s="4"/>
      <c r="C1348" s="4"/>
      <c r="D1348" s="4"/>
      <c r="E1348" s="4"/>
      <c r="F1348" s="4"/>
      <c r="G1348" s="4"/>
      <c r="H1348" s="40">
        <f>(G1333-$B$4)*EXP(10*H$22)</f>
        <v>0.26534648881582634</v>
      </c>
      <c r="I1348" s="8">
        <f>H1333*EXP(10*I$22)</f>
        <v>0.32138735849214206</v>
      </c>
      <c r="J1348" s="8">
        <f>I1333*EXP(10*J$22)</f>
        <v>0.40960641003923509</v>
      </c>
      <c r="K1348" s="8">
        <f>J1333*EXP(10*K$22)</f>
        <v>0.51129245561013481</v>
      </c>
      <c r="L1348" s="87"/>
      <c r="M1348" s="87"/>
      <c r="N1348" s="87"/>
      <c r="O1348" s="87"/>
      <c r="P1348" s="87"/>
      <c r="Q1348" s="87"/>
      <c r="R1348" s="88">
        <f>MIN($B$8,AVERAGE(S1378:S1379)/(1+H1348+$D$8/10000))+$B$7</f>
        <v>59.411070414039493</v>
      </c>
      <c r="S1348" s="88">
        <f>MIN($B$8,AVERAGE(T1378:T1379)/(1+I1348+$D$8/10000))+$B$7</f>
        <v>63.308480215624066</v>
      </c>
      <c r="T1348" s="88">
        <f>MIN($B$8,AVERAGE(U1376:U1377)/(1+J1348+$D$8/10000))+$B$7</f>
        <v>68.693793078906097</v>
      </c>
      <c r="U1348" s="88">
        <f t="shared" si="51"/>
        <v>80.800238825954963</v>
      </c>
    </row>
    <row r="1349" spans="1:21" x14ac:dyDescent="0.35">
      <c r="A1349" s="30"/>
      <c r="B1349" s="4"/>
      <c r="C1349" s="4"/>
      <c r="D1349" s="4"/>
      <c r="E1349" s="4"/>
      <c r="F1349" s="4"/>
      <c r="G1349" s="4"/>
      <c r="H1349" s="8">
        <f>G1333*EXP(10*H$22)</f>
        <v>0.26776329565409818</v>
      </c>
      <c r="I1349" s="40">
        <f>(H1333+$B$4)*EXP(10*$I$22)</f>
        <v>0.32388699963961404</v>
      </c>
      <c r="J1349" s="40">
        <f>(I1333+$B$4)*EXP(10*$J$22)</f>
        <v>0.41212612851813357</v>
      </c>
      <c r="K1349" s="40">
        <f>(J1333+$B$4)*EXP(10*$J$22)</f>
        <v>0.52309876688855983</v>
      </c>
      <c r="L1349" s="87"/>
      <c r="M1349" s="87"/>
      <c r="N1349" s="87"/>
      <c r="O1349" s="87"/>
      <c r="P1349" s="87"/>
      <c r="Q1349" s="87"/>
      <c r="R1349" s="88">
        <f>MIN($B$8,AVERAGE(S1380:S1381)/(1+H1349+$D$8/10000))+$B$7</f>
        <v>58.883619746857718</v>
      </c>
      <c r="S1349" s="88">
        <f>MIN($B$8,AVERAGE(T1380:T1381)/(1+I1349+$D$8/10000))+$B$7</f>
        <v>62.948918983527307</v>
      </c>
      <c r="T1349" s="88">
        <f>MIN($B$8,AVERAGE(U1378:U1379)/(1+J1349+$D$8/10000))+$B$7</f>
        <v>68.52851659362878</v>
      </c>
      <c r="U1349" s="88">
        <f t="shared" si="51"/>
        <v>80.136440686630024</v>
      </c>
    </row>
    <row r="1350" spans="1:21" x14ac:dyDescent="0.35">
      <c r="A1350" s="30"/>
      <c r="B1350" s="4"/>
      <c r="C1350" s="4"/>
      <c r="D1350" s="4"/>
      <c r="E1350" s="4"/>
      <c r="F1350" s="4"/>
      <c r="G1350" s="4"/>
      <c r="H1350" s="17"/>
      <c r="I1350" s="8">
        <f>H1334*EXP(10*I$22)</f>
        <v>0.31728532647961288</v>
      </c>
      <c r="J1350" s="8">
        <f>I1334*EXP(10*J$22)</f>
        <v>0.39044012375348014</v>
      </c>
      <c r="K1350" s="8">
        <f>J1334*EXP(10*K$22)</f>
        <v>0.49230847255091975</v>
      </c>
      <c r="L1350" s="87"/>
      <c r="M1350" s="87"/>
      <c r="N1350" s="87"/>
      <c r="O1350" s="87"/>
      <c r="P1350" s="87"/>
      <c r="Q1350" s="87"/>
      <c r="R1350" s="87"/>
      <c r="S1350" s="88">
        <f>MIN($B$8,AVERAGE(T1382:T1383)/(1+I1350+$D$8/10000))+$B$7</f>
        <v>63.78574730059686</v>
      </c>
      <c r="T1350" s="88">
        <f>MIN($B$8,AVERAGE(U1380:U1381)/(1+J1350+$D$8/10000))+$B$7</f>
        <v>69.519431119468734</v>
      </c>
      <c r="U1350" s="88">
        <f t="shared" si="51"/>
        <v>81.892208523481685</v>
      </c>
    </row>
    <row r="1351" spans="1:21" x14ac:dyDescent="0.35">
      <c r="A1351" s="30"/>
      <c r="B1351" s="4"/>
      <c r="C1351" s="4"/>
      <c r="D1351" s="4"/>
      <c r="E1351" s="4"/>
      <c r="F1351" s="4"/>
      <c r="G1351" s="4"/>
      <c r="H1351" s="17"/>
      <c r="I1351" s="40">
        <f>(H1334+$B$4)*EXP(10*$I$22)</f>
        <v>0.31978496762708486</v>
      </c>
      <c r="J1351" s="40">
        <f>(I1334+$B$4)*EXP(10*$J$22)</f>
        <v>0.39295984223237856</v>
      </c>
      <c r="K1351" s="40">
        <f>(J1334+$B$4)*EXP(10*$J$22)</f>
        <v>0.50376997819325608</v>
      </c>
      <c r="L1351" s="87"/>
      <c r="M1351" s="87"/>
      <c r="N1351" s="87"/>
      <c r="O1351" s="87"/>
      <c r="P1351" s="87"/>
      <c r="Q1351" s="87"/>
      <c r="R1351" s="87"/>
      <c r="S1351" s="88">
        <f>MIN($B$8,AVERAGE(T1384:T1385)/(1+I1351+$D$8/10000))+$B$7</f>
        <v>63.551405341123854</v>
      </c>
      <c r="T1351" s="88">
        <f>MIN($B$8,AVERAGE(U1382:U1383)/(1+J1351+$D$8/10000))+$B$7</f>
        <v>70.642375871892568</v>
      </c>
      <c r="U1351" s="88">
        <f t="shared" si="51"/>
        <v>81.229253315005167</v>
      </c>
    </row>
    <row r="1352" spans="1:21" x14ac:dyDescent="0.35">
      <c r="A1352" s="30"/>
      <c r="B1352" s="4"/>
      <c r="C1352" s="4"/>
      <c r="D1352" s="4"/>
      <c r="E1352" s="4"/>
      <c r="F1352" s="4"/>
      <c r="G1352" s="4"/>
      <c r="H1352" s="17"/>
      <c r="I1352" s="8">
        <f>H1335*EXP(10*I$22)</f>
        <v>0.32030590138883092</v>
      </c>
      <c r="J1352" s="8">
        <f>I1335*EXP(10*J$22)</f>
        <v>0.39358931974843014</v>
      </c>
      <c r="K1352" s="8">
        <f>J1335*EXP(10*K$22)</f>
        <v>0.49542633352216353</v>
      </c>
      <c r="L1352" s="87"/>
      <c r="M1352" s="87"/>
      <c r="N1352" s="87"/>
      <c r="O1352" s="87"/>
      <c r="P1352" s="87"/>
      <c r="Q1352" s="87"/>
      <c r="R1352" s="87"/>
      <c r="S1352" s="88">
        <f>MIN($B$8,AVERAGE(T1386:T1387)/(1+I1352+$D$8/10000))+$B$7</f>
        <v>63.491435085840827</v>
      </c>
      <c r="T1352" s="88">
        <f>MIN($B$8,AVERAGE(U1384:U1385)/(1+J1352+$D$8/10000))+$B$7</f>
        <v>70.459923754886276</v>
      </c>
      <c r="U1352" s="88">
        <f t="shared" si="51"/>
        <v>81.710741182627359</v>
      </c>
    </row>
    <row r="1353" spans="1:21" x14ac:dyDescent="0.35">
      <c r="A1353" s="30"/>
      <c r="B1353" s="4"/>
      <c r="C1353" s="4"/>
      <c r="D1353" s="4"/>
      <c r="E1353" s="4"/>
      <c r="F1353" s="4"/>
      <c r="G1353" s="4"/>
      <c r="H1353" s="17"/>
      <c r="I1353" s="40">
        <f>(H1335+$B$4)*EXP(10*$I$22)</f>
        <v>0.32280554253630284</v>
      </c>
      <c r="J1353" s="40">
        <f>(I1335+$B$4)*EXP(10*$J$22)</f>
        <v>0.39610903822732862</v>
      </c>
      <c r="K1353" s="40">
        <f>(J1335+$B$4)*EXP(10*$J$22)</f>
        <v>0.50694446879970723</v>
      </c>
      <c r="L1353" s="87"/>
      <c r="M1353" s="87"/>
      <c r="N1353" s="87"/>
      <c r="O1353" s="87"/>
      <c r="P1353" s="87"/>
      <c r="Q1353" s="87"/>
      <c r="R1353" s="87"/>
      <c r="S1353" s="88">
        <f>MIN($B$8,AVERAGE(T1388:T1389)/(1+I1353+$D$8/10000))+$B$7</f>
        <v>63.130341547223395</v>
      </c>
      <c r="T1353" s="88">
        <f>MIN($B$8,AVERAGE(U1386:U1387)/(1+J1353+$D$8/10000))+$B$7</f>
        <v>70.287843177622392</v>
      </c>
      <c r="U1353" s="88">
        <f t="shared" si="51"/>
        <v>81.047625732208743</v>
      </c>
    </row>
    <row r="1354" spans="1:21" x14ac:dyDescent="0.35">
      <c r="A1354" s="30"/>
      <c r="B1354" s="4"/>
      <c r="C1354" s="4"/>
      <c r="D1354" s="4"/>
      <c r="E1354" s="4"/>
      <c r="F1354" s="4"/>
      <c r="G1354" s="4"/>
      <c r="H1354" s="17"/>
      <c r="I1354" s="8">
        <f>H1336*EXP(10*I$22)</f>
        <v>0.3210870220903474</v>
      </c>
      <c r="J1354" s="8">
        <f>I1336*EXP(10*J$22)</f>
        <v>0.39424562296130694</v>
      </c>
      <c r="K1354" s="8">
        <f>J1336*EXP(10*K$22)</f>
        <v>0.49620523933882871</v>
      </c>
      <c r="L1354" s="87"/>
      <c r="M1354" s="87"/>
      <c r="N1354" s="87"/>
      <c r="O1354" s="87"/>
      <c r="P1354" s="87"/>
      <c r="Q1354" s="87"/>
      <c r="R1354" s="87"/>
      <c r="S1354" s="88">
        <f>MIN($B$8,AVERAGE(T1390:T1391)/(1+I1354+$D$8/10000))+$B$7</f>
        <v>63.290472868581929</v>
      </c>
      <c r="T1354" s="88">
        <f>MIN($B$8,AVERAGE(U1388:U1389)/(1+J1354+$D$8/10000))+$B$7</f>
        <v>70.240110711910347</v>
      </c>
      <c r="U1354" s="88">
        <f t="shared" si="51"/>
        <v>81.665538832119864</v>
      </c>
    </row>
    <row r="1355" spans="1:21" x14ac:dyDescent="0.35">
      <c r="A1355" s="30"/>
      <c r="B1355" s="4"/>
      <c r="C1355" s="4"/>
      <c r="D1355" s="4"/>
      <c r="E1355" s="4"/>
      <c r="F1355" s="4"/>
      <c r="G1355" s="4"/>
      <c r="H1355" s="17"/>
      <c r="I1355" s="40">
        <f>(H1336+$B$4)*EXP(10*$I$22)</f>
        <v>0.32358666323781937</v>
      </c>
      <c r="J1355" s="40">
        <f>(I1336+$B$4)*EXP(10*$J$22)</f>
        <v>0.39676534144020537</v>
      </c>
      <c r="K1355" s="40">
        <f>(J1336+$B$4)*EXP(10*$J$22)</f>
        <v>0.5077375218643303</v>
      </c>
      <c r="L1355" s="87"/>
      <c r="M1355" s="87"/>
      <c r="N1355" s="87"/>
      <c r="O1355" s="87"/>
      <c r="P1355" s="87"/>
      <c r="Q1355" s="87"/>
      <c r="R1355" s="87"/>
      <c r="S1355" s="88">
        <f>MIN($B$8,AVERAGE(T1392:T1393)/(1+I1355+$D$8/10000))+$B$7</f>
        <v>62.999224702630464</v>
      </c>
      <c r="T1355" s="88">
        <f>MIN($B$8,AVERAGE(U1390:U1391)/(1+J1355+$D$8/10000))+$B$7</f>
        <v>70.214320508144397</v>
      </c>
      <c r="U1355" s="88">
        <f t="shared" si="51"/>
        <v>81.002384716799241</v>
      </c>
    </row>
    <row r="1356" spans="1:21" x14ac:dyDescent="0.35">
      <c r="A1356" s="30"/>
      <c r="B1356" s="4"/>
      <c r="C1356" s="4"/>
      <c r="D1356" s="4"/>
      <c r="E1356" s="4"/>
      <c r="F1356" s="4"/>
      <c r="G1356" s="4"/>
      <c r="H1356" s="17"/>
      <c r="I1356" s="8">
        <f>H1337*EXP(10*I$22)</f>
        <v>0.32410759699956532</v>
      </c>
      <c r="J1356" s="8">
        <f>I1337*EXP(10*J$22)</f>
        <v>0.39739481895625689</v>
      </c>
      <c r="K1356" s="8">
        <f>J1337*EXP(10*K$22)</f>
        <v>0.4993231003100726</v>
      </c>
      <c r="L1356" s="87"/>
      <c r="M1356" s="87"/>
      <c r="N1356" s="87"/>
      <c r="O1356" s="87"/>
      <c r="P1356" s="87"/>
      <c r="Q1356" s="87"/>
      <c r="R1356" s="87"/>
      <c r="S1356" s="88">
        <f>MIN($B$8,AVERAGE(T1394:T1395)/(1+I1356+$D$8/10000))+$B$7</f>
        <v>62.851741602226653</v>
      </c>
      <c r="T1356" s="88">
        <f>MIN($B$8,AVERAGE(U1392:U1393)/(1+J1356+$D$8/10000))+$B$7</f>
        <v>70.033689343920315</v>
      </c>
      <c r="U1356" s="88">
        <f t="shared" si="51"/>
        <v>81.485124887003209</v>
      </c>
    </row>
    <row r="1357" spans="1:21" x14ac:dyDescent="0.35">
      <c r="A1357" s="30"/>
      <c r="B1357" s="4"/>
      <c r="C1357" s="4"/>
      <c r="D1357" s="4"/>
      <c r="E1357" s="4"/>
      <c r="F1357" s="4"/>
      <c r="G1357" s="4"/>
      <c r="H1357" s="17"/>
      <c r="I1357" s="40">
        <f>(H1337+$B$4)*EXP(10*$I$22)</f>
        <v>0.32660723814703729</v>
      </c>
      <c r="J1357" s="40">
        <f>(I1337+$B$4)*EXP(10*$J$22)</f>
        <v>0.39991453743515537</v>
      </c>
      <c r="K1357" s="40">
        <f>(J1337+$B$4)*EXP(10*$J$22)</f>
        <v>0.51091201247078155</v>
      </c>
      <c r="L1357" s="87"/>
      <c r="M1357" s="87"/>
      <c r="N1357" s="87"/>
      <c r="O1357" s="87"/>
      <c r="P1357" s="87"/>
      <c r="Q1357" s="87"/>
      <c r="R1357" s="87"/>
      <c r="S1357" s="88">
        <f>MIN($B$8,AVERAGE(T1396:T1397)/(1+I1357+$D$8/10000))+$B$7</f>
        <v>62.495998321695318</v>
      </c>
      <c r="T1357" s="88">
        <f>MIN($B$8,AVERAGE(U1394:U1395)/(1+J1357+$D$8/10000))+$B$7</f>
        <v>69.8632589857271</v>
      </c>
      <c r="U1357" s="88">
        <f t="shared" si="51"/>
        <v>80.821821417312279</v>
      </c>
    </row>
    <row r="1358" spans="1:21" x14ac:dyDescent="0.35">
      <c r="A1358" s="30"/>
      <c r="B1358" s="4"/>
      <c r="C1358" s="4"/>
      <c r="D1358" s="4"/>
      <c r="E1358" s="4"/>
      <c r="F1358" s="4"/>
      <c r="G1358" s="4"/>
      <c r="H1358" s="17"/>
      <c r="I1358" s="8">
        <f>H1338*EXP(10*I$22)</f>
        <v>0.32194267910498109</v>
      </c>
      <c r="J1358" s="8">
        <f>I1338*EXP(10*J$22)</f>
        <v>0.39522972509423759</v>
      </c>
      <c r="K1358" s="8">
        <f>J1338*EXP(10*K$22)</f>
        <v>0.49701733886100435</v>
      </c>
      <c r="L1358" s="87"/>
      <c r="M1358" s="87"/>
      <c r="N1358" s="87"/>
      <c r="O1358" s="87"/>
      <c r="P1358" s="87"/>
      <c r="Q1358" s="87"/>
      <c r="R1358" s="87"/>
      <c r="S1358" s="88">
        <f>MIN($B$8,AVERAGE(T1398:T1399)/(1+I1358+$D$8/10000))+$B$7</f>
        <v>63.056780707912452</v>
      </c>
      <c r="T1358" s="88">
        <f>MIN($B$8,AVERAGE(U1396:U1397)/(1+J1358+$D$8/10000))+$B$7</f>
        <v>69.966052028154508</v>
      </c>
      <c r="U1358" s="88">
        <f t="shared" si="51"/>
        <v>81.618466108058826</v>
      </c>
    </row>
    <row r="1359" spans="1:21" x14ac:dyDescent="0.35">
      <c r="A1359" s="30"/>
      <c r="B1359" s="4"/>
      <c r="C1359" s="4"/>
      <c r="D1359" s="4"/>
      <c r="E1359" s="4"/>
      <c r="F1359" s="4"/>
      <c r="G1359" s="4"/>
      <c r="H1359" s="17"/>
      <c r="I1359" s="40">
        <f>(H1338+$B$4)*EXP(10*$I$22)</f>
        <v>0.32444232025245306</v>
      </c>
      <c r="J1359" s="40">
        <f>(I1338+$B$4)*EXP(10*$J$22)</f>
        <v>0.39774944357313607</v>
      </c>
      <c r="K1359" s="40">
        <f>(J1338+$B$4)*EXP(10*$J$22)</f>
        <v>0.50856437153095335</v>
      </c>
      <c r="L1359" s="87"/>
      <c r="M1359" s="87"/>
      <c r="N1359" s="87"/>
      <c r="O1359" s="87"/>
      <c r="P1359" s="87"/>
      <c r="Q1359" s="87"/>
      <c r="R1359" s="87"/>
      <c r="S1359" s="88">
        <f>MIN($B$8,AVERAGE(T1400:T1401)/(1+I1359+$D$8/10000))+$B$7</f>
        <v>62.85606143589095</v>
      </c>
      <c r="T1359" s="88">
        <f>MIN($B$8,AVERAGE(U1398:U1399)/(1+J1359+$D$8/10000))+$B$7</f>
        <v>70.104309446154303</v>
      </c>
      <c r="U1359" s="88">
        <f t="shared" si="51"/>
        <v>80.955272258012101</v>
      </c>
    </row>
    <row r="1360" spans="1:21" x14ac:dyDescent="0.35">
      <c r="A1360" s="30"/>
      <c r="B1360" s="4"/>
      <c r="C1360" s="4"/>
      <c r="D1360" s="4"/>
      <c r="E1360" s="4"/>
      <c r="F1360" s="4"/>
      <c r="G1360" s="4"/>
      <c r="H1360" s="17"/>
      <c r="I1360" s="8">
        <f>H1339*EXP(10*I$22)</f>
        <v>0.32496325401419907</v>
      </c>
      <c r="J1360" s="8">
        <f>I1339*EXP(10*J$22)</f>
        <v>0.39837892108918765</v>
      </c>
      <c r="K1360" s="8">
        <f>J1339*EXP(10*K$22)</f>
        <v>0.50013519983224808</v>
      </c>
      <c r="L1360" s="87"/>
      <c r="M1360" s="87"/>
      <c r="N1360" s="87"/>
      <c r="O1360" s="87"/>
      <c r="P1360" s="87"/>
      <c r="Q1360" s="87"/>
      <c r="R1360" s="87"/>
      <c r="S1360" s="88">
        <f>MIN($B$8,AVERAGE(T1402:T1403)/(1+I1360+$D$8/10000))+$B$7</f>
        <v>62.709088084402616</v>
      </c>
      <c r="T1360" s="88">
        <f>MIN($B$8,AVERAGE(U1400:U1401)/(1+J1360+$D$8/10000))+$B$7</f>
        <v>69.924145221410541</v>
      </c>
      <c r="U1360" s="88">
        <f t="shared" si="51"/>
        <v>81.438270539079383</v>
      </c>
    </row>
    <row r="1361" spans="1:21" x14ac:dyDescent="0.35">
      <c r="A1361" s="30"/>
      <c r="B1361" s="4"/>
      <c r="C1361" s="4"/>
      <c r="D1361" s="4"/>
      <c r="E1361" s="4"/>
      <c r="F1361" s="4"/>
      <c r="G1361" s="4"/>
      <c r="H1361" s="17"/>
      <c r="I1361" s="40">
        <f>(H1339+$B$4)*EXP(10*$I$22)</f>
        <v>0.32746289516167104</v>
      </c>
      <c r="J1361" s="40">
        <f>(I1339+$B$4)*EXP(10*$J$22)</f>
        <v>0.40089863956808608</v>
      </c>
      <c r="K1361" s="40">
        <f>(J1339+$B$4)*EXP(10*$J$22)</f>
        <v>0.51173886213740449</v>
      </c>
      <c r="L1361" s="87"/>
      <c r="M1361" s="87"/>
      <c r="N1361" s="87"/>
      <c r="O1361" s="87"/>
      <c r="P1361" s="87"/>
      <c r="Q1361" s="87"/>
      <c r="R1361" s="87"/>
      <c r="S1361" s="88">
        <f>MIN($B$8,AVERAGE(T1404:T1405)/(1+I1361+$D$8/10000))+$B$7</f>
        <v>62.354535100381611</v>
      </c>
      <c r="T1361" s="88">
        <f>MIN($B$8,AVERAGE(U1402:U1403)/(1+J1361+$D$8/10000))+$B$7</f>
        <v>69.754138143837693</v>
      </c>
      <c r="U1361" s="88">
        <f t="shared" si="51"/>
        <v>80.77492958070637</v>
      </c>
    </row>
    <row r="1362" spans="1:21" x14ac:dyDescent="0.35">
      <c r="A1362" s="30"/>
      <c r="B1362" s="4"/>
      <c r="C1362" s="4"/>
      <c r="D1362" s="4"/>
      <c r="E1362" s="4"/>
      <c r="F1362" s="4"/>
      <c r="G1362" s="4"/>
      <c r="H1362" s="17"/>
      <c r="I1362" s="8">
        <f>H1340*EXP(10*I$22)</f>
        <v>0.32574437471571555</v>
      </c>
      <c r="J1362" s="8">
        <f>I1340*EXP(10*J$22)</f>
        <v>0.3990352243020644</v>
      </c>
      <c r="K1362" s="8">
        <f>J1340*EXP(10*K$22)</f>
        <v>0.50091410564891325</v>
      </c>
      <c r="L1362" s="87"/>
      <c r="M1362" s="87"/>
      <c r="N1362" s="87"/>
      <c r="O1362" s="87"/>
      <c r="P1362" s="87"/>
      <c r="Q1362" s="87"/>
      <c r="R1362" s="87"/>
      <c r="S1362" s="88">
        <f>MIN($B$8,AVERAGE(T1406:T1407)/(1+I1362+$D$8/10000))+$B$7</f>
        <v>62.511866492813908</v>
      </c>
      <c r="T1362" s="88">
        <f>MIN($B$8,AVERAGE(U1404:U1405)/(1+J1362+$D$8/10000))+$B$7</f>
        <v>69.707087835011123</v>
      </c>
      <c r="U1362" s="88">
        <f t="shared" si="51"/>
        <v>81.393384519739058</v>
      </c>
    </row>
    <row r="1363" spans="1:21" x14ac:dyDescent="0.35">
      <c r="A1363" s="30"/>
      <c r="B1363" s="4"/>
      <c r="C1363" s="4"/>
      <c r="D1363" s="4"/>
      <c r="E1363" s="4"/>
      <c r="F1363" s="4"/>
      <c r="G1363" s="4"/>
      <c r="H1363" s="17"/>
      <c r="I1363" s="40">
        <f>(H1340+$B$4)*EXP(10*$I$22)</f>
        <v>0.32824401586318752</v>
      </c>
      <c r="J1363" s="40">
        <f>(I1340+$B$4)*EXP(10*$J$22)</f>
        <v>0.40155494278096282</v>
      </c>
      <c r="K1363" s="40">
        <f>(J1340+$B$4)*EXP(10*$J$22)</f>
        <v>0.51253191520202768</v>
      </c>
      <c r="L1363" s="87"/>
      <c r="M1363" s="87"/>
      <c r="N1363" s="87"/>
      <c r="O1363" s="87"/>
      <c r="P1363" s="87"/>
      <c r="Q1363" s="87"/>
      <c r="R1363" s="87"/>
      <c r="S1363" s="88">
        <f>MIN($B$8,AVERAGE(T1408:T1409)/(1+I1363+$D$8/10000))+$B$7</f>
        <v>62.225811215083198</v>
      </c>
      <c r="T1363" s="88">
        <f>MIN($B$8,AVERAGE(U1406:U1407)/(1+J1363+$D$8/10000))+$B$7</f>
        <v>69.681518426692662</v>
      </c>
      <c r="U1363" s="88">
        <f t="shared" si="51"/>
        <v>80.730008150016829</v>
      </c>
    </row>
    <row r="1364" spans="1:21" x14ac:dyDescent="0.35">
      <c r="A1364" s="30"/>
      <c r="B1364" s="4"/>
      <c r="C1364" s="4"/>
      <c r="D1364" s="4"/>
      <c r="E1364" s="4"/>
      <c r="F1364" s="4"/>
      <c r="G1364" s="4"/>
      <c r="H1364" s="17"/>
      <c r="I1364" s="8">
        <f>H1341*EXP(10*I$22)</f>
        <v>0.32876494962493358</v>
      </c>
      <c r="J1364" s="8">
        <f>I1341*EXP(10*J$22)</f>
        <v>0.4021844202970144</v>
      </c>
      <c r="K1364" s="8">
        <f>J1341*EXP(10*K$22)</f>
        <v>0.50403196662015715</v>
      </c>
      <c r="L1364" s="87"/>
      <c r="M1364" s="87"/>
      <c r="N1364" s="87"/>
      <c r="O1364" s="87"/>
      <c r="P1364" s="87"/>
      <c r="Q1364" s="87"/>
      <c r="R1364" s="87"/>
      <c r="S1364" s="88">
        <f>MIN($B$8,AVERAGE(T1410:T1411)/(1+I1364+$D$8/10000))+$B$7</f>
        <v>62.081075980600183</v>
      </c>
      <c r="T1364" s="88">
        <f>MIN($B$8,AVERAGE(U1408:U1409)/(1+J1364+$D$8/10000))+$B$7</f>
        <v>69.503144728642837</v>
      </c>
      <c r="U1364" s="88">
        <f t="shared" si="51"/>
        <v>81.214231308141876</v>
      </c>
    </row>
    <row r="1365" spans="1:21" x14ac:dyDescent="0.35">
      <c r="A1365" s="30"/>
      <c r="B1365" s="4"/>
      <c r="C1365" s="4"/>
      <c r="D1365" s="4"/>
      <c r="E1365" s="4"/>
      <c r="F1365" s="4"/>
      <c r="G1365" s="4"/>
      <c r="H1365" s="17"/>
      <c r="I1365" s="40">
        <f>(H1341+$B$4)*EXP(10*$I$22)</f>
        <v>0.33126459077240555</v>
      </c>
      <c r="J1365" s="40">
        <f>(I1341+$B$4)*EXP(10*$J$22)</f>
        <v>0.40470413877591288</v>
      </c>
      <c r="K1365" s="40">
        <f>(J1341+$B$4)*EXP(10*$K$22)</f>
        <v>0.50650673592264439</v>
      </c>
      <c r="L1365" s="87"/>
      <c r="M1365" s="87"/>
      <c r="N1365" s="87"/>
      <c r="O1365" s="87"/>
      <c r="P1365" s="87"/>
      <c r="Q1365" s="87"/>
      <c r="R1365" s="87"/>
      <c r="S1365" s="88">
        <f>MIN($B$8,AVERAGE(T1412:T1413)/(1+I1365+$D$8/10000))+$B$7</f>
        <v>61.731750783837995</v>
      </c>
      <c r="T1365" s="88">
        <f>MIN($B$8,AVERAGE(U1410:U1411)/(1+J1365+$D$8/10000))+$B$7</f>
        <v>69.334761226745329</v>
      </c>
      <c r="U1365" s="88">
        <f t="shared" si="51"/>
        <v>81.072619700153169</v>
      </c>
    </row>
    <row r="1366" spans="1:21" x14ac:dyDescent="0.35">
      <c r="A1366" s="30"/>
      <c r="B1366" s="4"/>
      <c r="C1366" s="4"/>
      <c r="D1366" s="4"/>
      <c r="E1366" s="4"/>
      <c r="F1366" s="4"/>
      <c r="G1366" s="4"/>
      <c r="H1366" s="17"/>
      <c r="I1366" s="8">
        <f>H1342*EXP(10*I$22)</f>
        <v>0.32317645265452227</v>
      </c>
      <c r="J1366" s="8">
        <f>I1342*EXP(10*J$22)</f>
        <v>0.3963077324899234</v>
      </c>
      <c r="K1366" s="8">
        <f>J1342*EXP(10*K$22)</f>
        <v>0.49823505173554872</v>
      </c>
      <c r="L1366" s="87"/>
      <c r="M1366" s="87"/>
      <c r="N1366" s="87"/>
      <c r="O1366" s="87"/>
      <c r="P1366" s="87"/>
      <c r="Q1366" s="87"/>
      <c r="R1366" s="87"/>
      <c r="S1366" s="88">
        <f>MIN($B$8,AVERAGE(T1414:T1415)/(1+I1366+$D$8/10000))+$B$7</f>
        <v>62.747486798165397</v>
      </c>
      <c r="T1366" s="88">
        <f>MIN($B$8,AVERAGE(U1412:U1413)/(1+J1366+$D$8/10000))+$B$7</f>
        <v>69.632446011373929</v>
      </c>
      <c r="U1366" s="88">
        <f t="shared" si="51"/>
        <v>81.547989149255443</v>
      </c>
    </row>
    <row r="1367" spans="1:21" x14ac:dyDescent="0.35">
      <c r="A1367" s="30"/>
      <c r="B1367" s="4"/>
      <c r="C1367" s="4"/>
      <c r="D1367" s="4"/>
      <c r="E1367" s="4"/>
      <c r="F1367" s="4"/>
      <c r="G1367" s="4"/>
      <c r="H1367" s="17"/>
      <c r="I1367" s="40">
        <f>(H1342+$B$4)*EXP(10*$I$22)</f>
        <v>0.32567609380199425</v>
      </c>
      <c r="J1367" s="40">
        <f>(I1342+$B$4)*EXP(10*$J$22)</f>
        <v>0.39882745096882183</v>
      </c>
      <c r="K1367" s="40">
        <f>(J1342+$B$4)*EXP(10*$K$22)</f>
        <v>0.50070982103803596</v>
      </c>
      <c r="L1367" s="87"/>
      <c r="M1367" s="87"/>
      <c r="N1367" s="87"/>
      <c r="O1367" s="87"/>
      <c r="P1367" s="87"/>
      <c r="Q1367" s="87"/>
      <c r="R1367" s="87"/>
      <c r="S1367" s="88">
        <f>MIN($B$8,AVERAGE(T1416:T1417)/(1+I1367+$D$8/10000))+$B$7</f>
        <v>62.650485927112697</v>
      </c>
      <c r="T1367" s="88">
        <f>MIN($B$8,AVERAGE(U1414:U1415)/(1+J1367+$D$8/10000))+$B$7</f>
        <v>69.984121313233985</v>
      </c>
      <c r="U1367" s="88">
        <f t="shared" si="51"/>
        <v>81.405151797866893</v>
      </c>
    </row>
    <row r="1368" spans="1:21" x14ac:dyDescent="0.35">
      <c r="A1368" s="30"/>
      <c r="B1368" s="4"/>
      <c r="C1368" s="4"/>
      <c r="D1368" s="4"/>
      <c r="E1368" s="4"/>
      <c r="F1368" s="4"/>
      <c r="G1368" s="4"/>
      <c r="H1368" s="17"/>
      <c r="I1368" s="8">
        <f>H1343*EXP(10*I$22)</f>
        <v>0.32619702756374019</v>
      </c>
      <c r="J1368" s="8">
        <f>I1343*EXP(10*J$22)</f>
        <v>0.39945692848487346</v>
      </c>
      <c r="K1368" s="8">
        <f>J1343*EXP(10*K$22)</f>
        <v>0.5013529127067925</v>
      </c>
      <c r="L1368" s="87"/>
      <c r="M1368" s="87"/>
      <c r="N1368" s="87"/>
      <c r="O1368" s="87"/>
      <c r="P1368" s="87"/>
      <c r="Q1368" s="87"/>
      <c r="R1368" s="87"/>
      <c r="S1368" s="88">
        <f>MIN($B$8,AVERAGE(T1418:T1419)/(1+I1368+$D$8/10000))+$B$7</f>
        <v>62.50424367510896</v>
      </c>
      <c r="T1368" s="88">
        <f>MIN($B$8,AVERAGE(U1416:U1417)/(1+J1368+$D$8/10000))+$B$7</f>
        <v>69.804466733329406</v>
      </c>
      <c r="U1368" s="88">
        <f t="shared" si="51"/>
        <v>81.368120284886785</v>
      </c>
    </row>
    <row r="1369" spans="1:21" x14ac:dyDescent="0.35">
      <c r="A1369" s="30"/>
      <c r="B1369" s="4"/>
      <c r="C1369" s="4"/>
      <c r="D1369" s="4"/>
      <c r="E1369" s="4"/>
      <c r="F1369" s="4"/>
      <c r="G1369" s="4"/>
      <c r="H1369" s="17"/>
      <c r="I1369" s="40">
        <f>(H1343+$B$4)*EXP(10*$I$22)</f>
        <v>0.32869666871121217</v>
      </c>
      <c r="J1369" s="40">
        <f>(I1343+$B$4)*EXP(10*$J$22)</f>
        <v>0.40197664696377189</v>
      </c>
      <c r="K1369" s="40">
        <f>(J1343+$B$4)*EXP(10*$K$22)</f>
        <v>0.50382768200927974</v>
      </c>
      <c r="L1369" s="87"/>
      <c r="M1369" s="87"/>
      <c r="N1369" s="87"/>
      <c r="O1369" s="87"/>
      <c r="P1369" s="87"/>
      <c r="Q1369" s="87"/>
      <c r="R1369" s="87"/>
      <c r="S1369" s="88">
        <f>MIN($B$8,AVERAGE(T1420:T1421)/(1+I1369+$D$8/10000))+$B$7</f>
        <v>62.15139809658956</v>
      </c>
      <c r="T1369" s="88">
        <f>MIN($B$8,AVERAGE(U1418:U1419)/(1+J1369+$D$8/10000))+$B$7</f>
        <v>69.634921705718298</v>
      </c>
      <c r="U1369" s="88">
        <f t="shared" si="51"/>
        <v>81.225944166497314</v>
      </c>
    </row>
    <row r="1370" spans="1:21" x14ac:dyDescent="0.35">
      <c r="A1370" s="30"/>
      <c r="B1370" s="4"/>
      <c r="C1370" s="4"/>
      <c r="D1370" s="4"/>
      <c r="E1370" s="4"/>
      <c r="F1370" s="4"/>
      <c r="G1370" s="4"/>
      <c r="H1370" s="17"/>
      <c r="I1370" s="8">
        <f>H1344*EXP(10*I$22)</f>
        <v>0.32697814826525673</v>
      </c>
      <c r="J1370" s="8">
        <f>I1344*EXP(10*J$22)</f>
        <v>0.4001132316977502</v>
      </c>
      <c r="K1370" s="8">
        <f>J1344*EXP(10*K$22)</f>
        <v>0.50213181852345767</v>
      </c>
      <c r="L1370" s="87"/>
      <c r="M1370" s="87"/>
      <c r="N1370" s="87"/>
      <c r="O1370" s="87"/>
      <c r="P1370" s="87"/>
      <c r="Q1370" s="87"/>
      <c r="R1370" s="87"/>
      <c r="S1370" s="88">
        <f>MIN($B$8,AVERAGE(T1422:T1423)/(1+I1370+$D$8/10000))+$B$7</f>
        <v>62.307998243368573</v>
      </c>
      <c r="T1370" s="88">
        <f>MIN($B$8,AVERAGE(U1420:U1421)/(1+J1370+$D$8/10000))+$B$7</f>
        <v>69.58802319342432</v>
      </c>
      <c r="U1370" s="88">
        <f t="shared" si="51"/>
        <v>81.323315528428907</v>
      </c>
    </row>
    <row r="1371" spans="1:21" x14ac:dyDescent="0.35">
      <c r="A1371" s="30"/>
      <c r="B1371" s="4"/>
      <c r="C1371" s="4"/>
      <c r="D1371" s="4"/>
      <c r="E1371" s="4"/>
      <c r="F1371" s="4"/>
      <c r="G1371" s="4"/>
      <c r="H1371" s="17"/>
      <c r="I1371" s="40">
        <f>(H1344+$B$4)*EXP(10*$I$22)</f>
        <v>0.32947778941272871</v>
      </c>
      <c r="J1371" s="40">
        <f>(I1344+$B$4)*EXP(10*$J$22)</f>
        <v>0.40263295017664863</v>
      </c>
      <c r="K1371" s="40">
        <f>(J1344+$B$4)*EXP(10*$K$22)</f>
        <v>0.50460658782594492</v>
      </c>
      <c r="L1371" s="87"/>
      <c r="M1371" s="87"/>
      <c r="N1371" s="87"/>
      <c r="O1371" s="87"/>
      <c r="P1371" s="87"/>
      <c r="Q1371" s="87"/>
      <c r="R1371" s="87"/>
      <c r="S1371" s="88">
        <f>MIN($B$8,AVERAGE(T1424:T1425)/(1+I1371+$D$8/10000))+$B$7</f>
        <v>62.023298834489466</v>
      </c>
      <c r="T1371" s="88">
        <f>MIN($B$8,AVERAGE(U1422:U1423)/(1+J1371+$D$8/10000))+$B$7</f>
        <v>69.562503164957178</v>
      </c>
      <c r="U1371" s="88">
        <f t="shared" si="51"/>
        <v>81.18130388283511</v>
      </c>
    </row>
    <row r="1372" spans="1:21" x14ac:dyDescent="0.35">
      <c r="A1372" s="30"/>
      <c r="B1372" s="4"/>
      <c r="C1372" s="4"/>
      <c r="D1372" s="4"/>
      <c r="E1372" s="4"/>
      <c r="F1372" s="4"/>
      <c r="G1372" s="4"/>
      <c r="H1372" s="17"/>
      <c r="I1372" s="8">
        <f>H1345*EXP(10*I$22)</f>
        <v>0.32999872317447476</v>
      </c>
      <c r="J1372" s="8">
        <f>I1345*EXP(10*J$22)</f>
        <v>0.40326242769270021</v>
      </c>
      <c r="K1372" s="8">
        <f>J1345*EXP(10*K$22)</f>
        <v>0.50524967949470156</v>
      </c>
      <c r="L1372" s="87"/>
      <c r="M1372" s="87"/>
      <c r="N1372" s="87"/>
      <c r="O1372" s="87"/>
      <c r="P1372" s="87"/>
      <c r="Q1372" s="87"/>
      <c r="R1372" s="87"/>
      <c r="S1372" s="88">
        <f>MIN($B$8,AVERAGE(T1426:T1427)/(1+I1372+$D$8/10000))+$B$7</f>
        <v>61.87928068401353</v>
      </c>
      <c r="T1372" s="88">
        <f>MIN($B$8,AVERAGE(U1424:U1425)/(1+J1372+$D$8/10000))+$B$7</f>
        <v>69.384632351664052</v>
      </c>
      <c r="U1372" s="88">
        <f t="shared" si="51"/>
        <v>81.144486192042677</v>
      </c>
    </row>
    <row r="1373" spans="1:21" x14ac:dyDescent="0.35">
      <c r="A1373" s="30"/>
      <c r="B1373" s="4"/>
      <c r="C1373" s="4"/>
      <c r="D1373" s="4"/>
      <c r="E1373" s="4"/>
      <c r="F1373" s="4"/>
      <c r="G1373" s="4"/>
      <c r="H1373" s="17"/>
      <c r="I1373" s="40">
        <f>(H1345+$B$4)*EXP(10*$I$22)</f>
        <v>0.33249836432194668</v>
      </c>
      <c r="J1373" s="40">
        <f>(I1345+$B$4)*EXP(10*$J$22)</f>
        <v>0.40578214617159869</v>
      </c>
      <c r="K1373" s="40">
        <f>(J1345+$B$4)*EXP(10*$K$22)</f>
        <v>0.5077244487971887</v>
      </c>
      <c r="L1373" s="87"/>
      <c r="M1373" s="87"/>
      <c r="N1373" s="87"/>
      <c r="O1373" s="87"/>
      <c r="P1373" s="87"/>
      <c r="Q1373" s="87"/>
      <c r="R1373" s="87"/>
      <c r="S1373" s="88">
        <f>MIN($B$8,AVERAGE(T1428:T1429)/(1+I1373+$D$8/10000))+$B$7</f>
        <v>61.531631019198727</v>
      </c>
      <c r="T1373" s="88">
        <f>MIN($B$8,AVERAGE(U1426:U1427)/(1+J1373+$D$8/10000))+$B$7</f>
        <v>69.216704977655837</v>
      </c>
      <c r="U1373" s="88">
        <f t="shared" si="51"/>
        <v>81.003130060707875</v>
      </c>
    </row>
    <row r="1374" spans="1:21" x14ac:dyDescent="0.35">
      <c r="A1374" s="30"/>
      <c r="B1374" s="4"/>
      <c r="C1374" s="4"/>
      <c r="D1374" s="4"/>
      <c r="E1374" s="4"/>
      <c r="F1374" s="4"/>
      <c r="G1374" s="4"/>
      <c r="H1374" s="17"/>
      <c r="I1374" s="8">
        <f>H1346*EXP(10*I$22)</f>
        <v>0.32783380527989042</v>
      </c>
      <c r="J1374" s="8">
        <f>I1346*EXP(10*J$22)</f>
        <v>0.4010973338306808</v>
      </c>
      <c r="K1374" s="8">
        <f>J1346*EXP(10*K$22)</f>
        <v>0.50294391804563321</v>
      </c>
      <c r="L1374" s="87"/>
      <c r="M1374" s="87"/>
      <c r="N1374" s="87"/>
      <c r="O1374" s="87"/>
      <c r="P1374" s="87"/>
      <c r="Q1374" s="87"/>
      <c r="R1374" s="87"/>
      <c r="S1374" s="88">
        <f>MIN($B$8,AVERAGE(T1430:T1431)/(1+I1374+$D$8/10000))+$B$7</f>
        <v>62.079792458544837</v>
      </c>
      <c r="T1374" s="88">
        <f>MIN($B$8,AVERAGE(U1428:U1429)/(1+J1374+$D$8/10000))+$B$7</f>
        <v>69.318147769009727</v>
      </c>
      <c r="U1374" s="88">
        <f t="shared" si="51"/>
        <v>81.276656605711835</v>
      </c>
    </row>
    <row r="1375" spans="1:21" x14ac:dyDescent="0.35">
      <c r="A1375" s="30"/>
      <c r="B1375" s="4"/>
      <c r="C1375" s="4"/>
      <c r="D1375" s="4"/>
      <c r="E1375" s="4"/>
      <c r="F1375" s="4"/>
      <c r="G1375" s="4"/>
      <c r="H1375" s="17"/>
      <c r="I1375" s="40">
        <f>(H1346+$B$4)*EXP(10*$I$22)</f>
        <v>0.3303334464273624</v>
      </c>
      <c r="J1375" s="40">
        <f>(I1346+$B$4)*EXP(10*$J$22)</f>
        <v>0.40361705230957923</v>
      </c>
      <c r="K1375" s="40">
        <f>(J1346+$B$4)*EXP(10*$K$22)</f>
        <v>0.50541868734812045</v>
      </c>
      <c r="L1375" s="87"/>
      <c r="M1375" s="87"/>
      <c r="N1375" s="87"/>
      <c r="O1375" s="87"/>
      <c r="P1375" s="87"/>
      <c r="Q1375" s="87"/>
      <c r="R1375" s="87"/>
      <c r="S1375" s="88">
        <f>MIN($B$8,AVERAGE(T1432:T1433)/(1+I1375+$D$8/10000))+$B$7</f>
        <v>61.883427577262431</v>
      </c>
      <c r="T1375" s="88">
        <f>MIN($B$8,AVERAGE(U1430:U1431)/(1+J1375+$D$8/10000))+$B$7</f>
        <v>69.454143013803616</v>
      </c>
      <c r="U1375" s="88">
        <f t="shared" si="51"/>
        <v>81.134816138339218</v>
      </c>
    </row>
    <row r="1376" spans="1:21" x14ac:dyDescent="0.35">
      <c r="A1376" s="30"/>
      <c r="B1376" s="4"/>
      <c r="C1376" s="4"/>
      <c r="D1376" s="4"/>
      <c r="E1376" s="4"/>
      <c r="F1376" s="4"/>
      <c r="G1376" s="4"/>
      <c r="H1376" s="17"/>
      <c r="I1376" s="8">
        <f>H1347*EXP(10*I$22)</f>
        <v>0.33085438018910845</v>
      </c>
      <c r="J1376" s="8">
        <f>I1347*EXP(10*J$22)</f>
        <v>0.40424652982563081</v>
      </c>
      <c r="K1376" s="8">
        <f>J1347*EXP(10*K$22)</f>
        <v>0.5060617790168771</v>
      </c>
      <c r="L1376" s="87"/>
      <c r="M1376" s="87"/>
      <c r="N1376" s="87"/>
      <c r="O1376" s="87"/>
      <c r="P1376" s="87"/>
      <c r="Q1376" s="87"/>
      <c r="R1376" s="87"/>
      <c r="S1376" s="88">
        <f>MIN($B$8,AVERAGE(T1434:T1435)/(1+I1376+$D$8/10000))+$B$7</f>
        <v>61.739904112797269</v>
      </c>
      <c r="T1376" s="88">
        <f>MIN($B$8,AVERAGE(U1432:U1433)/(1+J1376+$D$8/10000))+$B$7</f>
        <v>69.276729624564808</v>
      </c>
      <c r="U1376" s="88">
        <f t="shared" si="51"/>
        <v>81.098042775593029</v>
      </c>
    </row>
    <row r="1377" spans="1:21" x14ac:dyDescent="0.35">
      <c r="A1377" s="30"/>
      <c r="B1377" s="4"/>
      <c r="C1377" s="4"/>
      <c r="D1377" s="4"/>
      <c r="E1377" s="4"/>
      <c r="F1377" s="4"/>
      <c r="G1377" s="4"/>
      <c r="H1377" s="17"/>
      <c r="I1377" s="40">
        <f>(H1347+$B$4)*EXP(10*$I$22)</f>
        <v>0.33335402133658043</v>
      </c>
      <c r="J1377" s="40">
        <f>(I1347+$B$4)*EXP(10*$J$22)</f>
        <v>0.40676624830452929</v>
      </c>
      <c r="K1377" s="40">
        <f>(J1347+$B$4)*EXP(10*$K$22)</f>
        <v>0.50853654831936435</v>
      </c>
      <c r="L1377" s="87"/>
      <c r="M1377" s="87"/>
      <c r="N1377" s="87"/>
      <c r="O1377" s="87"/>
      <c r="P1377" s="87"/>
      <c r="Q1377" s="87"/>
      <c r="R1377" s="87"/>
      <c r="S1377" s="88">
        <f>MIN($B$8,AVERAGE(T1436:T1437)/(1+I1377+$D$8/10000))+$B$7</f>
        <v>61.393410488970154</v>
      </c>
      <c r="T1377" s="88">
        <f>MIN($B$8,AVERAGE(U1434:U1435)/(1+J1377+$D$8/10000))+$B$7</f>
        <v>69.109217195335361</v>
      </c>
      <c r="U1377" s="88">
        <f t="shared" si="51"/>
        <v>80.956856638985826</v>
      </c>
    </row>
    <row r="1378" spans="1:21" x14ac:dyDescent="0.35">
      <c r="A1378" s="30"/>
      <c r="B1378" s="4"/>
      <c r="C1378" s="4"/>
      <c r="D1378" s="4"/>
      <c r="E1378" s="4"/>
      <c r="F1378" s="4"/>
      <c r="G1378" s="4"/>
      <c r="H1378" s="17"/>
      <c r="I1378" s="8">
        <f>H1348*EXP(10*I$22)</f>
        <v>0.33163550089062493</v>
      </c>
      <c r="J1378" s="8">
        <f>I1348*EXP(10*J$22)</f>
        <v>0.40490283303850755</v>
      </c>
      <c r="K1378" s="8">
        <f>J1348*EXP(10*K$22)</f>
        <v>0.50684068483354217</v>
      </c>
      <c r="L1378" s="87"/>
      <c r="M1378" s="87"/>
      <c r="N1378" s="87"/>
      <c r="O1378" s="87"/>
      <c r="P1378" s="87"/>
      <c r="Q1378" s="87"/>
      <c r="R1378" s="87"/>
      <c r="S1378" s="88">
        <f>MIN($B$8,AVERAGE(T1438:T1439)/(1+I1378+$D$8/10000))+$B$7</f>
        <v>61.547289025733491</v>
      </c>
      <c r="T1378" s="88">
        <f>MIN($B$8,AVERAGE(U1436:U1437)/(1+J1378+$D$8/10000))+$B$7</f>
        <v>69.062985523798176</v>
      </c>
      <c r="U1378" s="88">
        <f t="shared" si="51"/>
        <v>81.05355019311132</v>
      </c>
    </row>
    <row r="1379" spans="1:21" x14ac:dyDescent="0.35">
      <c r="A1379" s="30"/>
      <c r="B1379" s="4"/>
      <c r="C1379" s="4"/>
      <c r="D1379" s="4"/>
      <c r="E1379" s="4"/>
      <c r="F1379" s="4"/>
      <c r="G1379" s="4"/>
      <c r="H1379" s="17"/>
      <c r="I1379" s="40">
        <f>(H1348+$B$4)*EXP(10*$I$22)</f>
        <v>0.33413514203809691</v>
      </c>
      <c r="J1379" s="40">
        <f>(I1348+$B$4)*EXP(10*$J$22)</f>
        <v>0.40742255151740603</v>
      </c>
      <c r="K1379" s="40">
        <f>(J1348+$B$4)*EXP(10*$K$22)</f>
        <v>0.50931545413602941</v>
      </c>
      <c r="L1379" s="87"/>
      <c r="M1379" s="87"/>
      <c r="N1379" s="87"/>
      <c r="O1379" s="87"/>
      <c r="P1379" s="87"/>
      <c r="Q1379" s="87"/>
      <c r="R1379" s="87"/>
      <c r="S1379" s="88">
        <f>MIN($B$8,AVERAGE(T1440:T1441)/(1+I1379+$D$8/10000))+$B$7</f>
        <v>61.267634765813234</v>
      </c>
      <c r="T1379" s="88">
        <f>MIN($B$8,AVERAGE(U1438:U1439)/(1+J1379+$D$8/10000))+$B$7</f>
        <v>69.037683500253706</v>
      </c>
      <c r="U1379" s="88">
        <f t="shared" si="51"/>
        <v>80.912526814933202</v>
      </c>
    </row>
    <row r="1380" spans="1:21" x14ac:dyDescent="0.35">
      <c r="A1380" s="30"/>
      <c r="B1380" s="4"/>
      <c r="C1380" s="4"/>
      <c r="D1380" s="4"/>
      <c r="E1380" s="4"/>
      <c r="F1380" s="4"/>
      <c r="G1380" s="4"/>
      <c r="H1380" s="17"/>
      <c r="I1380" s="8">
        <f>H1349*EXP(10*I$22)</f>
        <v>0.33465607579984291</v>
      </c>
      <c r="J1380" s="8">
        <f>I1349*EXP(10*J$22)</f>
        <v>0.40805202903345761</v>
      </c>
      <c r="K1380" s="8">
        <f>J1349*EXP(10*K$22)</f>
        <v>0.50995854580478606</v>
      </c>
      <c r="L1380" s="87"/>
      <c r="M1380" s="87"/>
      <c r="N1380" s="87"/>
      <c r="O1380" s="87"/>
      <c r="P1380" s="87"/>
      <c r="Q1380" s="87"/>
      <c r="R1380" s="87"/>
      <c r="S1380" s="88">
        <f>MIN($B$8,AVERAGE(T1442:T1443)/(1+I1380+$D$8/10000))+$B$7</f>
        <v>61.126283441804453</v>
      </c>
      <c r="T1380" s="88">
        <f>MIN($B$8,AVERAGE(U1440:U1441)/(1+J1380+$D$8/10000))+$B$7</f>
        <v>68.8620242261714</v>
      </c>
      <c r="U1380" s="88">
        <f t="shared" si="51"/>
        <v>80.875965045615814</v>
      </c>
    </row>
    <row r="1381" spans="1:21" x14ac:dyDescent="0.35">
      <c r="A1381" s="30"/>
      <c r="B1381" s="4"/>
      <c r="C1381" s="4"/>
      <c r="D1381" s="4"/>
      <c r="E1381" s="4"/>
      <c r="F1381" s="4"/>
      <c r="G1381" s="4"/>
      <c r="H1381" s="17"/>
      <c r="I1381" s="40">
        <f>(H1349+$B$4)*EXP(10*$I$22)</f>
        <v>0.33715571694731489</v>
      </c>
      <c r="J1381" s="40">
        <f>(I1349+$B$4)*EXP(10*$J$22)</f>
        <v>0.41057174751235609</v>
      </c>
      <c r="K1381" s="40">
        <f>(J1349+$B$4)*EXP(10*$K$22)</f>
        <v>0.5124333151072733</v>
      </c>
      <c r="L1381" s="87"/>
      <c r="M1381" s="87"/>
      <c r="N1381" s="87"/>
      <c r="O1381" s="87"/>
      <c r="P1381" s="87"/>
      <c r="Q1381" s="87"/>
      <c r="R1381" s="87"/>
      <c r="S1381" s="88">
        <f>MIN($B$8,AVERAGE(T1444:T1445)/(1+I1381+$D$8/10000))+$B$7</f>
        <v>60.784867511953387</v>
      </c>
      <c r="T1381" s="88">
        <f>MIN($B$8,AVERAGE(U1442:U1443)/(1+J1381+$D$8/10000))+$B$7</f>
        <v>68.696103464266614</v>
      </c>
      <c r="U1381" s="88">
        <f t="shared" si="51"/>
        <v>80.735590358803421</v>
      </c>
    </row>
    <row r="1382" spans="1:21" x14ac:dyDescent="0.35">
      <c r="A1382" s="30"/>
      <c r="B1382" s="4"/>
      <c r="C1382" s="4"/>
      <c r="D1382" s="4"/>
      <c r="E1382" s="4"/>
      <c r="F1382" s="4"/>
      <c r="G1382" s="4"/>
      <c r="H1382" s="17"/>
      <c r="I1382" s="4"/>
      <c r="J1382" s="8">
        <f>I1350*EXP(10*J$22)</f>
        <v>0.39973485010700616</v>
      </c>
      <c r="K1382" s="8">
        <f>J1350*EXP(10*K$22)</f>
        <v>0.48312461636220827</v>
      </c>
      <c r="L1382" s="87"/>
      <c r="M1382" s="87"/>
      <c r="N1382" s="87"/>
      <c r="O1382" s="87"/>
      <c r="P1382" s="87"/>
      <c r="Q1382" s="87"/>
      <c r="R1382" s="87"/>
      <c r="S1382" s="87"/>
      <c r="T1382" s="88">
        <f>MIN($B$8,AVERAGE(U1444:U1445)/(1+J1382+$D$8/10000))+$B$7</f>
        <v>69.117266312599526</v>
      </c>
      <c r="U1382" s="88">
        <f t="shared" ref="U1382:U1445" si="55">MIN($B$8,((100+$B$7)/(1+K1382+$D$8/10000)))+$B$7</f>
        <v>82.431690986286327</v>
      </c>
    </row>
    <row r="1383" spans="1:21" x14ac:dyDescent="0.35">
      <c r="A1383" s="30"/>
      <c r="B1383" s="4"/>
      <c r="C1383" s="4"/>
      <c r="D1383" s="4"/>
      <c r="E1383" s="4"/>
      <c r="F1383" s="4"/>
      <c r="G1383" s="4"/>
      <c r="H1383" s="17"/>
      <c r="I1383" s="38"/>
      <c r="J1383" s="40">
        <f>(I1350+$B$4)*EXP(10*$J$22)</f>
        <v>0.40225456858590464</v>
      </c>
      <c r="K1383" s="40">
        <f>(J1350+$B$4)*EXP(10*$K$22)</f>
        <v>0.48559938566469552</v>
      </c>
      <c r="L1383" s="87"/>
      <c r="M1383" s="87"/>
      <c r="N1383" s="87"/>
      <c r="O1383" s="87"/>
      <c r="P1383" s="87"/>
      <c r="Q1383" s="87"/>
      <c r="R1383" s="87"/>
      <c r="S1383" s="87"/>
      <c r="T1383" s="88">
        <f>MIN($B$8,AVERAGE(U1446:U1447)/(1+J1383+$D$8/10000))+$B$7</f>
        <v>69.604240044103648</v>
      </c>
      <c r="U1383" s="88">
        <f t="shared" si="55"/>
        <v>82.285582733217396</v>
      </c>
    </row>
    <row r="1384" spans="1:21" x14ac:dyDescent="0.35">
      <c r="A1384" s="30"/>
      <c r="B1384" s="4"/>
      <c r="C1384" s="4"/>
      <c r="D1384" s="4"/>
      <c r="E1384" s="4"/>
      <c r="F1384" s="4"/>
      <c r="G1384" s="4"/>
      <c r="H1384" s="17"/>
      <c r="J1384" s="8">
        <f>I1351*EXP(10*J$22)</f>
        <v>0.40288404610195622</v>
      </c>
      <c r="K1384" s="8">
        <f>J1351*EXP(10*K$22)</f>
        <v>0.48624247733345211</v>
      </c>
      <c r="L1384" s="87"/>
      <c r="M1384" s="87"/>
      <c r="N1384" s="87"/>
      <c r="O1384" s="87"/>
      <c r="P1384" s="87"/>
      <c r="Q1384" s="87"/>
      <c r="R1384" s="87"/>
      <c r="S1384" s="87"/>
      <c r="T1384" s="88">
        <f>MIN($B$8,AVERAGE(U1448:U1449)/(1+J1384+$D$8/10000))+$B$7</f>
        <v>69.217368849848953</v>
      </c>
      <c r="U1384" s="88">
        <f t="shared" si="55"/>
        <v>82.24770421887186</v>
      </c>
    </row>
    <row r="1385" spans="1:21" x14ac:dyDescent="0.35">
      <c r="A1385" s="30"/>
      <c r="B1385" s="4"/>
      <c r="C1385" s="4"/>
      <c r="D1385" s="4"/>
      <c r="E1385" s="4"/>
      <c r="F1385" s="4"/>
      <c r="G1385" s="4"/>
      <c r="H1385" s="17"/>
      <c r="J1385" s="40">
        <f>(I1351+$B$4)*EXP(10*$J$22)</f>
        <v>0.4054037645808547</v>
      </c>
      <c r="K1385" s="40">
        <f>(J1351+$B$4)*EXP(10*$K$22)</f>
        <v>0.4887172466359393</v>
      </c>
      <c r="L1385" s="87"/>
      <c r="M1385" s="87"/>
      <c r="N1385" s="87"/>
      <c r="O1385" s="87"/>
      <c r="P1385" s="87"/>
      <c r="Q1385" s="87"/>
      <c r="R1385" s="87"/>
      <c r="S1385" s="87"/>
      <c r="T1385" s="88">
        <f>MIN($B$8,AVERAGE(U1450:U1451)/(1+J1385+$D$8/10000))+$B$7</f>
        <v>69.258105648214595</v>
      </c>
      <c r="U1385" s="88">
        <f t="shared" si="55"/>
        <v>82.102280014126606</v>
      </c>
    </row>
    <row r="1386" spans="1:21" x14ac:dyDescent="0.35">
      <c r="A1386" s="30"/>
      <c r="B1386" s="4"/>
      <c r="C1386" s="4"/>
      <c r="D1386" s="4"/>
      <c r="E1386" s="4"/>
      <c r="F1386" s="4"/>
      <c r="G1386" s="4"/>
      <c r="H1386" s="17"/>
      <c r="J1386" s="8">
        <f>I1352*EXP(10*J$22)</f>
        <v>0.40354034931483301</v>
      </c>
      <c r="K1386" s="8">
        <f>J1352*EXP(10*K$22)</f>
        <v>0.48702138315011723</v>
      </c>
      <c r="L1386" s="87"/>
      <c r="M1386" s="87"/>
      <c r="N1386" s="87"/>
      <c r="O1386" s="87"/>
      <c r="P1386" s="87"/>
      <c r="Q1386" s="87"/>
      <c r="R1386" s="87"/>
      <c r="S1386" s="87"/>
      <c r="T1386" s="88">
        <f>MIN($B$8,AVERAGE(U1452:U1453)/(1+J1386+$D$8/10000))+$B$7</f>
        <v>69.211685535099676</v>
      </c>
      <c r="U1386" s="88">
        <f t="shared" si="55"/>
        <v>82.201875219053548</v>
      </c>
    </row>
    <row r="1387" spans="1:21" x14ac:dyDescent="0.35">
      <c r="A1387" s="30"/>
      <c r="B1387" s="4"/>
      <c r="C1387" s="4"/>
      <c r="D1387" s="4"/>
      <c r="E1387" s="4"/>
      <c r="F1387" s="4"/>
      <c r="G1387" s="4"/>
      <c r="H1387" s="17"/>
      <c r="J1387" s="40">
        <f>(I1352+$B$4)*EXP(10*$J$22)</f>
        <v>0.40606006779373149</v>
      </c>
      <c r="K1387" s="40">
        <f>(J1352+$B$4)*EXP(10*$K$22)</f>
        <v>0.48949615245260447</v>
      </c>
      <c r="L1387" s="87"/>
      <c r="M1387" s="87"/>
      <c r="N1387" s="87"/>
      <c r="O1387" s="87"/>
      <c r="P1387" s="87"/>
      <c r="Q1387" s="87"/>
      <c r="R1387" s="87"/>
      <c r="S1387" s="87"/>
      <c r="T1387" s="88">
        <f>MIN($B$8,AVERAGE(U1454:U1455)/(1+J1387+$D$8/10000))+$B$7</f>
        <v>69.186321726676368</v>
      </c>
      <c r="U1387" s="88">
        <f t="shared" si="55"/>
        <v>82.056621153695616</v>
      </c>
    </row>
    <row r="1388" spans="1:21" x14ac:dyDescent="0.35">
      <c r="A1388" s="30"/>
      <c r="B1388" s="4"/>
      <c r="C1388" s="4"/>
      <c r="D1388" s="4"/>
      <c r="E1388" s="4"/>
      <c r="F1388" s="4"/>
      <c r="G1388" s="4"/>
      <c r="H1388" s="17"/>
      <c r="J1388" s="8">
        <f>I1353*EXP(10*J$22)</f>
        <v>0.40668954530978302</v>
      </c>
      <c r="K1388" s="8">
        <f>J1353*EXP(10*K$22)</f>
        <v>0.49013924412136112</v>
      </c>
      <c r="L1388" s="87"/>
      <c r="M1388" s="87"/>
      <c r="N1388" s="87"/>
      <c r="O1388" s="87"/>
      <c r="P1388" s="87"/>
      <c r="Q1388" s="87"/>
      <c r="R1388" s="87"/>
      <c r="S1388" s="87"/>
      <c r="T1388" s="88">
        <f>MIN($B$8,AVERAGE(U1456:U1457)/(1+J1388+$D$8/10000))+$B$7</f>
        <v>69.01003710338783</v>
      </c>
      <c r="U1388" s="88">
        <f t="shared" si="55"/>
        <v>82.018963828379526</v>
      </c>
    </row>
    <row r="1389" spans="1:21" x14ac:dyDescent="0.35">
      <c r="A1389" s="30"/>
      <c r="B1389" s="4"/>
      <c r="C1389" s="4"/>
      <c r="D1389" s="4"/>
      <c r="E1389" s="4"/>
      <c r="F1389" s="4"/>
      <c r="G1389" s="4"/>
      <c r="H1389" s="17"/>
      <c r="J1389" s="40">
        <f>(I1353+$B$4)*EXP(10*$J$22)</f>
        <v>0.40920926378868144</v>
      </c>
      <c r="K1389" s="40">
        <f>(J1353+$B$4)*EXP(10*$K$22)</f>
        <v>0.49261401342384831</v>
      </c>
      <c r="L1389" s="87"/>
      <c r="M1389" s="87"/>
      <c r="N1389" s="87"/>
      <c r="O1389" s="87"/>
      <c r="P1389" s="87"/>
      <c r="Q1389" s="87"/>
      <c r="R1389" s="87"/>
      <c r="S1389" s="87"/>
      <c r="T1389" s="88">
        <f>MIN($B$8,AVERAGE(U1458:U1459)/(1+J1389+$D$8/10000))+$B$7</f>
        <v>68.84354882344519</v>
      </c>
      <c r="U1389" s="88">
        <f t="shared" si="55"/>
        <v>81.874387828402305</v>
      </c>
    </row>
    <row r="1390" spans="1:21" x14ac:dyDescent="0.35">
      <c r="A1390" s="30"/>
      <c r="B1390" s="4"/>
      <c r="C1390" s="4"/>
      <c r="D1390" s="4"/>
      <c r="E1390" s="4"/>
      <c r="F1390" s="4"/>
      <c r="G1390" s="4"/>
      <c r="H1390" s="17"/>
      <c r="J1390" s="8">
        <f>I1354*EXP(10*J$22)</f>
        <v>0.40452445144776361</v>
      </c>
      <c r="K1390" s="8">
        <f>J1354*EXP(10*K$22)</f>
        <v>0.48783348267229287</v>
      </c>
      <c r="L1390" s="87"/>
      <c r="M1390" s="87"/>
      <c r="N1390" s="87"/>
      <c r="O1390" s="87"/>
      <c r="P1390" s="87"/>
      <c r="Q1390" s="87"/>
      <c r="R1390" s="87"/>
      <c r="S1390" s="87"/>
      <c r="T1390" s="88">
        <f>MIN($B$8,AVERAGE(U1460:U1461)/(1+J1390+$D$8/10000))+$B$7</f>
        <v>68.944213997625198</v>
      </c>
      <c r="U1390" s="88">
        <f t="shared" si="55"/>
        <v>82.15415030788769</v>
      </c>
    </row>
    <row r="1391" spans="1:21" x14ac:dyDescent="0.35">
      <c r="A1391" s="30"/>
      <c r="B1391" s="4"/>
      <c r="C1391" s="4"/>
      <c r="D1391" s="4"/>
      <c r="E1391" s="4"/>
      <c r="F1391" s="4"/>
      <c r="G1391" s="4"/>
      <c r="H1391" s="17"/>
      <c r="J1391" s="40">
        <f>(I1354+$B$4)*EXP(10*$J$22)</f>
        <v>0.40704416992666209</v>
      </c>
      <c r="K1391" s="40">
        <f>(J1354+$B$4)*EXP(10*$K$22)</f>
        <v>0.49030825197478006</v>
      </c>
      <c r="L1391" s="87"/>
      <c r="M1391" s="87"/>
      <c r="N1391" s="87"/>
      <c r="O1391" s="87"/>
      <c r="P1391" s="87"/>
      <c r="Q1391" s="87"/>
      <c r="R1391" s="87"/>
      <c r="S1391" s="87"/>
      <c r="T1391" s="88">
        <f>MIN($B$8,AVERAGE(U1462:U1463)/(1+J1391+$D$8/10000))+$B$7</f>
        <v>69.078910479261111</v>
      </c>
      <c r="U1391" s="88">
        <f t="shared" si="55"/>
        <v>82.009073314801853</v>
      </c>
    </row>
    <row r="1392" spans="1:21" x14ac:dyDescent="0.35">
      <c r="A1392" s="30"/>
      <c r="B1392" s="4"/>
      <c r="C1392" s="4"/>
      <c r="D1392" s="4"/>
      <c r="E1392" s="4"/>
      <c r="F1392" s="4"/>
      <c r="G1392" s="4"/>
      <c r="H1392" s="17"/>
      <c r="J1392" s="8">
        <f>I1355*EXP(10*J$22)</f>
        <v>0.40767364744271367</v>
      </c>
      <c r="K1392" s="8">
        <f>J1355*EXP(10*K$22)</f>
        <v>0.49095134364353665</v>
      </c>
      <c r="L1392" s="87"/>
      <c r="M1392" s="87"/>
      <c r="N1392" s="87"/>
      <c r="O1392" s="87"/>
      <c r="P1392" s="87"/>
      <c r="Q1392" s="87"/>
      <c r="R1392" s="87"/>
      <c r="S1392" s="87"/>
      <c r="T1392" s="88">
        <f>MIN($B$8,AVERAGE(U1464:U1465)/(1+J1392+$D$8/10000))+$B$7</f>
        <v>68.903077834573764</v>
      </c>
      <c r="U1392" s="88">
        <f t="shared" si="55"/>
        <v>81.971461842039588</v>
      </c>
    </row>
    <row r="1393" spans="1:21" x14ac:dyDescent="0.35">
      <c r="A1393" s="30"/>
      <c r="B1393" s="4"/>
      <c r="C1393" s="4"/>
      <c r="D1393" s="4"/>
      <c r="E1393" s="4"/>
      <c r="F1393" s="4"/>
      <c r="G1393" s="4"/>
      <c r="H1393" s="17"/>
      <c r="J1393" s="40">
        <f>(I1355+$B$4)*EXP(10*$J$22)</f>
        <v>0.41019336592161215</v>
      </c>
      <c r="K1393" s="40">
        <f>(J1355+$B$4)*EXP(10*$K$22)</f>
        <v>0.49342611294602384</v>
      </c>
      <c r="L1393" s="87"/>
      <c r="M1393" s="87"/>
      <c r="N1393" s="87"/>
      <c r="O1393" s="87"/>
      <c r="P1393" s="87"/>
      <c r="Q1393" s="87"/>
      <c r="R1393" s="87"/>
      <c r="S1393" s="87"/>
      <c r="T1393" s="88">
        <f>MIN($B$8,AVERAGE(U1466:U1467)/(1+J1393+$D$8/10000))+$B$7</f>
        <v>68.736999725923553</v>
      </c>
      <c r="U1393" s="88">
        <f t="shared" si="55"/>
        <v>81.827061676262474</v>
      </c>
    </row>
    <row r="1394" spans="1:21" x14ac:dyDescent="0.35">
      <c r="A1394" s="30"/>
      <c r="B1394" s="4"/>
      <c r="C1394" s="4"/>
      <c r="D1394" s="4"/>
      <c r="E1394" s="4"/>
      <c r="F1394" s="4"/>
      <c r="G1394" s="4"/>
      <c r="H1394" s="17"/>
      <c r="J1394" s="8">
        <f>I1356*EXP(10*J$22)</f>
        <v>0.40832995065559036</v>
      </c>
      <c r="K1394" s="8">
        <f>J1356*EXP(10*K$22)</f>
        <v>0.49173024946020177</v>
      </c>
      <c r="L1394" s="87"/>
      <c r="M1394" s="87"/>
      <c r="N1394" s="87"/>
      <c r="O1394" s="87"/>
      <c r="P1394" s="87"/>
      <c r="Q1394" s="87"/>
      <c r="R1394" s="87"/>
      <c r="S1394" s="87"/>
      <c r="T1394" s="88">
        <f>MIN($B$8,AVERAGE(U1468:U1469)/(1+J1394+$D$8/10000))+$B$7</f>
        <v>68.691237703480652</v>
      </c>
      <c r="U1394" s="88">
        <f t="shared" si="55"/>
        <v>81.925955762457178</v>
      </c>
    </row>
    <row r="1395" spans="1:21" x14ac:dyDescent="0.35">
      <c r="A1395" s="30"/>
      <c r="B1395" s="4"/>
      <c r="C1395" s="4"/>
      <c r="D1395" s="4"/>
      <c r="E1395" s="4"/>
      <c r="F1395" s="4"/>
      <c r="G1395" s="4"/>
      <c r="H1395" s="17"/>
      <c r="J1395" s="40">
        <f>(I1356+$B$4)*EXP(10*$J$22)</f>
        <v>0.41084966913448884</v>
      </c>
      <c r="K1395" s="40">
        <f>(J1356+$B$4)*EXP(10*$K$22)</f>
        <v>0.49420501876268896</v>
      </c>
      <c r="L1395" s="87"/>
      <c r="M1395" s="87"/>
      <c r="N1395" s="87"/>
      <c r="O1395" s="87"/>
      <c r="P1395" s="87"/>
      <c r="Q1395" s="87"/>
      <c r="R1395" s="87"/>
      <c r="S1395" s="87"/>
      <c r="T1395" s="88">
        <f>MIN($B$8,AVERAGE(U1470:U1471)/(1+J1395+$D$8/10000))+$B$7</f>
        <v>68.666090284930945</v>
      </c>
      <c r="U1395" s="88">
        <f t="shared" si="55"/>
        <v>81.781723942640241</v>
      </c>
    </row>
    <row r="1396" spans="1:21" x14ac:dyDescent="0.35">
      <c r="A1396" s="30"/>
      <c r="B1396" s="4"/>
      <c r="C1396" s="4"/>
      <c r="D1396" s="4"/>
      <c r="E1396" s="4"/>
      <c r="F1396" s="4"/>
      <c r="G1396" s="4"/>
      <c r="H1396" s="17"/>
      <c r="J1396" s="8">
        <f>I1357*EXP(10*J$22)</f>
        <v>0.41147914665054042</v>
      </c>
      <c r="K1396" s="8">
        <f>J1357*EXP(10*K$22)</f>
        <v>0.49484811043144561</v>
      </c>
      <c r="L1396" s="87"/>
      <c r="M1396" s="87"/>
      <c r="N1396" s="87"/>
      <c r="O1396" s="87"/>
      <c r="P1396" s="87"/>
      <c r="Q1396" s="87"/>
      <c r="R1396" s="87"/>
      <c r="S1396" s="87"/>
      <c r="T1396" s="88">
        <f>MIN($B$8,AVERAGE(U1472:U1473)/(1+J1396+$D$8/10000))+$B$7</f>
        <v>68.491990917040056</v>
      </c>
      <c r="U1396" s="88">
        <f t="shared" si="55"/>
        <v>81.744331327365785</v>
      </c>
    </row>
    <row r="1397" spans="1:21" x14ac:dyDescent="0.35">
      <c r="A1397" s="30"/>
      <c r="B1397" s="4"/>
      <c r="C1397" s="4"/>
      <c r="D1397" s="4"/>
      <c r="E1397" s="4"/>
      <c r="F1397" s="4"/>
      <c r="G1397" s="4"/>
      <c r="H1397" s="17"/>
      <c r="J1397" s="40">
        <f>(I1357+$B$4)*EXP(10*$J$22)</f>
        <v>0.41399886512943884</v>
      </c>
      <c r="K1397" s="40">
        <f>(J1357+$B$4)*EXP(10*$K$22)</f>
        <v>0.4973228797339328</v>
      </c>
      <c r="L1397" s="87"/>
      <c r="M1397" s="87"/>
      <c r="N1397" s="87"/>
      <c r="O1397" s="87"/>
      <c r="P1397" s="87"/>
      <c r="Q1397" s="87"/>
      <c r="R1397" s="87"/>
      <c r="S1397" s="87"/>
      <c r="T1397" s="88">
        <f t="array" ref="T1397">MIN($B$8,AVERAGE(U1474:U1475/(1+J1397+$D$8/10000))+$B$7)</f>
        <v>68.32748620277988</v>
      </c>
      <c r="U1397" s="88">
        <f t="shared" si="55"/>
        <v>81.600770435854741</v>
      </c>
    </row>
    <row r="1398" spans="1:21" x14ac:dyDescent="0.35">
      <c r="A1398" s="30"/>
      <c r="B1398" s="4"/>
      <c r="C1398" s="4"/>
      <c r="D1398" s="4"/>
      <c r="E1398" s="4"/>
      <c r="F1398" s="4"/>
      <c r="G1398" s="4"/>
      <c r="H1398" s="17"/>
      <c r="J1398" s="8">
        <f>I1358*EXP(10*J$22)</f>
        <v>0.40560245884344942</v>
      </c>
      <c r="K1398" s="8">
        <f>J1358*EXP(10*K$22)</f>
        <v>0.48905119554683735</v>
      </c>
      <c r="L1398" s="87"/>
      <c r="M1398" s="87"/>
      <c r="N1398" s="87"/>
      <c r="O1398" s="87"/>
      <c r="P1398" s="87"/>
      <c r="Q1398" s="87"/>
      <c r="R1398" s="87"/>
      <c r="S1398" s="87"/>
      <c r="T1398" s="88">
        <f>MIN($B$8,AVERAGE(U1476:U1477)/(1+J1398+$D$8/10000))+$B$7</f>
        <v>68.618613783278363</v>
      </c>
      <c r="U1398" s="88">
        <f t="shared" si="55"/>
        <v>82.08269764586295</v>
      </c>
    </row>
    <row r="1399" spans="1:21" x14ac:dyDescent="0.35">
      <c r="A1399" s="30"/>
      <c r="B1399" s="4"/>
      <c r="C1399" s="4"/>
      <c r="D1399" s="4"/>
      <c r="E1399" s="4"/>
      <c r="F1399" s="4"/>
      <c r="G1399" s="4"/>
      <c r="H1399" s="17"/>
      <c r="J1399" s="40">
        <f>(I1358+$B$4)*EXP(10*$J$22)</f>
        <v>0.4081221773223479</v>
      </c>
      <c r="K1399" s="40">
        <f>(J1358+$B$4)*EXP(10*$K$22)</f>
        <v>0.49152596484932454</v>
      </c>
      <c r="L1399" s="87"/>
      <c r="M1399" s="87"/>
      <c r="N1399" s="87"/>
      <c r="O1399" s="87"/>
      <c r="P1399" s="87"/>
      <c r="Q1399" s="87"/>
      <c r="R1399" s="87"/>
      <c r="S1399" s="87"/>
      <c r="T1399" s="88">
        <f>MIN($B$8,AVERAGE(U1478:U1479)/(1+J1399+$D$8/10000))+$B$7</f>
        <v>68.961560128119373</v>
      </c>
      <c r="U1399" s="88">
        <f t="shared" si="55"/>
        <v>81.937885559885757</v>
      </c>
    </row>
    <row r="1400" spans="1:21" x14ac:dyDescent="0.35">
      <c r="A1400" s="30"/>
      <c r="B1400" s="4"/>
      <c r="C1400" s="4"/>
      <c r="D1400" s="4"/>
      <c r="E1400" s="4"/>
      <c r="F1400" s="4"/>
      <c r="G1400" s="4"/>
      <c r="H1400" s="17"/>
      <c r="J1400" s="8">
        <f>I1359*EXP(10*J$22)</f>
        <v>0.40875165483839948</v>
      </c>
      <c r="K1400" s="8">
        <f>J1359*EXP(10*K$22)</f>
        <v>0.49216905651808118</v>
      </c>
      <c r="L1400" s="87"/>
      <c r="M1400" s="87"/>
      <c r="N1400" s="87"/>
      <c r="O1400" s="87"/>
      <c r="P1400" s="87"/>
      <c r="Q1400" s="87"/>
      <c r="R1400" s="87"/>
      <c r="S1400" s="87"/>
      <c r="T1400" s="88">
        <f>MIN($B$8,AVERAGE(U1480:U1481)/(1+J1400+$D$8/10000))+$B$7</f>
        <v>68.786220813742446</v>
      </c>
      <c r="U1400" s="88">
        <f t="shared" si="55"/>
        <v>81.900342684537392</v>
      </c>
    </row>
    <row r="1401" spans="1:21" x14ac:dyDescent="0.35">
      <c r="A1401" s="30"/>
      <c r="B1401" s="4"/>
      <c r="C1401" s="4"/>
      <c r="D1401" s="4"/>
      <c r="E1401" s="4"/>
      <c r="F1401" s="4"/>
      <c r="G1401" s="4"/>
      <c r="H1401" s="17"/>
      <c r="J1401" s="40">
        <f>(I1359+$B$4)*EXP(10*$J$22)</f>
        <v>0.41127137331729796</v>
      </c>
      <c r="K1401" s="40">
        <f>(J1359+$B$4)*EXP(10*$K$22)</f>
        <v>0.49464382582056837</v>
      </c>
      <c r="L1401" s="87"/>
      <c r="M1401" s="87"/>
      <c r="N1401" s="87"/>
      <c r="O1401" s="87"/>
      <c r="P1401" s="87"/>
      <c r="Q1401" s="87"/>
      <c r="R1401" s="87"/>
      <c r="S1401" s="87"/>
      <c r="T1401" s="88">
        <f>MIN($B$8,AVERAGE(U1482:U1483)/(1+J1401+$D$8/10000))+$B$7</f>
        <v>68.620590457559146</v>
      </c>
      <c r="U1401" s="88">
        <f t="shared" si="55"/>
        <v>81.756205575068151</v>
      </c>
    </row>
    <row r="1402" spans="1:21" x14ac:dyDescent="0.35">
      <c r="A1402" s="30"/>
      <c r="B1402" s="4"/>
      <c r="C1402" s="4"/>
      <c r="D1402" s="4"/>
      <c r="E1402" s="4"/>
      <c r="F1402" s="4"/>
      <c r="G1402" s="4"/>
      <c r="H1402" s="17"/>
      <c r="J1402" s="8">
        <f>I1360*EXP(10*J$22)</f>
        <v>0.40940795805127622</v>
      </c>
      <c r="K1402" s="8">
        <f>J1360*EXP(10*K$22)</f>
        <v>0.49294796233474636</v>
      </c>
      <c r="L1402" s="87"/>
      <c r="M1402" s="87"/>
      <c r="N1402" s="87"/>
      <c r="O1402" s="87"/>
      <c r="P1402" s="87"/>
      <c r="Q1402" s="87"/>
      <c r="R1402" s="87"/>
      <c r="S1402" s="87"/>
      <c r="T1402" s="88">
        <f>MIN($B$8,AVERAGE(U1484:U1485)/(1+J1402+$D$8/10000))+$B$7</f>
        <v>68.574974890092449</v>
      </c>
      <c r="U1402" s="88">
        <f t="shared" si="55"/>
        <v>81.854919556725008</v>
      </c>
    </row>
    <row r="1403" spans="1:21" x14ac:dyDescent="0.35">
      <c r="A1403" s="30"/>
      <c r="B1403" s="4"/>
      <c r="C1403" s="4"/>
      <c r="D1403" s="4"/>
      <c r="E1403" s="4"/>
      <c r="F1403" s="4"/>
      <c r="G1403" s="4"/>
      <c r="H1403" s="17"/>
      <c r="J1403" s="40">
        <f>(I1360+$B$4)*EXP(10*$J$22)</f>
        <v>0.4119276765301747</v>
      </c>
      <c r="K1403" s="40">
        <f>(J1360+$B$4)*EXP(10*$K$22)</f>
        <v>0.49542273163723355</v>
      </c>
      <c r="L1403" s="87"/>
      <c r="M1403" s="87"/>
      <c r="N1403" s="87"/>
      <c r="O1403" s="87"/>
      <c r="P1403" s="87"/>
      <c r="Q1403" s="87"/>
      <c r="R1403" s="87"/>
      <c r="S1403" s="87"/>
      <c r="T1403" s="88">
        <f>MIN($B$8,AVERAGE(U1486:U1487)/(1+J1403+$D$8/10000))+$B$7</f>
        <v>68.549875865535867</v>
      </c>
      <c r="U1403" s="88">
        <f t="shared" si="55"/>
        <v>81.710950333541021</v>
      </c>
    </row>
    <row r="1404" spans="1:21" x14ac:dyDescent="0.35">
      <c r="A1404" s="30"/>
      <c r="B1404" s="4"/>
      <c r="C1404" s="4"/>
      <c r="D1404" s="4"/>
      <c r="E1404" s="4"/>
      <c r="F1404" s="4"/>
      <c r="G1404" s="4"/>
      <c r="H1404" s="17"/>
      <c r="J1404" s="8">
        <f>I1361*EXP(10*J$22)</f>
        <v>0.41255715404622628</v>
      </c>
      <c r="K1404" s="8">
        <f>J1361*EXP(10*K$22)</f>
        <v>0.49606582330599014</v>
      </c>
      <c r="L1404" s="87"/>
      <c r="M1404" s="87"/>
      <c r="N1404" s="87"/>
      <c r="O1404" s="87"/>
      <c r="P1404" s="87"/>
      <c r="Q1404" s="87"/>
      <c r="R1404" s="87"/>
      <c r="S1404" s="87"/>
      <c r="T1404" s="88">
        <f>MIN($B$8,AVERAGE(U1488:U1489)/(1+J1404+$D$8/10000))+$B$7</f>
        <v>68.376263337380294</v>
      </c>
      <c r="U1404" s="88">
        <f t="shared" si="55"/>
        <v>81.673625718080913</v>
      </c>
    </row>
    <row r="1405" spans="1:21" x14ac:dyDescent="0.35">
      <c r="A1405" s="30"/>
      <c r="B1405" s="4"/>
      <c r="C1405" s="4"/>
      <c r="D1405" s="4"/>
      <c r="E1405" s="4"/>
      <c r="F1405" s="4"/>
      <c r="G1405" s="4"/>
      <c r="H1405" s="17"/>
      <c r="J1405" s="40">
        <f>(I1361+$B$4)*EXP(10*$J$22)</f>
        <v>0.41507687252512476</v>
      </c>
      <c r="K1405" s="40">
        <f>(J1361+$B$4)*EXP(10*$K$22)</f>
        <v>0.49854059260847733</v>
      </c>
      <c r="L1405" s="87"/>
      <c r="M1405" s="87"/>
      <c r="N1405" s="87"/>
      <c r="O1405" s="87"/>
      <c r="P1405" s="87"/>
      <c r="Q1405" s="87"/>
      <c r="R1405" s="87"/>
      <c r="S1405" s="87"/>
      <c r="T1405" s="88">
        <f>MIN($B$8,AVERAGE(U1490:U1491)/(1+J1405+$D$8/10000))+$B$7</f>
        <v>68.212200682305649</v>
      </c>
      <c r="U1405" s="88">
        <f t="shared" si="55"/>
        <v>81.53032559386898</v>
      </c>
    </row>
    <row r="1406" spans="1:21" x14ac:dyDescent="0.35">
      <c r="A1406" s="30"/>
      <c r="B1406" s="4"/>
      <c r="C1406" s="4"/>
      <c r="D1406" s="4"/>
      <c r="E1406" s="4"/>
      <c r="F1406" s="4"/>
      <c r="G1406" s="4"/>
      <c r="H1406" s="17"/>
      <c r="J1406" s="8">
        <f>I1362*EXP(10*J$22)</f>
        <v>0.41039206018420682</v>
      </c>
      <c r="K1406" s="8">
        <f>J1362*EXP(10*K$22)</f>
        <v>0.49376006185692189</v>
      </c>
      <c r="L1406" s="87"/>
      <c r="M1406" s="87"/>
      <c r="N1406" s="87"/>
      <c r="O1406" s="87"/>
      <c r="P1406" s="87"/>
      <c r="Q1406" s="87"/>
      <c r="R1406" s="87"/>
      <c r="S1406" s="87"/>
      <c r="T1406" s="88">
        <f>MIN($B$8,AVERAGE(U1492:U1493)/(1+J1406+$D$8/10000))+$B$7</f>
        <v>68.311553016499929</v>
      </c>
      <c r="U1406" s="88">
        <f t="shared" si="55"/>
        <v>81.807617057121504</v>
      </c>
    </row>
    <row r="1407" spans="1:21" x14ac:dyDescent="0.35">
      <c r="A1407" s="30"/>
      <c r="B1407" s="4"/>
      <c r="C1407" s="4"/>
      <c r="D1407" s="4"/>
      <c r="E1407" s="4"/>
      <c r="F1407" s="4"/>
      <c r="G1407" s="4"/>
      <c r="H1407" s="17"/>
      <c r="J1407" s="40">
        <f>(I1362+$B$4)*EXP(10*$J$22)</f>
        <v>0.4129117786631053</v>
      </c>
      <c r="K1407" s="40">
        <f>(J1362+$B$4)*EXP(10*$K$22)</f>
        <v>0.49623483115940908</v>
      </c>
      <c r="L1407" s="87"/>
      <c r="M1407" s="87"/>
      <c r="N1407" s="87"/>
      <c r="O1407" s="87"/>
      <c r="P1407" s="87"/>
      <c r="Q1407" s="87"/>
      <c r="R1407" s="87"/>
      <c r="S1407" s="87"/>
      <c r="T1407" s="88">
        <f>MIN($B$8,AVERAGE(U1494:U1495)/(1+J1407+$D$8/10000))+$B$7</f>
        <v>68.444063533398378</v>
      </c>
      <c r="U1407" s="88">
        <f t="shared" si="55"/>
        <v>81.663822562686036</v>
      </c>
    </row>
    <row r="1408" spans="1:21" x14ac:dyDescent="0.35">
      <c r="A1408" s="30"/>
      <c r="B1408" s="4"/>
      <c r="C1408" s="4"/>
      <c r="D1408" s="4"/>
      <c r="E1408" s="4"/>
      <c r="F1408" s="4"/>
      <c r="G1408" s="4"/>
      <c r="H1408" s="17"/>
      <c r="J1408" s="8">
        <f>I1363*EXP(10*J$22)</f>
        <v>0.41354125617915688</v>
      </c>
      <c r="K1408" s="8">
        <f>J1363*EXP(10*K$22)</f>
        <v>0.49687792282816567</v>
      </c>
      <c r="L1408" s="87"/>
      <c r="M1408" s="87"/>
      <c r="N1408" s="87"/>
      <c r="O1408" s="87"/>
      <c r="P1408" s="87"/>
      <c r="Q1408" s="87"/>
      <c r="R1408" s="87"/>
      <c r="S1408" s="87"/>
      <c r="T1408" s="88">
        <f>MIN($B$8,AVERAGE(U1496:U1497)/(1+J1408+$D$8/10000))+$B$7</f>
        <v>68.270893847776819</v>
      </c>
      <c r="U1408" s="88">
        <f t="shared" si="55"/>
        <v>81.626543193632486</v>
      </c>
    </row>
    <row r="1409" spans="1:21" x14ac:dyDescent="0.35">
      <c r="A1409" s="30"/>
      <c r="B1409" s="4"/>
      <c r="C1409" s="4"/>
      <c r="D1409" s="4"/>
      <c r="E1409" s="4"/>
      <c r="F1409" s="4"/>
      <c r="G1409" s="4"/>
      <c r="H1409" s="17"/>
      <c r="J1409" s="40">
        <f>(I1363+$B$4)*EXP(10*$J$22)</f>
        <v>0.41606097465805536</v>
      </c>
      <c r="K1409" s="40">
        <f>(J1363+$B$4)*EXP(10*$K$22)</f>
        <v>0.49935269213065292</v>
      </c>
      <c r="L1409" s="87"/>
      <c r="M1409" s="87"/>
      <c r="N1409" s="87"/>
      <c r="O1409" s="87"/>
      <c r="P1409" s="87"/>
      <c r="Q1409" s="87"/>
      <c r="R1409" s="87"/>
      <c r="S1409" s="87"/>
      <c r="T1409" s="88">
        <f>MIN($B$8,AVERAGE(U1498:U1499)/(1+J1409+$D$8/10000))+$B$7</f>
        <v>68.107233350198982</v>
      </c>
      <c r="U1409" s="88">
        <f t="shared" si="55"/>
        <v>81.483416581871182</v>
      </c>
    </row>
    <row r="1410" spans="1:21" x14ac:dyDescent="0.35">
      <c r="A1410" s="30"/>
      <c r="B1410" s="4"/>
      <c r="C1410" s="4"/>
      <c r="D1410" s="4"/>
      <c r="E1410" s="4"/>
      <c r="F1410" s="4"/>
      <c r="G1410" s="4"/>
      <c r="H1410" s="17"/>
      <c r="J1410" s="8">
        <f>I1364*EXP(10*J$22)</f>
        <v>0.41419755939203368</v>
      </c>
      <c r="K1410" s="8">
        <f>J1364*EXP(10*K$22)</f>
        <v>0.49765682864483085</v>
      </c>
      <c r="L1410" s="87"/>
      <c r="M1410" s="87"/>
      <c r="N1410" s="87"/>
      <c r="O1410" s="87"/>
      <c r="P1410" s="87"/>
      <c r="Q1410" s="87"/>
      <c r="R1410" s="87"/>
      <c r="S1410" s="87"/>
      <c r="T1410" s="88">
        <f>MIN($B$8,AVERAGE(U1500:U1501)/(1+J1410+$D$8/10000))+$B$7</f>
        <v>68.062261217874394</v>
      </c>
      <c r="U1410" s="88">
        <f t="shared" si="55"/>
        <v>81.581438713267659</v>
      </c>
    </row>
    <row r="1411" spans="1:21" x14ac:dyDescent="0.35">
      <c r="A1411" s="30"/>
      <c r="B1411" s="4"/>
      <c r="C1411" s="4"/>
      <c r="D1411" s="4"/>
      <c r="E1411" s="4"/>
      <c r="F1411" s="4"/>
      <c r="G1411" s="4"/>
      <c r="H1411" s="17"/>
      <c r="J1411" s="40">
        <f>(I1364+$B$4)*EXP(10*$J$22)</f>
        <v>0.41671727787093216</v>
      </c>
      <c r="K1411" s="40">
        <f>(J1364+$B$4)*EXP(10*$K$22)</f>
        <v>0.5001315979473181</v>
      </c>
      <c r="L1411" s="87"/>
      <c r="M1411" s="87"/>
      <c r="N1411" s="87"/>
      <c r="O1411" s="87"/>
      <c r="P1411" s="87"/>
      <c r="Q1411" s="87"/>
      <c r="R1411" s="87"/>
      <c r="S1411" s="87"/>
      <c r="T1411" s="88">
        <f>MIN($B$8,AVERAGE(U1502:U1503)/(1+J1411+$D$8/10000))+$B$7</f>
        <v>68.037375843510475</v>
      </c>
      <c r="U1411" s="88">
        <f t="shared" si="55"/>
        <v>81.43847822590574</v>
      </c>
    </row>
    <row r="1412" spans="1:21" x14ac:dyDescent="0.35">
      <c r="A1412" s="30"/>
      <c r="B1412" s="4"/>
      <c r="C1412" s="4"/>
      <c r="D1412" s="4"/>
      <c r="E1412" s="4"/>
      <c r="F1412" s="4"/>
      <c r="G1412" s="4"/>
      <c r="H1412" s="17"/>
      <c r="J1412" s="8">
        <f>I1365*EXP(10*J$22)</f>
        <v>0.41734675538698374</v>
      </c>
      <c r="K1412" s="8">
        <f>J1365*EXP(10*K$22)</f>
        <v>0.50077468961607474</v>
      </c>
      <c r="L1412" s="87"/>
      <c r="M1412" s="87"/>
      <c r="N1412" s="87"/>
      <c r="O1412" s="87"/>
      <c r="P1412" s="87"/>
      <c r="Q1412" s="87"/>
      <c r="R1412" s="87"/>
      <c r="S1412" s="87"/>
      <c r="T1412" s="88">
        <f>MIN($B$8,AVERAGE(U1504:U1505)/(1+J1412+$D$8/10000))+$B$7</f>
        <v>67.865904471796881</v>
      </c>
      <c r="U1412" s="88">
        <f t="shared" si="55"/>
        <v>81.401414826204061</v>
      </c>
    </row>
    <row r="1413" spans="1:21" x14ac:dyDescent="0.35">
      <c r="A1413" s="30"/>
      <c r="B1413" s="4"/>
      <c r="C1413" s="4"/>
      <c r="D1413" s="4"/>
      <c r="E1413" s="4"/>
      <c r="F1413" s="4"/>
      <c r="G1413" s="4"/>
      <c r="H1413" s="17"/>
      <c r="J1413" s="40">
        <f>(I1365+$B$4)*EXP(10*$J$22)</f>
        <v>0.41986647386588222</v>
      </c>
      <c r="K1413" s="40">
        <f>(J1365+$B$4)*EXP(10*$K$22)</f>
        <v>0.50324945891856188</v>
      </c>
      <c r="L1413" s="87"/>
      <c r="M1413" s="87"/>
      <c r="N1413" s="87"/>
      <c r="O1413" s="87"/>
      <c r="P1413" s="87"/>
      <c r="Q1413" s="87"/>
      <c r="R1413" s="87"/>
      <c r="S1413" s="87"/>
      <c r="T1413" s="88">
        <f>MIN($B$8,AVERAGE(U1506:U1507)/(1+J1413+$D$8/10000))+$B$7</f>
        <v>67.7037866905154</v>
      </c>
      <c r="U1413" s="88">
        <f t="shared" si="55"/>
        <v>81.259116426079274</v>
      </c>
    </row>
    <row r="1414" spans="1:21" x14ac:dyDescent="0.35">
      <c r="A1414" s="30"/>
      <c r="B1414" s="4"/>
      <c r="C1414" s="4"/>
      <c r="D1414" s="4"/>
      <c r="E1414" s="4"/>
      <c r="F1414" s="4"/>
      <c r="G1414" s="4"/>
      <c r="H1414" s="17"/>
      <c r="J1414" s="8">
        <f>I1366*EXP(10*J$22)</f>
        <v>0.40715683984922696</v>
      </c>
      <c r="K1414" s="8">
        <f>J1366*EXP(10*K$22)</f>
        <v>0.49038510535218605</v>
      </c>
      <c r="L1414" s="87"/>
      <c r="M1414" s="87"/>
      <c r="N1414" s="87"/>
      <c r="O1414" s="87"/>
      <c r="P1414" s="87"/>
      <c r="Q1414" s="87"/>
      <c r="R1414" s="87"/>
      <c r="S1414" s="87"/>
      <c r="T1414" s="88">
        <f>MIN($B$8,AVERAGE(U1508:U1509)/(1+J1414+$D$8/10000))+$B$7</f>
        <v>68.211675905327013</v>
      </c>
      <c r="U1414" s="88">
        <f t="shared" si="55"/>
        <v>82.004576605411074</v>
      </c>
    </row>
    <row r="1415" spans="1:21" x14ac:dyDescent="0.35">
      <c r="A1415" s="30"/>
      <c r="B1415" s="4"/>
      <c r="C1415" s="4"/>
      <c r="D1415" s="4"/>
      <c r="E1415" s="4"/>
      <c r="F1415" s="4"/>
      <c r="G1415" s="4"/>
      <c r="H1415" s="17"/>
      <c r="J1415" s="40">
        <f>(I1366+$B$4)*EXP(10*$J$22)</f>
        <v>0.40967655832812544</v>
      </c>
      <c r="K1415" s="40">
        <f>(J1366+$B$4)*EXP(10*$K$22)</f>
        <v>0.49285987465467324</v>
      </c>
      <c r="L1415" s="87"/>
      <c r="M1415" s="87"/>
      <c r="N1415" s="87"/>
      <c r="O1415" s="87"/>
      <c r="P1415" s="87"/>
      <c r="Q1415" s="87"/>
      <c r="R1415" s="87"/>
      <c r="S1415" s="87"/>
      <c r="T1415" s="88">
        <f>MIN($B$8,AVERAGE(U1510:U1511)/(1+J1415+$D$8/10000))+$B$7</f>
        <v>68.792921261411252</v>
      </c>
      <c r="U1415" s="88">
        <f t="shared" si="55"/>
        <v>81.860053872709216</v>
      </c>
    </row>
    <row r="1416" spans="1:21" x14ac:dyDescent="0.35">
      <c r="A1416" s="30"/>
      <c r="B1416" s="4"/>
      <c r="C1416" s="4"/>
      <c r="D1416" s="4"/>
      <c r="E1416" s="4"/>
      <c r="F1416" s="4"/>
      <c r="G1416" s="4"/>
      <c r="H1416" s="17"/>
      <c r="J1416" s="8">
        <f>I1367*EXP(10*J$22)</f>
        <v>0.41030603584417702</v>
      </c>
      <c r="K1416" s="8">
        <f>J1367*EXP(10*K$22)</f>
        <v>0.49350296632342983</v>
      </c>
      <c r="L1416" s="87"/>
      <c r="M1416" s="87"/>
      <c r="N1416" s="87"/>
      <c r="O1416" s="87"/>
      <c r="P1416" s="87"/>
      <c r="Q1416" s="87"/>
      <c r="R1416" s="87"/>
      <c r="S1416" s="87"/>
      <c r="T1416" s="88">
        <f>MIN($B$8,AVERAGE(U1512:U1513)/(1+J1416+$D$8/10000))+$B$7</f>
        <v>68.618290027086033</v>
      </c>
      <c r="U1416" s="88">
        <f t="shared" si="55"/>
        <v>81.822585925335048</v>
      </c>
    </row>
    <row r="1417" spans="1:21" x14ac:dyDescent="0.35">
      <c r="A1417" s="30"/>
      <c r="B1417" s="4"/>
      <c r="C1417" s="4"/>
      <c r="D1417" s="4"/>
      <c r="E1417" s="4"/>
      <c r="F1417" s="4"/>
      <c r="G1417" s="4"/>
      <c r="H1417" s="17"/>
      <c r="J1417" s="40">
        <f>(I1367+$B$4)*EXP(10*$J$22)</f>
        <v>0.4128257543230755</v>
      </c>
      <c r="K1417" s="40">
        <f>(J1367+$B$4)*EXP(10*$K$22)</f>
        <v>0.49597773562591702</v>
      </c>
      <c r="L1417" s="87"/>
      <c r="M1417" s="87"/>
      <c r="N1417" s="87"/>
      <c r="O1417" s="87"/>
      <c r="P1417" s="87"/>
      <c r="Q1417" s="87"/>
      <c r="R1417" s="87"/>
      <c r="S1417" s="87"/>
      <c r="T1417" s="88">
        <f>MIN($B$8,AVERAGE(U1514:U1515)/(1+J1417+$D$8/10000))+$B$7</f>
        <v>68.453302432346732</v>
      </c>
      <c r="U1417" s="88">
        <f t="shared" si="55"/>
        <v>81.678736149469273</v>
      </c>
    </row>
    <row r="1418" spans="1:21" x14ac:dyDescent="0.35">
      <c r="A1418" s="30"/>
      <c r="B1418" s="4"/>
      <c r="C1418" s="4"/>
      <c r="D1418" s="4"/>
      <c r="E1418" s="4"/>
      <c r="F1418" s="4"/>
      <c r="G1418" s="4"/>
      <c r="H1418" s="17"/>
      <c r="J1418" s="8">
        <f>I1368*EXP(10*J$22)</f>
        <v>0.4109623390570537</v>
      </c>
      <c r="K1418" s="8">
        <f>J1368*EXP(10*K$22)</f>
        <v>0.49428187214009506</v>
      </c>
      <c r="L1418" s="87"/>
      <c r="M1418" s="87"/>
      <c r="N1418" s="87"/>
      <c r="O1418" s="87"/>
      <c r="P1418" s="87"/>
      <c r="Q1418" s="87"/>
      <c r="R1418" s="87"/>
      <c r="S1418" s="87"/>
      <c r="T1418" s="88">
        <f>MIN($B$8,AVERAGE(U1516:U1517)/(1+J1418+$D$8/10000))+$B$7</f>
        <v>68.407896975287187</v>
      </c>
      <c r="U1418" s="88">
        <f t="shared" si="55"/>
        <v>81.777253404693127</v>
      </c>
    </row>
    <row r="1419" spans="1:21" x14ac:dyDescent="0.35">
      <c r="A1419" s="30"/>
      <c r="B1419" s="4"/>
      <c r="C1419" s="4"/>
      <c r="D1419" s="4"/>
      <c r="E1419" s="4"/>
      <c r="F1419" s="4"/>
      <c r="G1419" s="4"/>
      <c r="H1419" s="17"/>
      <c r="J1419" s="40">
        <f>(I1368+$B$4)*EXP(10*$J$22)</f>
        <v>0.41348205753595213</v>
      </c>
      <c r="K1419" s="40">
        <f>(J1368+$B$4)*EXP(10*$K$22)</f>
        <v>0.4967566414425823</v>
      </c>
      <c r="L1419" s="87"/>
      <c r="M1419" s="87"/>
      <c r="N1419" s="87"/>
      <c r="O1419" s="87"/>
      <c r="P1419" s="87"/>
      <c r="Q1419" s="87"/>
      <c r="R1419" s="87"/>
      <c r="S1419" s="87"/>
      <c r="T1419" s="88">
        <f>MIN($B$8,AVERAGE(U1518:U1519)/(1+J1419+$D$8/10000))+$B$7</f>
        <v>68.382867530961562</v>
      </c>
      <c r="U1419" s="88">
        <f t="shared" si="55"/>
        <v>81.633571013493111</v>
      </c>
    </row>
    <row r="1420" spans="1:21" x14ac:dyDescent="0.35">
      <c r="A1420" s="30"/>
      <c r="B1420" s="4"/>
      <c r="C1420" s="4"/>
      <c r="D1420" s="4"/>
      <c r="E1420" s="4"/>
      <c r="F1420" s="4"/>
      <c r="G1420" s="4"/>
      <c r="H1420" s="17"/>
      <c r="J1420" s="8">
        <f>I1369*EXP(10*J$22)</f>
        <v>0.41411153505200377</v>
      </c>
      <c r="K1420" s="8">
        <f>J1369*EXP(10*K$22)</f>
        <v>0.49739973311133884</v>
      </c>
      <c r="L1420" s="87"/>
      <c r="M1420" s="87"/>
      <c r="N1420" s="87"/>
      <c r="O1420" s="87"/>
      <c r="P1420" s="87"/>
      <c r="Q1420" s="87"/>
      <c r="R1420" s="87"/>
      <c r="S1420" s="87"/>
      <c r="T1420" s="88">
        <f>MIN($B$8,AVERAGE(U1520:U1521)/(1+J1420+$D$8/10000))+$B$7</f>
        <v>68.2099537775849</v>
      </c>
      <c r="U1420" s="88">
        <f t="shared" si="55"/>
        <v>81.596320673877756</v>
      </c>
    </row>
    <row r="1421" spans="1:21" x14ac:dyDescent="0.35">
      <c r="A1421" s="30"/>
      <c r="B1421" s="4"/>
      <c r="C1421" s="4"/>
      <c r="D1421" s="4"/>
      <c r="E1421" s="4"/>
      <c r="F1421" s="4"/>
      <c r="G1421" s="4"/>
      <c r="H1421" s="17"/>
      <c r="J1421" s="40">
        <f>(I1369+$B$4)*EXP(10*$J$22)</f>
        <v>0.41663125353090219</v>
      </c>
      <c r="K1421" s="40">
        <f>(J1369+$B$4)*EXP(10*$K$22)</f>
        <v>0.49987450241382608</v>
      </c>
      <c r="L1421" s="87"/>
      <c r="M1421" s="87"/>
      <c r="N1421" s="87"/>
      <c r="O1421" s="87"/>
      <c r="P1421" s="87"/>
      <c r="Q1421" s="87"/>
      <c r="R1421" s="87"/>
      <c r="S1421" s="87"/>
      <c r="T1421" s="88">
        <f>MIN($B$8,AVERAGE(U1522:U1523)/(1+J1421+$D$8/10000))+$B$7</f>
        <v>68.046525720257009</v>
      </c>
      <c r="U1421" s="88">
        <f t="shared" si="55"/>
        <v>81.453305385381356</v>
      </c>
    </row>
    <row r="1422" spans="1:21" x14ac:dyDescent="0.35">
      <c r="A1422" s="30"/>
      <c r="B1422" s="4"/>
      <c r="C1422" s="4"/>
      <c r="D1422" s="4"/>
      <c r="E1422" s="4"/>
      <c r="F1422" s="4"/>
      <c r="G1422" s="4"/>
      <c r="H1422" s="17"/>
      <c r="J1422" s="8">
        <f>I1370*EXP(10*J$22)</f>
        <v>0.41194644118998436</v>
      </c>
      <c r="K1422" s="8">
        <f>J1370*EXP(10*K$22)</f>
        <v>0.49509397166227059</v>
      </c>
      <c r="L1422" s="87"/>
      <c r="M1422" s="87"/>
      <c r="N1422" s="87"/>
      <c r="O1422" s="87"/>
      <c r="P1422" s="87"/>
      <c r="Q1422" s="87"/>
      <c r="R1422" s="87"/>
      <c r="S1422" s="87"/>
      <c r="T1422" s="88">
        <f>MIN($B$8,AVERAGE(U1524:U1525)/(1+J1422+$D$8/10000))+$B$7</f>
        <v>68.14553413797546</v>
      </c>
      <c r="U1422" s="88">
        <f t="shared" si="55"/>
        <v>81.730045205022691</v>
      </c>
    </row>
    <row r="1423" spans="1:21" x14ac:dyDescent="0.35">
      <c r="A1423" s="30"/>
      <c r="B1423" s="4"/>
      <c r="C1423" s="4"/>
      <c r="D1423" s="4"/>
      <c r="E1423" s="4"/>
      <c r="F1423" s="4"/>
      <c r="G1423" s="4"/>
      <c r="H1423" s="17"/>
      <c r="J1423" s="40">
        <f>(I1370+$B$4)*EXP(10*$J$22)</f>
        <v>0.41446615966888284</v>
      </c>
      <c r="K1423" s="40">
        <f>(J1370+$B$4)*EXP(10*$K$22)</f>
        <v>0.49756874096475784</v>
      </c>
      <c r="L1423" s="87"/>
      <c r="M1423" s="87"/>
      <c r="N1423" s="87"/>
      <c r="O1423" s="87"/>
      <c r="P1423" s="87"/>
      <c r="Q1423" s="87"/>
      <c r="R1423" s="87"/>
      <c r="S1423" s="87"/>
      <c r="T1423" s="88">
        <f>MIN($B$8,AVERAGE(U1526:U1527)/(1+J1423+$D$8/10000))+$B$7</f>
        <v>68.277473410141681</v>
      </c>
      <c r="U1423" s="88">
        <f t="shared" si="55"/>
        <v>81.58653702081736</v>
      </c>
    </row>
    <row r="1424" spans="1:21" x14ac:dyDescent="0.35">
      <c r="A1424" s="30"/>
      <c r="B1424" s="4"/>
      <c r="C1424" s="4"/>
      <c r="D1424" s="4"/>
      <c r="E1424" s="4"/>
      <c r="F1424" s="4"/>
      <c r="G1424" s="4"/>
      <c r="H1424" s="17"/>
      <c r="J1424" s="8">
        <f>I1371*EXP(10*J$22)</f>
        <v>0.41509563718493442</v>
      </c>
      <c r="K1424" s="8">
        <f>J1371*EXP(10*K$22)</f>
        <v>0.49821183263351437</v>
      </c>
      <c r="L1424" s="87"/>
      <c r="M1424" s="87"/>
      <c r="N1424" s="87"/>
      <c r="O1424" s="87"/>
      <c r="P1424" s="87"/>
      <c r="Q1424" s="87"/>
      <c r="R1424" s="87"/>
      <c r="S1424" s="87"/>
      <c r="T1424" s="88">
        <f>MIN($B$8,AVERAGE(U1528:U1529)/(1+J1424+$D$8/10000))+$B$7</f>
        <v>68.105000117920895</v>
      </c>
      <c r="U1424" s="88">
        <f t="shared" si="55"/>
        <v>81.549331792656318</v>
      </c>
    </row>
    <row r="1425" spans="1:21" x14ac:dyDescent="0.35">
      <c r="A1425" s="30"/>
      <c r="B1425" s="4"/>
      <c r="C1425" s="4"/>
      <c r="D1425" s="4"/>
      <c r="E1425" s="4"/>
      <c r="F1425" s="4"/>
      <c r="G1425" s="4"/>
      <c r="H1425" s="17"/>
      <c r="J1425" s="40">
        <f>(I1371+$B$4)*EXP(10*$J$22)</f>
        <v>0.4176153556638329</v>
      </c>
      <c r="K1425" s="40">
        <f>(J1371+$B$4)*EXP(10*$K$22)</f>
        <v>0.50068660193600156</v>
      </c>
      <c r="L1425" s="87"/>
      <c r="M1425" s="87"/>
      <c r="N1425" s="87"/>
      <c r="O1425" s="87"/>
      <c r="P1425" s="87"/>
      <c r="Q1425" s="87"/>
      <c r="R1425" s="87"/>
      <c r="S1425" s="87"/>
      <c r="T1425" s="88">
        <f>MIN($B$8,AVERAGE(U1530:U1531)/(1+J1425+$D$8/10000))+$B$7</f>
        <v>67.941972128174868</v>
      </c>
      <c r="U1425" s="88">
        <f t="shared" si="55"/>
        <v>81.40648949969129</v>
      </c>
    </row>
    <row r="1426" spans="1:21" x14ac:dyDescent="0.35">
      <c r="A1426" s="30"/>
      <c r="B1426" s="4"/>
      <c r="C1426" s="4"/>
      <c r="D1426" s="4"/>
      <c r="E1426" s="4"/>
      <c r="F1426" s="4"/>
      <c r="G1426" s="4"/>
      <c r="H1426" s="17"/>
      <c r="J1426" s="8">
        <f>I1372*EXP(10*J$22)</f>
        <v>0.41575194039781121</v>
      </c>
      <c r="K1426" s="8">
        <f>J1372*EXP(10*K$22)</f>
        <v>0.49899073845017955</v>
      </c>
      <c r="L1426" s="87"/>
      <c r="M1426" s="87"/>
      <c r="N1426" s="87"/>
      <c r="O1426" s="87"/>
      <c r="P1426" s="87"/>
      <c r="Q1426" s="87"/>
      <c r="R1426" s="87"/>
      <c r="S1426" s="87"/>
      <c r="T1426" s="88">
        <f>MIN($B$8,AVERAGE(U1532:U1533)/(1+J1426+$D$8/10000))+$B$7</f>
        <v>67.897206291367183</v>
      </c>
      <c r="U1426" s="88">
        <f t="shared" si="55"/>
        <v>81.504316968180902</v>
      </c>
    </row>
    <row r="1427" spans="1:21" x14ac:dyDescent="0.35">
      <c r="A1427" s="30"/>
      <c r="B1427" s="4"/>
      <c r="C1427" s="4"/>
      <c r="D1427" s="4"/>
      <c r="E1427" s="4"/>
      <c r="F1427" s="4"/>
      <c r="G1427" s="4"/>
      <c r="H1427" s="17"/>
      <c r="J1427" s="40">
        <f>(I1372+$B$4)*EXP(10*$J$22)</f>
        <v>0.4182716588767097</v>
      </c>
      <c r="K1427" s="40">
        <f>(J1372+$B$4)*EXP(10*$K$22)</f>
        <v>0.50146550775266674</v>
      </c>
      <c r="L1427" s="87"/>
      <c r="M1427" s="87"/>
      <c r="N1427" s="87"/>
      <c r="O1427" s="87"/>
      <c r="P1427" s="87"/>
      <c r="Q1427" s="87"/>
      <c r="R1427" s="87"/>
      <c r="S1427" s="87"/>
      <c r="T1427" s="88">
        <f>MIN($B$8,AVERAGE(U1534:U1535)/(1+J1427+$D$8/10000))+$B$7</f>
        <v>67.872389776864793</v>
      </c>
      <c r="U1427" s="88">
        <f t="shared" si="55"/>
        <v>81.361640304999</v>
      </c>
    </row>
    <row r="1428" spans="1:21" x14ac:dyDescent="0.35">
      <c r="A1428" s="30"/>
      <c r="B1428" s="4"/>
      <c r="C1428" s="4"/>
      <c r="D1428" s="4"/>
      <c r="E1428" s="4"/>
      <c r="F1428" s="4"/>
      <c r="G1428" s="4"/>
      <c r="H1428" s="17"/>
      <c r="J1428" s="8">
        <f>I1373*EXP(10*J$22)</f>
        <v>0.41890113639276122</v>
      </c>
      <c r="K1428" s="8">
        <f>J1373*EXP(10*K$22)</f>
        <v>0.50210859942142338</v>
      </c>
      <c r="L1428" s="87"/>
      <c r="M1428" s="87"/>
      <c r="N1428" s="87"/>
      <c r="O1428" s="87"/>
      <c r="P1428" s="87"/>
      <c r="Q1428" s="87"/>
      <c r="R1428" s="87"/>
      <c r="S1428" s="87"/>
      <c r="T1428" s="88">
        <f>MIN($B$8,AVERAGE(U1536:U1537)/(1+J1428+$D$8/10000))+$B$7</f>
        <v>67.701605684927415</v>
      </c>
      <c r="U1428" s="88">
        <f t="shared" si="55"/>
        <v>81.324650403164952</v>
      </c>
    </row>
    <row r="1429" spans="1:21" x14ac:dyDescent="0.35">
      <c r="A1429" s="30"/>
      <c r="B1429" s="4"/>
      <c r="C1429" s="4"/>
      <c r="D1429" s="4"/>
      <c r="E1429" s="4"/>
      <c r="F1429" s="4"/>
      <c r="G1429" s="4"/>
      <c r="H1429" s="17"/>
      <c r="J1429" s="40">
        <f>(I1373+$B$4)*EXP(10*$J$22)</f>
        <v>0.42142085487165964</v>
      </c>
      <c r="K1429" s="40">
        <f>(J1373+$B$4)*EXP(10*$K$22)</f>
        <v>0.50458336872391063</v>
      </c>
      <c r="L1429" s="87"/>
      <c r="M1429" s="87"/>
      <c r="N1429" s="87"/>
      <c r="O1429" s="87"/>
      <c r="P1429" s="87"/>
      <c r="Q1429" s="87"/>
      <c r="R1429" s="87"/>
      <c r="S1429" s="87"/>
      <c r="T1429" s="88">
        <f>MIN($B$8,AVERAGE(U1538:U1539)/(1+J1429+$D$8/10000))+$B$7</f>
        <v>67.540112410691322</v>
      </c>
      <c r="U1429" s="88">
        <f t="shared" si="55"/>
        <v>81.182633858782012</v>
      </c>
    </row>
    <row r="1430" spans="1:21" x14ac:dyDescent="0.35">
      <c r="A1430" s="30"/>
      <c r="B1430" s="4"/>
      <c r="C1430" s="4"/>
      <c r="D1430" s="4"/>
      <c r="E1430" s="4"/>
      <c r="F1430" s="4"/>
      <c r="G1430" s="4"/>
      <c r="H1430" s="17"/>
      <c r="J1430" s="8">
        <f>I1374*EXP(10*J$22)</f>
        <v>0.41302444858567017</v>
      </c>
      <c r="K1430" s="8">
        <f>J1374*EXP(10*K$22)</f>
        <v>0.49631168453681501</v>
      </c>
      <c r="L1430" s="87"/>
      <c r="M1430" s="87"/>
      <c r="N1430" s="87"/>
      <c r="O1430" s="87"/>
      <c r="P1430" s="87"/>
      <c r="Q1430" s="87"/>
      <c r="R1430" s="87"/>
      <c r="S1430" s="87"/>
      <c r="T1430" s="88">
        <f>MIN($B$8,AVERAGE(U1540:U1541)/(1+J1430+$D$8/10000))+$B$7</f>
        <v>67.826143207087981</v>
      </c>
      <c r="U1430" s="88">
        <f t="shared" si="55"/>
        <v>81.659365566943706</v>
      </c>
    </row>
    <row r="1431" spans="1:21" x14ac:dyDescent="0.35">
      <c r="A1431" s="30"/>
      <c r="B1431" s="4"/>
      <c r="C1431" s="4"/>
      <c r="D1431" s="4"/>
      <c r="E1431" s="4"/>
      <c r="F1431" s="4"/>
      <c r="G1431" s="4"/>
      <c r="H1431" s="17"/>
      <c r="J1431" s="40">
        <f>(I1374+$B$4)*EXP(10*$J$22)</f>
        <v>0.41554416706456865</v>
      </c>
      <c r="K1431" s="40">
        <f>(J1374+$B$4)*EXP(10*$K$22)</f>
        <v>0.4987864538393022</v>
      </c>
      <c r="L1431" s="87"/>
      <c r="M1431" s="87"/>
      <c r="N1431" s="87"/>
      <c r="O1431" s="87"/>
      <c r="P1431" s="87"/>
      <c r="Q1431" s="87"/>
      <c r="R1431" s="87"/>
      <c r="S1431" s="87"/>
      <c r="T1431" s="88">
        <f>MIN($B$8,AVERAGE(U1542:U1543)/(1+J1431+$D$8/10000))+$B$7</f>
        <v>68.162324875081467</v>
      </c>
      <c r="U1431" s="88">
        <f t="shared" si="55"/>
        <v>81.51611800650771</v>
      </c>
    </row>
    <row r="1432" spans="1:21" x14ac:dyDescent="0.35">
      <c r="A1432" s="30"/>
      <c r="B1432" s="4"/>
      <c r="C1432" s="4"/>
      <c r="D1432" s="4"/>
      <c r="E1432" s="4"/>
      <c r="F1432" s="4"/>
      <c r="G1432" s="4"/>
      <c r="H1432" s="17"/>
      <c r="J1432" s="8">
        <f>I1375*EXP(10*J$22)</f>
        <v>0.41617364458062023</v>
      </c>
      <c r="K1432" s="8">
        <f>J1375*EXP(10*K$22)</f>
        <v>0.49942954550805879</v>
      </c>
      <c r="L1432" s="87"/>
      <c r="M1432" s="87"/>
      <c r="N1432" s="87"/>
      <c r="O1432" s="87"/>
      <c r="P1432" s="87"/>
      <c r="Q1432" s="87"/>
      <c r="R1432" s="87"/>
      <c r="S1432" s="87"/>
      <c r="T1432" s="88">
        <f>MIN($B$8,AVERAGE(U1544:U1545)/(1+J1432+$D$8/10000))+$B$7</f>
        <v>67.990332353217227</v>
      </c>
      <c r="U1432" s="88">
        <f t="shared" si="55"/>
        <v>81.478980267877631</v>
      </c>
    </row>
    <row r="1433" spans="1:21" x14ac:dyDescent="0.35">
      <c r="A1433" s="30"/>
      <c r="B1433" s="4"/>
      <c r="C1433" s="4"/>
      <c r="D1433" s="4"/>
      <c r="E1433" s="4"/>
      <c r="F1433" s="4"/>
      <c r="G1433" s="4"/>
      <c r="H1433" s="17"/>
      <c r="J1433" s="40">
        <f>(I1375+$B$4)*EXP(10*$J$22)</f>
        <v>0.41869336305951865</v>
      </c>
      <c r="K1433" s="40">
        <f>(J1375+$B$4)*EXP(10*$K$22)</f>
        <v>0.50190431481054598</v>
      </c>
      <c r="L1433" s="87"/>
      <c r="M1433" s="87"/>
      <c r="N1433" s="87"/>
      <c r="O1433" s="87"/>
      <c r="P1433" s="87"/>
      <c r="Q1433" s="87"/>
      <c r="R1433" s="87"/>
      <c r="S1433" s="87"/>
      <c r="T1433" s="88">
        <f>MIN($B$8,AVERAGE(U1546:U1547)/(1+J1433+$D$8/10000))+$B$7</f>
        <v>67.827741096128591</v>
      </c>
      <c r="U1433" s="88">
        <f t="shared" si="55"/>
        <v>81.336396787628772</v>
      </c>
    </row>
    <row r="1434" spans="1:21" x14ac:dyDescent="0.35">
      <c r="A1434" s="30"/>
      <c r="B1434" s="4"/>
      <c r="C1434" s="4"/>
      <c r="D1434" s="4"/>
      <c r="E1434" s="4"/>
      <c r="F1434" s="4"/>
      <c r="G1434" s="4"/>
      <c r="H1434" s="17"/>
      <c r="J1434" s="8">
        <f>I1376*EXP(10*J$22)</f>
        <v>0.41682994779349702</v>
      </c>
      <c r="K1434" s="8">
        <f>J1376*EXP(10*K$22)</f>
        <v>0.50020845132472402</v>
      </c>
      <c r="L1434" s="87"/>
      <c r="M1434" s="87"/>
      <c r="N1434" s="87"/>
      <c r="O1434" s="87"/>
      <c r="P1434" s="87"/>
      <c r="Q1434" s="87"/>
      <c r="R1434" s="87"/>
      <c r="S1434" s="87"/>
      <c r="T1434" s="88">
        <f>MIN($B$8,AVERAGE(U1548:U1549)/(1+J1434+$D$8/10000))+$B$7</f>
        <v>67.783117614314534</v>
      </c>
      <c r="U1434" s="88">
        <f t="shared" si="55"/>
        <v>81.434047056165085</v>
      </c>
    </row>
    <row r="1435" spans="1:21" x14ac:dyDescent="0.35">
      <c r="A1435" s="30"/>
      <c r="B1435" s="4"/>
      <c r="C1435" s="4"/>
      <c r="D1435" s="4"/>
      <c r="E1435" s="4"/>
      <c r="F1435" s="4"/>
      <c r="G1435" s="4"/>
      <c r="H1435" s="17"/>
      <c r="J1435" s="40">
        <f>(I1376+$B$4)*EXP(10*$J$22)</f>
        <v>0.4193496662723955</v>
      </c>
      <c r="K1435" s="40">
        <f>(J1376+$B$4)*EXP(10*$K$22)</f>
        <v>0.50268322062721116</v>
      </c>
      <c r="L1435" s="87"/>
      <c r="M1435" s="87"/>
      <c r="N1435" s="87"/>
      <c r="O1435" s="87"/>
      <c r="P1435" s="87"/>
      <c r="Q1435" s="87"/>
      <c r="R1435" s="87"/>
      <c r="S1435" s="87"/>
      <c r="T1435" s="88">
        <f>MIN($B$8,AVERAGE(U1550:U1551)/(1+J1435+$D$8/10000))+$B$7</f>
        <v>67.758348719628501</v>
      </c>
      <c r="U1435" s="88">
        <f t="shared" si="55"/>
        <v>81.291628755882158</v>
      </c>
    </row>
    <row r="1436" spans="1:21" x14ac:dyDescent="0.35">
      <c r="A1436" s="30"/>
      <c r="B1436" s="4"/>
      <c r="C1436" s="4"/>
      <c r="D1436" s="4"/>
      <c r="E1436" s="4"/>
      <c r="F1436" s="4"/>
      <c r="G1436" s="4"/>
      <c r="H1436" s="17"/>
      <c r="J1436" s="8">
        <f>I1377*EXP(10*J$22)</f>
        <v>0.41997914378844708</v>
      </c>
      <c r="K1436" s="8">
        <f>J1377*EXP(10*K$22)</f>
        <v>0.5033263122959678</v>
      </c>
      <c r="L1436" s="87"/>
      <c r="M1436" s="87"/>
      <c r="N1436" s="87"/>
      <c r="O1436" s="87"/>
      <c r="P1436" s="87"/>
      <c r="Q1436" s="87"/>
      <c r="R1436" s="87"/>
      <c r="S1436" s="87"/>
      <c r="T1436" s="88">
        <f>MIN($B$8,AVERAGE(U1552:U1553)/(1+J1436+$D$8/10000))+$B$7</f>
        <v>67.588039113444481</v>
      </c>
      <c r="U1436" s="88">
        <f t="shared" si="55"/>
        <v>81.254705758795083</v>
      </c>
    </row>
    <row r="1437" spans="1:21" x14ac:dyDescent="0.35">
      <c r="A1437" s="30"/>
      <c r="B1437" s="4"/>
      <c r="C1437" s="4"/>
      <c r="D1437" s="4"/>
      <c r="E1437" s="4"/>
      <c r="F1437" s="4"/>
      <c r="G1437" s="4"/>
      <c r="H1437" s="17"/>
      <c r="J1437" s="40">
        <f>(I1377+$B$4)*EXP(10*$J$22)</f>
        <v>0.42249886226734557</v>
      </c>
      <c r="K1437" s="40">
        <f>(J1377+$B$4)*EXP(10*$K$22)</f>
        <v>0.50580108159845505</v>
      </c>
      <c r="L1437" s="87"/>
      <c r="M1437" s="87"/>
      <c r="N1437" s="87"/>
      <c r="O1437" s="87"/>
      <c r="P1437" s="87"/>
      <c r="Q1437" s="87"/>
      <c r="R1437" s="87"/>
      <c r="S1437" s="87"/>
      <c r="T1437" s="88">
        <f>MIN($B$8,AVERAGE(U1554:U1555)/(1+J1437+$D$8/10000))+$B$7</f>
        <v>67.42697705367064</v>
      </c>
      <c r="U1437" s="88">
        <f t="shared" si="55"/>
        <v>81.11294578715102</v>
      </c>
    </row>
    <row r="1438" spans="1:21" x14ac:dyDescent="0.35">
      <c r="A1438" s="30"/>
      <c r="B1438" s="4"/>
      <c r="C1438" s="4"/>
      <c r="D1438" s="4"/>
      <c r="E1438" s="4"/>
      <c r="F1438" s="4"/>
      <c r="G1438" s="4"/>
      <c r="H1438" s="17"/>
      <c r="J1438" s="8">
        <f>I1378*EXP(10*J$22)</f>
        <v>0.41781404992642762</v>
      </c>
      <c r="K1438" s="8">
        <f>J1378*EXP(10*K$22)</f>
        <v>0.50102055084689956</v>
      </c>
      <c r="L1438" s="87"/>
      <c r="M1438" s="87"/>
      <c r="N1438" s="87"/>
      <c r="O1438" s="87"/>
      <c r="P1438" s="87"/>
      <c r="Q1438" s="87"/>
      <c r="R1438" s="87"/>
      <c r="S1438" s="87"/>
      <c r="T1438" s="88">
        <f>MIN($B$8,AVERAGE(U1556:U1557)/(1+J1438+$D$8/10000))+$B$7</f>
        <v>67.524701581473892</v>
      </c>
      <c r="U1438" s="88">
        <f t="shared" si="55"/>
        <v>81.38725444156205</v>
      </c>
    </row>
    <row r="1439" spans="1:21" x14ac:dyDescent="0.35">
      <c r="A1439" s="30"/>
      <c r="B1439" s="4"/>
      <c r="C1439" s="4"/>
      <c r="D1439" s="4"/>
      <c r="E1439" s="4"/>
      <c r="F1439" s="4"/>
      <c r="G1439" s="4"/>
      <c r="H1439" s="17"/>
      <c r="J1439" s="40">
        <f>(I1378+$B$4)*EXP(10*$J$22)</f>
        <v>0.4203337684053261</v>
      </c>
      <c r="K1439" s="40">
        <f>(J1378+$B$4)*EXP(10*$K$22)</f>
        <v>0.50349532014938669</v>
      </c>
      <c r="L1439" s="87"/>
      <c r="M1439" s="87"/>
      <c r="N1439" s="87"/>
      <c r="O1439" s="87"/>
      <c r="P1439" s="87"/>
      <c r="Q1439" s="87"/>
      <c r="R1439" s="87"/>
      <c r="S1439" s="87"/>
      <c r="T1439" s="88">
        <f>MIN($B$8,AVERAGE(U1558:U1559)/(1+J1439+$D$8/10000))+$B$7</f>
        <v>67.654513462659452</v>
      </c>
      <c r="U1439" s="88">
        <f t="shared" si="55"/>
        <v>81.245008055065341</v>
      </c>
    </row>
    <row r="1440" spans="1:21" x14ac:dyDescent="0.35">
      <c r="A1440" s="30"/>
      <c r="B1440" s="4"/>
      <c r="C1440" s="4"/>
      <c r="D1440" s="4"/>
      <c r="E1440" s="4"/>
      <c r="F1440" s="4"/>
      <c r="G1440" s="4"/>
      <c r="H1440" s="17"/>
      <c r="J1440" s="8">
        <f>I1379*EXP(10*J$22)</f>
        <v>0.42096324592137768</v>
      </c>
      <c r="K1440" s="8">
        <f>J1379*EXP(10*K$22)</f>
        <v>0.50413841181814334</v>
      </c>
      <c r="L1440" s="87"/>
      <c r="M1440" s="87"/>
      <c r="N1440" s="87"/>
      <c r="O1440" s="87"/>
      <c r="P1440" s="87"/>
      <c r="Q1440" s="87"/>
      <c r="R1440" s="87"/>
      <c r="S1440" s="87"/>
      <c r="T1440" s="88">
        <f>MIN($B$8,AVERAGE(U1560:U1561)/(1+J1440+$D$8/10000))+$B$7</f>
        <v>67.484635471490108</v>
      </c>
      <c r="U1440" s="88">
        <f t="shared" si="55"/>
        <v>81.208129576284193</v>
      </c>
    </row>
    <row r="1441" spans="1:21" x14ac:dyDescent="0.35">
      <c r="A1441" s="30"/>
      <c r="B1441" s="4"/>
      <c r="C1441" s="4"/>
      <c r="D1441" s="4"/>
      <c r="E1441" s="4"/>
      <c r="F1441" s="4"/>
      <c r="G1441" s="4"/>
      <c r="H1441" s="17"/>
      <c r="J1441" s="40">
        <f>(I1379+$B$4)*EXP(10*$J$22)</f>
        <v>0.42348296440027616</v>
      </c>
      <c r="K1441" s="40">
        <f>(J1379+$B$4)*EXP(10*$K$22)</f>
        <v>0.50661318112063058</v>
      </c>
      <c r="L1441" s="87"/>
      <c r="M1441" s="87"/>
      <c r="N1441" s="87"/>
      <c r="O1441" s="87"/>
      <c r="P1441" s="87"/>
      <c r="Q1441" s="87"/>
      <c r="R1441" s="87"/>
      <c r="S1441" s="87"/>
      <c r="T1441" s="88">
        <f>MIN($B$8,AVERAGE(U1562:U1563)/(1+J1441+$D$8/10000))+$B$7</f>
        <v>67.323965711953619</v>
      </c>
      <c r="U1441" s="88">
        <f t="shared" si="55"/>
        <v>81.066540328155014</v>
      </c>
    </row>
    <row r="1442" spans="1:21" x14ac:dyDescent="0.35">
      <c r="A1442" s="30"/>
      <c r="B1442" s="4"/>
      <c r="C1442" s="4"/>
      <c r="D1442" s="4"/>
      <c r="E1442" s="4"/>
      <c r="F1442" s="4"/>
      <c r="G1442" s="4"/>
      <c r="H1442" s="17"/>
      <c r="J1442" s="8">
        <f>I1380*EXP(10*J$22)</f>
        <v>0.42161954913425442</v>
      </c>
      <c r="K1442" s="8">
        <f>J1380*EXP(10*K$22)</f>
        <v>0.50491731763480852</v>
      </c>
      <c r="L1442" s="87"/>
      <c r="M1442" s="87"/>
      <c r="N1442" s="87"/>
      <c r="O1442" s="87"/>
      <c r="P1442" s="87"/>
      <c r="Q1442" s="87"/>
      <c r="R1442" s="87"/>
      <c r="S1442" s="87"/>
      <c r="T1442" s="88">
        <f>MIN($B$8,AVERAGE(U1564:U1565)/(1+J1442+$D$8/10000))+$B$7</f>
        <v>67.279967698144219</v>
      </c>
      <c r="U1442" s="88">
        <f t="shared" si="55"/>
        <v>81.16350987966446</v>
      </c>
    </row>
    <row r="1443" spans="1:21" x14ac:dyDescent="0.35">
      <c r="A1443" s="30"/>
      <c r="B1443" s="4"/>
      <c r="C1443" s="4"/>
      <c r="D1443" s="4"/>
      <c r="E1443" s="4"/>
      <c r="F1443" s="4"/>
      <c r="G1443" s="4"/>
      <c r="H1443" s="17"/>
      <c r="J1443" s="40">
        <f>(I1380+$B$4)*EXP(10*$J$22)</f>
        <v>0.4241392676131529</v>
      </c>
      <c r="K1443" s="40">
        <f>(J1380+$B$4)*EXP(10*$K$22)</f>
        <v>0.50739208693729576</v>
      </c>
      <c r="L1443" s="87"/>
      <c r="M1443" s="87"/>
      <c r="N1443" s="87"/>
      <c r="O1443" s="87"/>
      <c r="P1443" s="87"/>
      <c r="Q1443" s="87"/>
      <c r="R1443" s="87"/>
      <c r="S1443" s="87"/>
      <c r="T1443" s="88">
        <f>MIN($B$8,AVERAGE(U1566:U1567)/(1+J1443+$D$8/10000))+$B$7</f>
        <v>67.255409034370885</v>
      </c>
      <c r="U1443" s="88">
        <f t="shared" si="55"/>
        <v>81.0220840873166</v>
      </c>
    </row>
    <row r="1444" spans="1:21" x14ac:dyDescent="0.35">
      <c r="A1444" s="30"/>
      <c r="B1444" s="4"/>
      <c r="C1444" s="4"/>
      <c r="D1444" s="4"/>
      <c r="E1444" s="4"/>
      <c r="F1444" s="4"/>
      <c r="G1444" s="4"/>
      <c r="H1444" s="17"/>
      <c r="J1444" s="8">
        <f>I1381*EXP(10*J$22)</f>
        <v>0.42476874512920448</v>
      </c>
      <c r="K1444" s="8">
        <f>J1381*EXP(10*K$22)</f>
        <v>0.50803517860605241</v>
      </c>
      <c r="L1444" s="87"/>
      <c r="M1444" s="87"/>
      <c r="N1444" s="87"/>
      <c r="O1444" s="87"/>
      <c r="P1444" s="87"/>
      <c r="Q1444" s="87"/>
      <c r="R1444" s="87"/>
      <c r="S1444" s="87"/>
      <c r="T1444" s="88">
        <f>MIN($B$8,AVERAGE(U1568:U1569)/(1+J1444+$D$8/10000))+$B$7</f>
        <v>67.08718638783273</v>
      </c>
      <c r="U1444" s="88">
        <f t="shared" si="55"/>
        <v>80.985418108555649</v>
      </c>
    </row>
    <row r="1445" spans="1:21" x14ac:dyDescent="0.35">
      <c r="A1445" s="30"/>
      <c r="B1445" s="4"/>
      <c r="C1445" s="4"/>
      <c r="D1445" s="4"/>
      <c r="E1445" s="4"/>
      <c r="F1445" s="4"/>
      <c r="G1445" s="4"/>
      <c r="H1445" s="17"/>
      <c r="J1445" s="40">
        <f>(I1381+$B$4)*EXP(10*$J$22)</f>
        <v>0.42728846360810291</v>
      </c>
      <c r="K1445" s="40">
        <f>(J1381+$B$4)*EXP(10*$K$22)</f>
        <v>0.51050994790853965</v>
      </c>
      <c r="L1445" s="87"/>
      <c r="M1445" s="87"/>
      <c r="N1445" s="87"/>
      <c r="O1445" s="87"/>
      <c r="P1445" s="87"/>
      <c r="Q1445" s="87"/>
      <c r="R1445" s="87"/>
      <c r="S1445" s="87"/>
      <c r="T1445" s="88">
        <f>MIN($B$8,AVERAGE(U1570:U1571)/(1+J1445+$D$8/10000))+$B$7</f>
        <v>66.928021607269443</v>
      </c>
      <c r="U1445" s="88">
        <f t="shared" si="55"/>
        <v>80.844643782935847</v>
      </c>
    </row>
    <row r="1446" spans="1:21" x14ac:dyDescent="0.35">
      <c r="A1446" s="30"/>
      <c r="B1446" s="4"/>
      <c r="C1446" s="4"/>
      <c r="D1446" s="4"/>
      <c r="E1446" s="4"/>
      <c r="F1446" s="4"/>
      <c r="G1446" s="4"/>
      <c r="H1446" s="17"/>
      <c r="J1446" s="38"/>
      <c r="K1446" s="8">
        <f>J1382*EXP(10*K$22)</f>
        <v>0.49462576808957082</v>
      </c>
      <c r="L1446" s="87"/>
      <c r="M1446" s="87"/>
      <c r="N1446" s="87"/>
      <c r="O1446" s="87"/>
      <c r="P1446" s="87"/>
      <c r="Q1446" s="87"/>
      <c r="R1446" s="87"/>
      <c r="S1446" s="87"/>
      <c r="T1446" s="87"/>
      <c r="U1446" s="88">
        <f t="shared" ref="U1446:U1509" si="56">MIN($B$8,((100+$B$7)/(1+K1446+$D$8/10000)))+$B$7</f>
        <v>81.757255373263533</v>
      </c>
    </row>
    <row r="1447" spans="1:21" x14ac:dyDescent="0.35">
      <c r="A1447" s="30"/>
      <c r="B1447" s="4"/>
      <c r="C1447" s="4"/>
      <c r="D1447" s="4"/>
      <c r="E1447" s="4"/>
      <c r="F1447" s="4"/>
      <c r="G1447" s="4"/>
      <c r="H1447" s="17"/>
      <c r="K1447" s="40">
        <f>(J1382+$B$4)*EXP(10*$K$22)</f>
        <v>0.49710053739205801</v>
      </c>
      <c r="L1447" s="87"/>
      <c r="M1447" s="87"/>
      <c r="N1447" s="87"/>
      <c r="O1447" s="87"/>
      <c r="P1447" s="87"/>
      <c r="Q1447" s="87"/>
      <c r="R1447" s="87"/>
      <c r="S1447" s="87"/>
      <c r="T1447" s="87"/>
      <c r="U1447" s="88">
        <f t="shared" si="56"/>
        <v>81.613646791377874</v>
      </c>
    </row>
    <row r="1448" spans="1:21" x14ac:dyDescent="0.35">
      <c r="A1448" s="30"/>
      <c r="B1448" s="4"/>
      <c r="C1448" s="4"/>
      <c r="D1448" s="4"/>
      <c r="E1448" s="4"/>
      <c r="F1448" s="4"/>
      <c r="G1448" s="4"/>
      <c r="H1448" s="17"/>
      <c r="K1448" s="8">
        <f>J1383*EXP(10*K$22)</f>
        <v>0.49774362906081465</v>
      </c>
      <c r="L1448" s="87"/>
      <c r="M1448" s="87"/>
      <c r="N1448" s="87"/>
      <c r="O1448" s="87"/>
      <c r="P1448" s="87"/>
      <c r="Q1448" s="87"/>
      <c r="R1448" s="87"/>
      <c r="S1448" s="87"/>
      <c r="T1448" s="87"/>
      <c r="U1448" s="88">
        <f t="shared" si="56"/>
        <v>81.576415564907123</v>
      </c>
    </row>
    <row r="1449" spans="1:21" x14ac:dyDescent="0.35">
      <c r="A1449" s="30"/>
      <c r="B1449" s="4"/>
      <c r="C1449" s="4"/>
      <c r="D1449" s="4"/>
      <c r="E1449" s="4"/>
      <c r="F1449" s="4"/>
      <c r="G1449" s="4"/>
      <c r="H1449" s="17"/>
      <c r="K1449" s="40">
        <f>(J1383+$B$4)*EXP(10*$J$22)</f>
        <v>0.50930385332251493</v>
      </c>
      <c r="L1449" s="87"/>
      <c r="M1449" s="87"/>
      <c r="N1449" s="87"/>
      <c r="O1449" s="87"/>
      <c r="P1449" s="87"/>
      <c r="Q1449" s="87"/>
      <c r="R1449" s="87"/>
      <c r="S1449" s="87"/>
      <c r="T1449" s="87"/>
      <c r="U1449" s="88">
        <f t="shared" si="56"/>
        <v>80.913186676738931</v>
      </c>
    </row>
    <row r="1450" spans="1:21" x14ac:dyDescent="0.35">
      <c r="A1450" s="30"/>
      <c r="B1450" s="4"/>
      <c r="C1450" s="4"/>
      <c r="D1450" s="4"/>
      <c r="E1450" s="4"/>
      <c r="F1450" s="4"/>
      <c r="G1450" s="4"/>
      <c r="H1450" s="17"/>
      <c r="K1450" s="8">
        <f>J1384*EXP(10*K$22)</f>
        <v>0.49852253487747983</v>
      </c>
      <c r="L1450" s="87"/>
      <c r="M1450" s="87"/>
      <c r="N1450" s="87"/>
      <c r="O1450" s="87"/>
      <c r="P1450" s="87"/>
      <c r="Q1450" s="87"/>
      <c r="R1450" s="87"/>
      <c r="S1450" s="87"/>
      <c r="T1450" s="87"/>
      <c r="U1450" s="88">
        <f t="shared" si="56"/>
        <v>81.531369301603547</v>
      </c>
    </row>
    <row r="1451" spans="1:21" x14ac:dyDescent="0.35">
      <c r="A1451" s="30"/>
      <c r="B1451" s="4"/>
      <c r="C1451" s="4"/>
      <c r="D1451" s="4"/>
      <c r="E1451" s="4"/>
      <c r="F1451" s="4"/>
      <c r="G1451" s="4"/>
      <c r="H1451" s="17"/>
      <c r="K1451" s="40">
        <f>(J1384+$B$4)*EXP(10*$K$22)</f>
        <v>0.50099730417996702</v>
      </c>
      <c r="L1451" s="87"/>
      <c r="M1451" s="87"/>
      <c r="N1451" s="87"/>
      <c r="O1451" s="87"/>
      <c r="P1451" s="87"/>
      <c r="Q1451" s="87"/>
      <c r="R1451" s="87"/>
      <c r="S1451" s="87"/>
      <c r="T1451" s="87"/>
      <c r="U1451" s="88">
        <f t="shared" si="56"/>
        <v>81.388593112220406</v>
      </c>
    </row>
    <row r="1452" spans="1:21" x14ac:dyDescent="0.35">
      <c r="A1452" s="30"/>
      <c r="B1452" s="4"/>
      <c r="C1452" s="4"/>
      <c r="D1452" s="4"/>
      <c r="E1452" s="4"/>
      <c r="F1452" s="4"/>
      <c r="G1452" s="4"/>
      <c r="H1452" s="17"/>
      <c r="K1452" s="8">
        <f>J1385*EXP(10*K$22)</f>
        <v>0.50164039584872366</v>
      </c>
      <c r="L1452" s="87"/>
      <c r="M1452" s="87"/>
      <c r="N1452" s="87"/>
      <c r="O1452" s="87"/>
      <c r="P1452" s="87"/>
      <c r="Q1452" s="87"/>
      <c r="R1452" s="87"/>
      <c r="S1452" s="87"/>
      <c r="T1452" s="87"/>
      <c r="U1452" s="88">
        <f t="shared" si="56"/>
        <v>81.351577437487862</v>
      </c>
    </row>
    <row r="1453" spans="1:21" x14ac:dyDescent="0.35">
      <c r="A1453" s="30"/>
      <c r="B1453" s="4"/>
      <c r="C1453" s="4"/>
      <c r="D1453" s="4"/>
      <c r="E1453" s="4"/>
      <c r="F1453" s="4"/>
      <c r="G1453" s="4"/>
      <c r="H1453" s="17"/>
      <c r="K1453" s="40">
        <f>(J1385+$B$4)*EXP(10*$K$22)</f>
        <v>0.50411516515121091</v>
      </c>
      <c r="L1453" s="87"/>
      <c r="M1453" s="87"/>
      <c r="N1453" s="87"/>
      <c r="O1453" s="87"/>
      <c r="P1453" s="87"/>
      <c r="Q1453" s="87"/>
      <c r="R1453" s="87"/>
      <c r="S1453" s="87"/>
      <c r="T1453" s="87"/>
      <c r="U1453" s="88">
        <f t="shared" si="56"/>
        <v>81.209462056937411</v>
      </c>
    </row>
    <row r="1454" spans="1:21" x14ac:dyDescent="0.35">
      <c r="A1454" s="30"/>
      <c r="B1454" s="4"/>
      <c r="C1454" s="4"/>
      <c r="D1454" s="4"/>
      <c r="E1454" s="4"/>
      <c r="F1454" s="4"/>
      <c r="G1454" s="4"/>
      <c r="H1454" s="17"/>
      <c r="K1454" s="8">
        <f>J1386*EXP(10*K$22)</f>
        <v>0.49933463439965542</v>
      </c>
      <c r="L1454" s="87"/>
      <c r="M1454" s="87"/>
      <c r="N1454" s="87"/>
      <c r="O1454" s="87"/>
      <c r="P1454" s="87"/>
      <c r="Q1454" s="87"/>
      <c r="R1454" s="87"/>
      <c r="S1454" s="87"/>
      <c r="T1454" s="87"/>
      <c r="U1454" s="88">
        <f t="shared" si="56"/>
        <v>81.48445902700773</v>
      </c>
    </row>
    <row r="1455" spans="1:21" x14ac:dyDescent="0.35">
      <c r="A1455" s="30"/>
      <c r="B1455" s="4"/>
      <c r="C1455" s="4"/>
      <c r="D1455" s="4"/>
      <c r="E1455" s="4"/>
      <c r="F1455" s="4"/>
      <c r="G1455" s="4"/>
      <c r="H1455" s="17"/>
      <c r="K1455" s="40">
        <f>(J1386+$B$4)*EXP(10*$K$22)</f>
        <v>0.50180940370214266</v>
      </c>
      <c r="L1455" s="87"/>
      <c r="M1455" s="87"/>
      <c r="N1455" s="87"/>
      <c r="O1455" s="87"/>
      <c r="P1455" s="87"/>
      <c r="Q1455" s="87"/>
      <c r="R1455" s="87"/>
      <c r="S1455" s="87"/>
      <c r="T1455" s="87"/>
      <c r="U1455" s="88">
        <f t="shared" si="56"/>
        <v>81.341855399636103</v>
      </c>
    </row>
    <row r="1456" spans="1:21" x14ac:dyDescent="0.35">
      <c r="A1456" s="30"/>
      <c r="B1456" s="4"/>
      <c r="C1456" s="4"/>
      <c r="D1456" s="4"/>
      <c r="E1456" s="4"/>
      <c r="F1456" s="4"/>
      <c r="G1456" s="4"/>
      <c r="H1456" s="17"/>
      <c r="K1456" s="8">
        <f>J1387*EXP(10*K$22)</f>
        <v>0.50245249537089931</v>
      </c>
      <c r="L1456" s="87"/>
      <c r="M1456" s="87"/>
      <c r="N1456" s="87"/>
      <c r="O1456" s="87"/>
      <c r="P1456" s="87"/>
      <c r="Q1456" s="87"/>
      <c r="R1456" s="87"/>
      <c r="S1456" s="87"/>
      <c r="T1456" s="87"/>
      <c r="U1456" s="88">
        <f t="shared" si="56"/>
        <v>81.304884410877008</v>
      </c>
    </row>
    <row r="1457" spans="1:21" x14ac:dyDescent="0.35">
      <c r="A1457" s="30"/>
      <c r="B1457" s="4"/>
      <c r="C1457" s="4"/>
      <c r="D1457" s="4"/>
      <c r="E1457" s="4"/>
      <c r="F1457" s="4"/>
      <c r="G1457" s="4"/>
      <c r="H1457" s="17"/>
      <c r="K1457" s="40">
        <f>(J1387+$B$4)*EXP(10*$K$22)</f>
        <v>0.50492726467338644</v>
      </c>
      <c r="L1457" s="87"/>
      <c r="M1457" s="87"/>
      <c r="N1457" s="87"/>
      <c r="O1457" s="87"/>
      <c r="P1457" s="87"/>
      <c r="Q1457" s="87"/>
      <c r="R1457" s="87"/>
      <c r="S1457" s="87"/>
      <c r="T1457" s="87"/>
      <c r="U1457" s="88">
        <f t="shared" si="56"/>
        <v>81.162940396085801</v>
      </c>
    </row>
    <row r="1458" spans="1:21" x14ac:dyDescent="0.35">
      <c r="A1458" s="30"/>
      <c r="B1458" s="4"/>
      <c r="C1458" s="4"/>
      <c r="D1458" s="4"/>
      <c r="E1458" s="4"/>
      <c r="F1458" s="4"/>
      <c r="G1458" s="4"/>
      <c r="H1458" s="17"/>
      <c r="K1458" s="8">
        <f>J1388*EXP(10*K$22)</f>
        <v>0.50323140118756438</v>
      </c>
      <c r="L1458" s="87"/>
      <c r="M1458" s="87"/>
      <c r="N1458" s="87"/>
      <c r="O1458" s="87"/>
      <c r="P1458" s="87"/>
      <c r="Q1458" s="87"/>
      <c r="R1458" s="87"/>
      <c r="S1458" s="87"/>
      <c r="T1458" s="87"/>
      <c r="U1458" s="88">
        <f t="shared" si="56"/>
        <v>81.260152844539491</v>
      </c>
    </row>
    <row r="1459" spans="1:21" x14ac:dyDescent="0.35">
      <c r="A1459" s="30"/>
      <c r="B1459" s="4"/>
      <c r="C1459" s="4"/>
      <c r="D1459" s="4"/>
      <c r="E1459" s="4"/>
      <c r="F1459" s="4"/>
      <c r="G1459" s="4"/>
      <c r="H1459" s="17"/>
      <c r="K1459" s="40">
        <f>(J1388+$B$4)*EXP(10*$K$22)</f>
        <v>0.50570617049005162</v>
      </c>
      <c r="L1459" s="87"/>
      <c r="M1459" s="87"/>
      <c r="N1459" s="87"/>
      <c r="O1459" s="87"/>
      <c r="P1459" s="87"/>
      <c r="Q1459" s="87"/>
      <c r="R1459" s="87"/>
      <c r="S1459" s="87"/>
      <c r="T1459" s="87"/>
      <c r="U1459" s="88">
        <f t="shared" si="56"/>
        <v>81.118372900069872</v>
      </c>
    </row>
    <row r="1460" spans="1:21" x14ac:dyDescent="0.35">
      <c r="A1460" s="30"/>
      <c r="B1460" s="4"/>
      <c r="C1460" s="4"/>
      <c r="D1460" s="4"/>
      <c r="E1460" s="4"/>
      <c r="F1460" s="4"/>
      <c r="G1460" s="4"/>
      <c r="H1460" s="17"/>
      <c r="K1460" s="8">
        <f>J1389*EXP(10*K$22)</f>
        <v>0.50634926215880816</v>
      </c>
      <c r="L1460" s="87"/>
      <c r="M1460" s="87"/>
      <c r="N1460" s="87"/>
      <c r="O1460" s="87"/>
      <c r="P1460" s="87"/>
      <c r="Q1460" s="87"/>
      <c r="R1460" s="87"/>
      <c r="S1460" s="87"/>
      <c r="T1460" s="87"/>
      <c r="U1460" s="88">
        <f t="shared" si="56"/>
        <v>81.081615210262839</v>
      </c>
    </row>
    <row r="1461" spans="1:21" x14ac:dyDescent="0.35">
      <c r="A1461" s="30"/>
      <c r="B1461" s="4"/>
      <c r="C1461" s="4"/>
      <c r="D1461" s="4"/>
      <c r="E1461" s="4"/>
      <c r="F1461" s="4"/>
      <c r="G1461" s="4"/>
      <c r="H1461" s="17"/>
      <c r="K1461" s="40">
        <f>(J1389+$B$4)*EXP(10*$K$22)</f>
        <v>0.5088240314612954</v>
      </c>
      <c r="L1461" s="87"/>
      <c r="M1461" s="87"/>
      <c r="N1461" s="87"/>
      <c r="O1461" s="87"/>
      <c r="P1461" s="87"/>
      <c r="Q1461" s="87"/>
      <c r="R1461" s="87"/>
      <c r="S1461" s="87"/>
      <c r="T1461" s="87"/>
      <c r="U1461" s="88">
        <f t="shared" si="56"/>
        <v>80.940489178284835</v>
      </c>
    </row>
    <row r="1462" spans="1:21" x14ac:dyDescent="0.35">
      <c r="A1462" s="30"/>
      <c r="B1462" s="4"/>
      <c r="C1462" s="4"/>
      <c r="D1462" s="4"/>
      <c r="E1462" s="4"/>
      <c r="F1462" s="4"/>
      <c r="G1462" s="4"/>
      <c r="H1462" s="17"/>
      <c r="K1462" s="8">
        <f>J1390*EXP(10*K$22)</f>
        <v>0.50055234727419984</v>
      </c>
      <c r="L1462" s="87"/>
      <c r="M1462" s="87"/>
      <c r="N1462" s="87"/>
      <c r="O1462" s="87"/>
      <c r="P1462" s="87"/>
      <c r="Q1462" s="87"/>
      <c r="R1462" s="87"/>
      <c r="S1462" s="87"/>
      <c r="T1462" s="87"/>
      <c r="U1462" s="88">
        <f t="shared" si="56"/>
        <v>81.414225102787441</v>
      </c>
    </row>
    <row r="1463" spans="1:21" x14ac:dyDescent="0.35">
      <c r="A1463" s="30"/>
      <c r="B1463" s="4"/>
      <c r="C1463" s="4"/>
      <c r="D1463" s="4"/>
      <c r="E1463" s="4"/>
      <c r="F1463" s="4"/>
      <c r="G1463" s="4"/>
      <c r="H1463" s="17"/>
      <c r="K1463" s="40">
        <f>(J1390+$B$4)*EXP(10*$K$22)</f>
        <v>0.50302711657668708</v>
      </c>
      <c r="L1463" s="87"/>
      <c r="M1463" s="87"/>
      <c r="N1463" s="87"/>
      <c r="O1463" s="87"/>
      <c r="P1463" s="87"/>
      <c r="Q1463" s="87"/>
      <c r="R1463" s="87"/>
      <c r="S1463" s="87"/>
      <c r="T1463" s="87"/>
      <c r="U1463" s="88">
        <f t="shared" si="56"/>
        <v>81.271879640046947</v>
      </c>
    </row>
    <row r="1464" spans="1:21" x14ac:dyDescent="0.35">
      <c r="A1464" s="30"/>
      <c r="B1464" s="4"/>
      <c r="C1464" s="4"/>
      <c r="D1464" s="4"/>
      <c r="E1464" s="4"/>
      <c r="F1464" s="4"/>
      <c r="G1464" s="4"/>
      <c r="H1464" s="17"/>
      <c r="K1464" s="8">
        <f>J1391*EXP(10*K$22)</f>
        <v>0.50367020824544373</v>
      </c>
      <c r="L1464" s="87"/>
      <c r="M1464" s="87"/>
      <c r="N1464" s="87"/>
      <c r="O1464" s="87"/>
      <c r="P1464" s="87"/>
      <c r="Q1464" s="87"/>
      <c r="R1464" s="87"/>
      <c r="S1464" s="87"/>
      <c r="T1464" s="87"/>
      <c r="U1464" s="88">
        <f t="shared" si="56"/>
        <v>81.234975504751631</v>
      </c>
    </row>
    <row r="1465" spans="1:21" x14ac:dyDescent="0.35">
      <c r="A1465" s="30"/>
      <c r="B1465" s="4"/>
      <c r="C1465" s="4"/>
      <c r="D1465" s="4"/>
      <c r="E1465" s="4"/>
      <c r="F1465" s="4"/>
      <c r="G1465" s="4"/>
      <c r="H1465" s="17"/>
      <c r="K1465" s="40">
        <f>(J1391+$B$4)*EXP(10*$K$22)</f>
        <v>0.50614497754793086</v>
      </c>
      <c r="L1465" s="87"/>
      <c r="M1465" s="87"/>
      <c r="N1465" s="87"/>
      <c r="O1465" s="87"/>
      <c r="P1465" s="87"/>
      <c r="Q1465" s="87"/>
      <c r="R1465" s="87"/>
      <c r="S1465" s="87"/>
      <c r="T1465" s="87"/>
      <c r="U1465" s="88">
        <f t="shared" si="56"/>
        <v>81.093287866260809</v>
      </c>
    </row>
    <row r="1466" spans="1:21" x14ac:dyDescent="0.35">
      <c r="A1466" s="30"/>
      <c r="B1466" s="4"/>
      <c r="C1466" s="4"/>
      <c r="D1466" s="4"/>
      <c r="E1466" s="4"/>
      <c r="F1466" s="4"/>
      <c r="G1466" s="4"/>
      <c r="H1466" s="17"/>
      <c r="K1466" s="8">
        <f>J1392*EXP(10*K$22)</f>
        <v>0.50444911406210891</v>
      </c>
      <c r="L1466" s="87"/>
      <c r="M1466" s="87"/>
      <c r="N1466" s="87"/>
      <c r="O1466" s="87"/>
      <c r="P1466" s="87"/>
      <c r="Q1466" s="87"/>
      <c r="R1466" s="87"/>
      <c r="S1466" s="87"/>
      <c r="T1466" s="87"/>
      <c r="U1466" s="88">
        <f t="shared" si="56"/>
        <v>81.190324782407714</v>
      </c>
    </row>
    <row r="1467" spans="1:21" x14ac:dyDescent="0.35">
      <c r="A1467" s="30"/>
      <c r="B1467" s="4"/>
      <c r="C1467" s="4"/>
      <c r="D1467" s="4"/>
      <c r="E1467" s="4"/>
      <c r="F1467" s="4"/>
      <c r="G1467" s="4"/>
      <c r="H1467" s="17"/>
      <c r="K1467" s="40">
        <f>(J1392+$B$4)*EXP(10*$K$22)</f>
        <v>0.50692388336459604</v>
      </c>
      <c r="L1467" s="87"/>
      <c r="M1467" s="87"/>
      <c r="N1467" s="87"/>
      <c r="O1467" s="87"/>
      <c r="P1467" s="87"/>
      <c r="Q1467" s="87"/>
      <c r="R1467" s="87"/>
      <c r="S1467" s="87"/>
      <c r="T1467" s="87"/>
      <c r="U1467" s="88">
        <f t="shared" si="56"/>
        <v>81.048800770056758</v>
      </c>
    </row>
    <row r="1468" spans="1:21" x14ac:dyDescent="0.35">
      <c r="A1468" s="30"/>
      <c r="B1468" s="4"/>
      <c r="C1468" s="4"/>
      <c r="D1468" s="4"/>
      <c r="E1468" s="4"/>
      <c r="F1468" s="4"/>
      <c r="G1468" s="4"/>
      <c r="H1468" s="17"/>
      <c r="K1468" s="8">
        <f>J1393*EXP(10*K$22)</f>
        <v>0.50756697503335269</v>
      </c>
      <c r="L1468" s="87"/>
      <c r="M1468" s="87"/>
      <c r="N1468" s="87"/>
      <c r="O1468" s="87"/>
      <c r="P1468" s="87"/>
      <c r="Q1468" s="87"/>
      <c r="R1468" s="87"/>
      <c r="S1468" s="87"/>
      <c r="T1468" s="87"/>
      <c r="U1468" s="88">
        <f t="shared" si="56"/>
        <v>81.01210935625592</v>
      </c>
    </row>
    <row r="1469" spans="1:21" x14ac:dyDescent="0.35">
      <c r="A1469" s="30"/>
      <c r="B1469" s="4"/>
      <c r="C1469" s="4"/>
      <c r="D1469" s="4"/>
      <c r="E1469" s="4"/>
      <c r="F1469" s="4"/>
      <c r="G1469" s="4"/>
      <c r="H1469" s="17"/>
      <c r="K1469" s="40">
        <f>(J1393+$B$4)*EXP(10*$K$22)</f>
        <v>0.51004174433583993</v>
      </c>
      <c r="L1469" s="87"/>
      <c r="M1469" s="87"/>
      <c r="N1469" s="87"/>
      <c r="O1469" s="87"/>
      <c r="P1469" s="87"/>
      <c r="Q1469" s="87"/>
      <c r="R1469" s="87"/>
      <c r="S1469" s="87"/>
      <c r="T1469" s="87"/>
      <c r="U1469" s="88">
        <f t="shared" si="56"/>
        <v>80.871237488632204</v>
      </c>
    </row>
    <row r="1470" spans="1:21" x14ac:dyDescent="0.35">
      <c r="A1470" s="30"/>
      <c r="B1470" s="4"/>
      <c r="C1470" s="4"/>
      <c r="D1470" s="4"/>
      <c r="E1470" s="4"/>
      <c r="F1470" s="4"/>
      <c r="G1470" s="4"/>
      <c r="H1470" s="17"/>
      <c r="K1470" s="8">
        <f>J1394*EXP(10*K$22)</f>
        <v>0.50526121358428433</v>
      </c>
      <c r="L1470" s="87"/>
      <c r="M1470" s="87"/>
      <c r="N1470" s="87"/>
      <c r="O1470" s="87"/>
      <c r="P1470" s="87"/>
      <c r="Q1470" s="87"/>
      <c r="R1470" s="87"/>
      <c r="S1470" s="87"/>
      <c r="T1470" s="87"/>
      <c r="U1470" s="88">
        <f t="shared" si="56"/>
        <v>81.143826173636754</v>
      </c>
    </row>
    <row r="1471" spans="1:21" x14ac:dyDescent="0.35">
      <c r="A1471" s="30"/>
      <c r="B1471" s="4"/>
      <c r="C1471" s="4"/>
      <c r="D1471" s="4"/>
      <c r="E1471" s="4"/>
      <c r="F1471" s="4"/>
      <c r="G1471" s="4"/>
      <c r="H1471" s="17"/>
      <c r="K1471" s="40">
        <f>(J1394+$B$4)*EXP(10*$K$22)</f>
        <v>0.50773598288677158</v>
      </c>
      <c r="L1471" s="87"/>
      <c r="M1471" s="87"/>
      <c r="N1471" s="87"/>
      <c r="O1471" s="87"/>
      <c r="P1471" s="87"/>
      <c r="Q1471" s="87"/>
      <c r="R1471" s="87"/>
      <c r="S1471" s="87"/>
      <c r="T1471" s="87"/>
      <c r="U1471" s="88">
        <f t="shared" si="56"/>
        <v>81.002472458852466</v>
      </c>
    </row>
    <row r="1472" spans="1:21" x14ac:dyDescent="0.35">
      <c r="A1472" s="30"/>
      <c r="B1472" s="4"/>
      <c r="C1472" s="4"/>
      <c r="D1472" s="4"/>
      <c r="E1472" s="4"/>
      <c r="F1472" s="4"/>
      <c r="G1472" s="4"/>
      <c r="H1472" s="17"/>
      <c r="K1472" s="8">
        <f>J1395*EXP(10*K$22)</f>
        <v>0.50837907455552822</v>
      </c>
      <c r="L1472" s="87"/>
      <c r="M1472" s="87"/>
      <c r="N1472" s="87"/>
      <c r="O1472" s="87"/>
      <c r="P1472" s="87"/>
      <c r="Q1472" s="87"/>
      <c r="R1472" s="87"/>
      <c r="S1472" s="87"/>
      <c r="T1472" s="87"/>
      <c r="U1472" s="88">
        <f t="shared" si="56"/>
        <v>80.965825145307974</v>
      </c>
    </row>
    <row r="1473" spans="1:21" x14ac:dyDescent="0.35">
      <c r="A1473" s="30"/>
      <c r="B1473" s="4"/>
      <c r="C1473" s="4"/>
      <c r="D1473" s="4"/>
      <c r="E1473" s="4"/>
      <c r="F1473" s="4"/>
      <c r="G1473" s="4"/>
      <c r="H1473" s="17"/>
      <c r="K1473" s="40">
        <f>(J1395+$B$4)*EXP(10*$K$22)</f>
        <v>0.51085384385801536</v>
      </c>
      <c r="L1473" s="87"/>
      <c r="M1473" s="87"/>
      <c r="N1473" s="87"/>
      <c r="O1473" s="87"/>
      <c r="P1473" s="87"/>
      <c r="Q1473" s="87"/>
      <c r="R1473" s="87"/>
      <c r="S1473" s="87"/>
      <c r="T1473" s="87"/>
      <c r="U1473" s="88">
        <f t="shared" si="56"/>
        <v>80.825122399859254</v>
      </c>
    </row>
    <row r="1474" spans="1:21" x14ac:dyDescent="0.35">
      <c r="A1474" s="30"/>
      <c r="B1474" s="4"/>
      <c r="C1474" s="4"/>
      <c r="D1474" s="4"/>
      <c r="E1474" s="4"/>
      <c r="F1474" s="4"/>
      <c r="G1474" s="4"/>
      <c r="H1474" s="17"/>
      <c r="K1474" s="8">
        <f>J1396*EXP(10*K$22)</f>
        <v>0.5091579803721934</v>
      </c>
      <c r="L1474" s="87"/>
      <c r="M1474" s="87"/>
      <c r="N1474" s="87"/>
      <c r="O1474" s="87"/>
      <c r="P1474" s="87"/>
      <c r="Q1474" s="87"/>
      <c r="R1474" s="87"/>
      <c r="S1474" s="87"/>
      <c r="T1474" s="87"/>
      <c r="U1474" s="88">
        <f t="shared" si="56"/>
        <v>80.921484991287187</v>
      </c>
    </row>
    <row r="1475" spans="1:21" x14ac:dyDescent="0.35">
      <c r="A1475" s="30"/>
      <c r="B1475" s="4"/>
      <c r="C1475" s="4"/>
      <c r="D1475" s="4"/>
      <c r="E1475" s="4"/>
      <c r="F1475" s="4"/>
      <c r="G1475" s="4"/>
      <c r="H1475" s="17"/>
      <c r="K1475" s="40">
        <f>(J1396+$B$4)*EXP(10*$K$22)</f>
        <v>0.51163274967468053</v>
      </c>
      <c r="L1475" s="87"/>
      <c r="M1475" s="87"/>
      <c r="N1475" s="87"/>
      <c r="O1475" s="87"/>
      <c r="P1475" s="87"/>
      <c r="Q1475" s="87"/>
      <c r="R1475" s="87"/>
      <c r="S1475" s="87"/>
      <c r="T1475" s="87"/>
      <c r="U1475" s="88">
        <f t="shared" si="56"/>
        <v>80.78094416934799</v>
      </c>
    </row>
    <row r="1476" spans="1:21" x14ac:dyDescent="0.35">
      <c r="A1476" s="30"/>
      <c r="B1476" s="4"/>
      <c r="C1476" s="4"/>
      <c r="D1476" s="4"/>
      <c r="E1476" s="4"/>
      <c r="F1476" s="4"/>
      <c r="G1476" s="4"/>
      <c r="H1476" s="17"/>
      <c r="K1476" s="8">
        <f>J1397*EXP(10*K$22)</f>
        <v>0.51227584134343718</v>
      </c>
      <c r="L1476" s="87"/>
      <c r="M1476" s="87"/>
      <c r="N1476" s="87"/>
      <c r="O1476" s="87"/>
      <c r="P1476" s="87"/>
      <c r="Q1476" s="87"/>
      <c r="R1476" s="87"/>
      <c r="S1476" s="87"/>
      <c r="T1476" s="87"/>
      <c r="U1476" s="88">
        <f t="shared" si="56"/>
        <v>80.744507363796785</v>
      </c>
    </row>
    <row r="1477" spans="1:21" x14ac:dyDescent="0.35">
      <c r="A1477" s="30"/>
      <c r="B1477" s="4"/>
      <c r="C1477" s="4"/>
      <c r="D1477" s="4"/>
      <c r="E1477" s="4"/>
      <c r="F1477" s="4"/>
      <c r="G1477" s="4"/>
      <c r="H1477" s="17"/>
      <c r="K1477" s="40">
        <f>(J1397+$B$4)*EXP(10*$K$22)</f>
        <v>0.51475061064592431</v>
      </c>
      <c r="L1477" s="87"/>
      <c r="M1477" s="87"/>
      <c r="N1477" s="87"/>
      <c r="O1477" s="87"/>
      <c r="P1477" s="87"/>
      <c r="Q1477" s="87"/>
      <c r="R1477" s="87"/>
      <c r="S1477" s="87"/>
      <c r="T1477" s="87"/>
      <c r="U1477" s="88">
        <f t="shared" si="56"/>
        <v>80.60461191033275</v>
      </c>
    </row>
    <row r="1478" spans="1:21" x14ac:dyDescent="0.35">
      <c r="A1478" s="30"/>
      <c r="B1478" s="4"/>
      <c r="C1478" s="4"/>
      <c r="D1478" s="4"/>
      <c r="E1478" s="4"/>
      <c r="F1478" s="4"/>
      <c r="G1478" s="4"/>
      <c r="H1478" s="17"/>
      <c r="K1478" s="8">
        <f>J1398*EXP(10*K$22)</f>
        <v>0.50188625707954859</v>
      </c>
      <c r="L1478" s="87"/>
      <c r="M1478" s="87"/>
      <c r="N1478" s="87"/>
      <c r="O1478" s="87"/>
      <c r="P1478" s="87"/>
      <c r="Q1478" s="87"/>
      <c r="R1478" s="87"/>
      <c r="S1478" s="87"/>
      <c r="T1478" s="87"/>
      <c r="U1478" s="88">
        <f t="shared" si="56"/>
        <v>81.337435280546842</v>
      </c>
    </row>
    <row r="1479" spans="1:21" x14ac:dyDescent="0.35">
      <c r="A1479" s="30"/>
      <c r="B1479" s="4"/>
      <c r="C1479" s="4"/>
      <c r="D1479" s="4"/>
      <c r="E1479" s="4"/>
      <c r="F1479" s="4"/>
      <c r="G1479" s="4"/>
      <c r="H1479" s="17"/>
      <c r="K1479" s="40">
        <f>(J1398+$B$4)*EXP(10*$K$22)</f>
        <v>0.50436102638203573</v>
      </c>
      <c r="L1479" s="87"/>
      <c r="M1479" s="87"/>
      <c r="N1479" s="87"/>
      <c r="O1479" s="87"/>
      <c r="P1479" s="87"/>
      <c r="Q1479" s="87"/>
      <c r="R1479" s="87"/>
      <c r="S1479" s="87"/>
      <c r="T1479" s="87"/>
      <c r="U1479" s="88">
        <f t="shared" si="56"/>
        <v>81.19537181331853</v>
      </c>
    </row>
    <row r="1480" spans="1:21" x14ac:dyDescent="0.35">
      <c r="A1480" s="30"/>
      <c r="B1480" s="4"/>
      <c r="C1480" s="4"/>
      <c r="D1480" s="4"/>
      <c r="E1480" s="4"/>
      <c r="F1480" s="4"/>
      <c r="G1480" s="4"/>
      <c r="H1480" s="17"/>
      <c r="K1480" s="8">
        <f>J1399*EXP(10*K$22)</f>
        <v>0.50500411805079237</v>
      </c>
      <c r="L1480" s="87"/>
      <c r="M1480" s="87"/>
      <c r="N1480" s="87"/>
      <c r="O1480" s="87"/>
      <c r="P1480" s="87"/>
      <c r="Q1480" s="87"/>
      <c r="R1480" s="87"/>
      <c r="S1480" s="87"/>
      <c r="T1480" s="87"/>
      <c r="U1480" s="88">
        <f t="shared" si="56"/>
        <v>81.158540702894442</v>
      </c>
    </row>
    <row r="1481" spans="1:21" x14ac:dyDescent="0.35">
      <c r="A1481" s="30"/>
      <c r="B1481" s="4"/>
      <c r="C1481" s="4"/>
      <c r="D1481" s="4"/>
      <c r="E1481" s="4"/>
      <c r="F1481" s="4"/>
      <c r="G1481" s="4"/>
      <c r="H1481" s="17"/>
      <c r="K1481" s="40">
        <f>(J1399+$B$4)*EXP(10*$K$22)</f>
        <v>0.50747888735327962</v>
      </c>
      <c r="L1481" s="87"/>
      <c r="M1481" s="87"/>
      <c r="N1481" s="87"/>
      <c r="O1481" s="87"/>
      <c r="P1481" s="87"/>
      <c r="Q1481" s="87"/>
      <c r="R1481" s="87"/>
      <c r="S1481" s="87"/>
      <c r="T1481" s="87"/>
      <c r="U1481" s="88">
        <f t="shared" si="56"/>
        <v>81.017133108350109</v>
      </c>
    </row>
    <row r="1482" spans="1:21" x14ac:dyDescent="0.35">
      <c r="A1482" s="30"/>
      <c r="B1482" s="4"/>
      <c r="C1482" s="4"/>
      <c r="D1482" s="4"/>
      <c r="E1482" s="4"/>
      <c r="F1482" s="4"/>
      <c r="G1482" s="4"/>
      <c r="H1482" s="17"/>
      <c r="K1482" s="8">
        <f>J1400*EXP(10*K$22)</f>
        <v>0.50578302386745755</v>
      </c>
      <c r="L1482" s="87"/>
      <c r="M1482" s="87"/>
      <c r="N1482" s="87"/>
      <c r="O1482" s="87"/>
      <c r="P1482" s="87"/>
      <c r="Q1482" s="87"/>
      <c r="R1482" s="87"/>
      <c r="S1482" s="87"/>
      <c r="T1482" s="87"/>
      <c r="U1482" s="88">
        <f t="shared" si="56"/>
        <v>81.113978287584288</v>
      </c>
    </row>
    <row r="1483" spans="1:21" x14ac:dyDescent="0.35">
      <c r="A1483" s="30"/>
      <c r="B1483" s="4"/>
      <c r="C1483" s="4"/>
      <c r="D1483" s="4"/>
      <c r="E1483" s="4"/>
      <c r="F1483" s="4"/>
      <c r="G1483" s="4"/>
      <c r="H1483" s="17"/>
      <c r="K1483" s="40">
        <f>(J1400+$B$4)*EXP(10*$K$22)</f>
        <v>0.50825779316994479</v>
      </c>
      <c r="L1483" s="87"/>
      <c r="M1483" s="87"/>
      <c r="N1483" s="87"/>
      <c r="O1483" s="87"/>
      <c r="P1483" s="87"/>
      <c r="Q1483" s="87"/>
      <c r="R1483" s="87"/>
      <c r="S1483" s="87"/>
      <c r="T1483" s="87"/>
      <c r="U1483" s="88">
        <f t="shared" si="56"/>
        <v>80.972733834451503</v>
      </c>
    </row>
    <row r="1484" spans="1:21" x14ac:dyDescent="0.35">
      <c r="A1484" s="30"/>
      <c r="B1484" s="4"/>
      <c r="C1484" s="4"/>
      <c r="D1484" s="4"/>
      <c r="E1484" s="4"/>
      <c r="F1484" s="4"/>
      <c r="G1484" s="4"/>
      <c r="H1484" s="17"/>
      <c r="K1484" s="8">
        <f>J1401*EXP(10*K$22)</f>
        <v>0.50890088483870144</v>
      </c>
      <c r="L1484" s="87"/>
      <c r="M1484" s="87"/>
      <c r="N1484" s="87"/>
      <c r="O1484" s="87"/>
      <c r="P1484" s="87"/>
      <c r="Q1484" s="87"/>
      <c r="R1484" s="87"/>
      <c r="S1484" s="87"/>
      <c r="T1484" s="87"/>
      <c r="U1484" s="88">
        <f t="shared" si="56"/>
        <v>80.936114815351772</v>
      </c>
    </row>
    <row r="1485" spans="1:21" x14ac:dyDescent="0.35">
      <c r="A1485" s="30"/>
      <c r="B1485" s="4"/>
      <c r="C1485" s="4"/>
      <c r="D1485" s="4"/>
      <c r="E1485" s="4"/>
      <c r="F1485" s="4"/>
      <c r="G1485" s="4"/>
      <c r="H1485" s="17"/>
      <c r="K1485" s="40">
        <f>(J1401+$B$4)*EXP(10*$K$22)</f>
        <v>0.51137565414118857</v>
      </c>
      <c r="L1485" s="87"/>
      <c r="M1485" s="87"/>
      <c r="N1485" s="87"/>
      <c r="O1485" s="87"/>
      <c r="P1485" s="87"/>
      <c r="Q1485" s="87"/>
      <c r="R1485" s="87"/>
      <c r="S1485" s="87"/>
      <c r="T1485" s="87"/>
      <c r="U1485" s="88">
        <f t="shared" si="56"/>
        <v>80.79552057780306</v>
      </c>
    </row>
    <row r="1486" spans="1:21" x14ac:dyDescent="0.35">
      <c r="A1486" s="30"/>
      <c r="B1486" s="4"/>
      <c r="C1486" s="4"/>
      <c r="D1486" s="4"/>
      <c r="E1486" s="4"/>
      <c r="F1486" s="4"/>
      <c r="G1486" s="4"/>
      <c r="H1486" s="17"/>
      <c r="K1486" s="8">
        <f>J1402*EXP(10*K$22)</f>
        <v>0.50659512338963308</v>
      </c>
      <c r="L1486" s="87"/>
      <c r="M1486" s="87"/>
      <c r="N1486" s="87"/>
      <c r="O1486" s="87"/>
      <c r="P1486" s="87"/>
      <c r="Q1486" s="87"/>
      <c r="R1486" s="87"/>
      <c r="S1486" s="87"/>
      <c r="T1486" s="87"/>
      <c r="U1486" s="88">
        <f t="shared" si="56"/>
        <v>81.067571586266126</v>
      </c>
    </row>
    <row r="1487" spans="1:21" x14ac:dyDescent="0.35">
      <c r="A1487" s="30"/>
      <c r="B1487" s="4"/>
      <c r="C1487" s="4"/>
      <c r="D1487" s="4"/>
      <c r="E1487" s="4"/>
      <c r="F1487" s="4"/>
      <c r="G1487" s="4"/>
      <c r="H1487" s="17"/>
      <c r="K1487" s="40">
        <f>(J1402+$B$4)*EXP(10*$K$22)</f>
        <v>0.50906989269212033</v>
      </c>
      <c r="L1487" s="87"/>
      <c r="M1487" s="87"/>
      <c r="N1487" s="87"/>
      <c r="O1487" s="87"/>
      <c r="P1487" s="87"/>
      <c r="Q1487" s="87"/>
      <c r="R1487" s="87"/>
      <c r="S1487" s="87"/>
      <c r="T1487" s="87"/>
      <c r="U1487" s="88">
        <f t="shared" si="56"/>
        <v>80.926496926505067</v>
      </c>
    </row>
    <row r="1488" spans="1:21" x14ac:dyDescent="0.35">
      <c r="A1488" s="30"/>
      <c r="B1488" s="4"/>
      <c r="C1488" s="4"/>
      <c r="D1488" s="4"/>
      <c r="E1488" s="4"/>
      <c r="F1488" s="4"/>
      <c r="G1488" s="4"/>
      <c r="H1488" s="17"/>
      <c r="K1488" s="8">
        <f>J1403*EXP(10*K$22)</f>
        <v>0.50971298436087698</v>
      </c>
      <c r="L1488" s="87"/>
      <c r="M1488" s="87"/>
      <c r="N1488" s="87"/>
      <c r="O1488" s="87"/>
      <c r="P1488" s="87"/>
      <c r="Q1488" s="87"/>
      <c r="R1488" s="87"/>
      <c r="S1488" s="87"/>
      <c r="T1488" s="87"/>
      <c r="U1488" s="88">
        <f t="shared" si="56"/>
        <v>80.889921877245939</v>
      </c>
    </row>
    <row r="1489" spans="1:21" x14ac:dyDescent="0.35">
      <c r="A1489" s="30"/>
      <c r="B1489" s="4"/>
      <c r="C1489" s="4"/>
      <c r="D1489" s="4"/>
      <c r="E1489" s="4"/>
      <c r="F1489" s="4"/>
      <c r="G1489" s="4"/>
      <c r="H1489" s="17"/>
      <c r="K1489" s="40">
        <f>(J1403+$B$4)*EXP(10*$K$22)</f>
        <v>0.51218775366336422</v>
      </c>
      <c r="L1489" s="87"/>
      <c r="M1489" s="87"/>
      <c r="N1489" s="87"/>
      <c r="O1489" s="87"/>
      <c r="P1489" s="87"/>
      <c r="Q1489" s="87"/>
      <c r="R1489" s="87"/>
      <c r="S1489" s="87"/>
      <c r="T1489" s="87"/>
      <c r="U1489" s="88">
        <f t="shared" si="56"/>
        <v>80.749496262309592</v>
      </c>
    </row>
    <row r="1490" spans="1:21" x14ac:dyDescent="0.35">
      <c r="A1490" s="30"/>
      <c r="B1490" s="4"/>
      <c r="C1490" s="4"/>
      <c r="D1490" s="4"/>
      <c r="E1490" s="4"/>
      <c r="F1490" s="4"/>
      <c r="G1490" s="4"/>
      <c r="H1490" s="17"/>
      <c r="K1490" s="8">
        <f>J1404*EXP(10*K$22)</f>
        <v>0.51049189017754215</v>
      </c>
      <c r="L1490" s="87"/>
      <c r="M1490" s="87"/>
      <c r="N1490" s="87"/>
      <c r="O1490" s="87"/>
      <c r="P1490" s="87"/>
      <c r="Q1490" s="87"/>
      <c r="R1490" s="87"/>
      <c r="S1490" s="87"/>
      <c r="T1490" s="87"/>
      <c r="U1490" s="88">
        <f t="shared" si="56"/>
        <v>80.845669110984531</v>
      </c>
    </row>
    <row r="1491" spans="1:21" x14ac:dyDescent="0.35">
      <c r="A1491" s="30"/>
      <c r="B1491" s="4"/>
      <c r="C1491" s="4"/>
      <c r="D1491" s="4"/>
      <c r="E1491" s="4"/>
      <c r="F1491" s="4"/>
      <c r="G1491" s="4"/>
      <c r="H1491" s="17"/>
      <c r="K1491" s="40">
        <f>(J1404+$B$4)*EXP(10*$K$22)</f>
        <v>0.51296665948002929</v>
      </c>
      <c r="L1491" s="87"/>
      <c r="M1491" s="87"/>
      <c r="N1491" s="87"/>
      <c r="O1491" s="87"/>
      <c r="P1491" s="87"/>
      <c r="Q1491" s="87"/>
      <c r="R1491" s="87"/>
      <c r="S1491" s="87"/>
      <c r="T1491" s="87"/>
      <c r="U1491" s="88">
        <f t="shared" si="56"/>
        <v>80.705404941539612</v>
      </c>
    </row>
    <row r="1492" spans="1:21" x14ac:dyDescent="0.35">
      <c r="A1492" s="30"/>
      <c r="B1492" s="4"/>
      <c r="C1492" s="4"/>
      <c r="D1492" s="4"/>
      <c r="E1492" s="4"/>
      <c r="F1492" s="4"/>
      <c r="G1492" s="4"/>
      <c r="H1492" s="17"/>
      <c r="K1492" s="8">
        <f>J1405*EXP(10*K$22)</f>
        <v>0.51360975114878593</v>
      </c>
      <c r="L1492" s="87"/>
      <c r="M1492" s="87"/>
      <c r="N1492" s="87"/>
      <c r="O1492" s="87"/>
      <c r="P1492" s="87"/>
      <c r="Q1492" s="87"/>
      <c r="R1492" s="87"/>
      <c r="S1492" s="87"/>
      <c r="T1492" s="87"/>
      <c r="U1492" s="88">
        <f t="shared" si="56"/>
        <v>80.669039778827269</v>
      </c>
    </row>
    <row r="1493" spans="1:21" x14ac:dyDescent="0.35">
      <c r="A1493" s="30"/>
      <c r="B1493" s="4"/>
      <c r="C1493" s="4"/>
      <c r="D1493" s="4"/>
      <c r="E1493" s="4"/>
      <c r="F1493" s="4"/>
      <c r="G1493" s="4"/>
      <c r="H1493" s="17"/>
      <c r="K1493" s="40">
        <f>(J1405+$B$4)*EXP(10*$K$22)</f>
        <v>0.51608452045127318</v>
      </c>
      <c r="L1493" s="87"/>
      <c r="M1493" s="87"/>
      <c r="N1493" s="87"/>
      <c r="O1493" s="87"/>
      <c r="P1493" s="87"/>
      <c r="Q1493" s="87"/>
      <c r="R1493" s="87"/>
      <c r="S1493" s="87"/>
      <c r="T1493" s="87"/>
      <c r="U1493" s="88">
        <f t="shared" si="56"/>
        <v>80.52941907538181</v>
      </c>
    </row>
    <row r="1494" spans="1:21" x14ac:dyDescent="0.35">
      <c r="A1494" s="30"/>
      <c r="B1494" s="4"/>
      <c r="C1494" s="4"/>
      <c r="D1494" s="4"/>
      <c r="E1494" s="4"/>
      <c r="F1494" s="4"/>
      <c r="G1494" s="4"/>
      <c r="H1494" s="17"/>
      <c r="K1494" s="8">
        <f>J1406*EXP(10*K$22)</f>
        <v>0.5078128362641775</v>
      </c>
      <c r="L1494" s="87"/>
      <c r="M1494" s="87"/>
      <c r="N1494" s="87"/>
      <c r="O1494" s="87"/>
      <c r="P1494" s="87"/>
      <c r="Q1494" s="87"/>
      <c r="R1494" s="87"/>
      <c r="S1494" s="87"/>
      <c r="T1494" s="87"/>
      <c r="U1494" s="88">
        <f t="shared" si="56"/>
        <v>80.99809104530506</v>
      </c>
    </row>
    <row r="1495" spans="1:21" x14ac:dyDescent="0.35">
      <c r="A1495" s="30"/>
      <c r="B1495" s="4"/>
      <c r="C1495" s="4"/>
      <c r="D1495" s="4"/>
      <c r="E1495" s="4"/>
      <c r="F1495" s="4"/>
      <c r="G1495" s="4"/>
      <c r="H1495" s="17"/>
      <c r="K1495" s="40">
        <f>(J1406+$B$4)*EXP(10*$K$22)</f>
        <v>0.51028760556666475</v>
      </c>
      <c r="L1495" s="87"/>
      <c r="M1495" s="87"/>
      <c r="N1495" s="87"/>
      <c r="O1495" s="87"/>
      <c r="P1495" s="87"/>
      <c r="Q1495" s="87"/>
      <c r="R1495" s="87"/>
      <c r="S1495" s="87"/>
      <c r="T1495" s="87"/>
      <c r="U1495" s="88">
        <f t="shared" si="56"/>
        <v>80.857270411193298</v>
      </c>
    </row>
    <row r="1496" spans="1:21" x14ac:dyDescent="0.35">
      <c r="A1496" s="30"/>
      <c r="B1496" s="4"/>
      <c r="C1496" s="4"/>
      <c r="D1496" s="4"/>
      <c r="E1496" s="4"/>
      <c r="F1496" s="4"/>
      <c r="G1496" s="4"/>
      <c r="H1496" s="17"/>
      <c r="K1496" s="8">
        <f>J1407*EXP(10*K$22)</f>
        <v>0.51093069723542139</v>
      </c>
      <c r="L1496" s="87"/>
      <c r="M1496" s="87"/>
      <c r="N1496" s="87"/>
      <c r="O1496" s="87"/>
      <c r="P1496" s="87"/>
      <c r="Q1496" s="87"/>
      <c r="R1496" s="87"/>
      <c r="S1496" s="87"/>
      <c r="T1496" s="87"/>
      <c r="U1496" s="88">
        <f t="shared" si="56"/>
        <v>80.820761144810334</v>
      </c>
    </row>
    <row r="1497" spans="1:21" x14ac:dyDescent="0.35">
      <c r="A1497" s="30"/>
      <c r="B1497" s="4"/>
      <c r="C1497" s="4"/>
      <c r="D1497" s="4"/>
      <c r="E1497" s="4"/>
      <c r="F1497" s="4"/>
      <c r="G1497" s="4"/>
      <c r="H1497" s="17"/>
      <c r="K1497" s="40">
        <f>(J1407+$B$4)*EXP(10*$K$22)</f>
        <v>0.51340546653790853</v>
      </c>
      <c r="L1497" s="87"/>
      <c r="M1497" s="87"/>
      <c r="N1497" s="87"/>
      <c r="O1497" s="87"/>
      <c r="P1497" s="87"/>
      <c r="Q1497" s="87"/>
      <c r="R1497" s="87"/>
      <c r="S1497" s="87"/>
      <c r="T1497" s="87"/>
      <c r="U1497" s="88">
        <f t="shared" si="56"/>
        <v>80.680587805274698</v>
      </c>
    </row>
    <row r="1498" spans="1:21" x14ac:dyDescent="0.35">
      <c r="A1498" s="30"/>
      <c r="B1498" s="4"/>
      <c r="C1498" s="4"/>
      <c r="D1498" s="4"/>
      <c r="E1498" s="4"/>
      <c r="F1498" s="4"/>
      <c r="G1498" s="4"/>
      <c r="H1498" s="17"/>
      <c r="K1498" s="8">
        <f>J1408*EXP(10*K$22)</f>
        <v>0.51170960305208657</v>
      </c>
      <c r="L1498" s="87"/>
      <c r="M1498" s="87"/>
      <c r="N1498" s="87"/>
      <c r="O1498" s="87"/>
      <c r="P1498" s="87"/>
      <c r="Q1498" s="87"/>
      <c r="R1498" s="87"/>
      <c r="S1498" s="87"/>
      <c r="T1498" s="87"/>
      <c r="U1498" s="88">
        <f t="shared" si="56"/>
        <v>80.77658792858773</v>
      </c>
    </row>
    <row r="1499" spans="1:21" x14ac:dyDescent="0.35">
      <c r="A1499" s="30"/>
      <c r="B1499" s="4"/>
      <c r="C1499" s="4"/>
      <c r="D1499" s="4"/>
      <c r="E1499" s="4"/>
      <c r="F1499" s="4"/>
      <c r="G1499" s="4"/>
      <c r="H1499" s="17"/>
      <c r="K1499" s="40">
        <f>(J1408+$B$4)*EXP(10*$K$22)</f>
        <v>0.5141843723545737</v>
      </c>
      <c r="L1499" s="87"/>
      <c r="M1499" s="87"/>
      <c r="N1499" s="87"/>
      <c r="O1499" s="87"/>
      <c r="P1499" s="87"/>
      <c r="Q1499" s="87"/>
      <c r="R1499" s="87"/>
      <c r="S1499" s="87"/>
      <c r="T1499" s="87"/>
      <c r="U1499" s="88">
        <f t="shared" si="56"/>
        <v>80.63657559980706</v>
      </c>
    </row>
    <row r="1500" spans="1:21" x14ac:dyDescent="0.35">
      <c r="A1500" s="30"/>
      <c r="B1500" s="4"/>
      <c r="C1500" s="4"/>
      <c r="D1500" s="4"/>
      <c r="E1500" s="4"/>
      <c r="F1500" s="4"/>
      <c r="G1500" s="4"/>
      <c r="H1500" s="17"/>
      <c r="K1500" s="8">
        <f>J1409*EXP(10*K$22)</f>
        <v>0.51482746402333035</v>
      </c>
      <c r="L1500" s="87"/>
      <c r="M1500" s="87"/>
      <c r="N1500" s="87"/>
      <c r="O1500" s="87"/>
      <c r="P1500" s="87"/>
      <c r="Q1500" s="87"/>
      <c r="R1500" s="87"/>
      <c r="S1500" s="87"/>
      <c r="T1500" s="87"/>
      <c r="U1500" s="88">
        <f t="shared" si="56"/>
        <v>80.600275654792625</v>
      </c>
    </row>
    <row r="1501" spans="1:21" x14ac:dyDescent="0.35">
      <c r="A1501" s="30"/>
      <c r="B1501" s="4"/>
      <c r="C1501" s="4"/>
      <c r="D1501" s="4"/>
      <c r="E1501" s="4"/>
      <c r="F1501" s="4"/>
      <c r="G1501" s="4"/>
      <c r="H1501" s="17"/>
      <c r="K1501" s="40">
        <f>(J1409+$B$4)*EXP(10*$K$22)</f>
        <v>0.5173022333258176</v>
      </c>
      <c r="L1501" s="87"/>
      <c r="M1501" s="87"/>
      <c r="N1501" s="87"/>
      <c r="O1501" s="87"/>
      <c r="P1501" s="87"/>
      <c r="Q1501" s="87"/>
      <c r="R1501" s="87"/>
      <c r="S1501" s="87"/>
      <c r="T1501" s="87"/>
      <c r="U1501" s="88">
        <f t="shared" si="56"/>
        <v>80.460905061783947</v>
      </c>
    </row>
    <row r="1502" spans="1:21" x14ac:dyDescent="0.35">
      <c r="A1502" s="30"/>
      <c r="B1502" s="4"/>
      <c r="C1502" s="4"/>
      <c r="D1502" s="4"/>
      <c r="E1502" s="4"/>
      <c r="F1502" s="4"/>
      <c r="G1502" s="4"/>
      <c r="H1502" s="17"/>
      <c r="K1502" s="8">
        <f>J1410*EXP(10*K$22)</f>
        <v>0.51252170257426211</v>
      </c>
      <c r="L1502" s="87"/>
      <c r="M1502" s="87"/>
      <c r="N1502" s="87"/>
      <c r="O1502" s="87"/>
      <c r="P1502" s="87"/>
      <c r="Q1502" s="87"/>
      <c r="R1502" s="87"/>
      <c r="S1502" s="87"/>
      <c r="T1502" s="87"/>
      <c r="U1502" s="88">
        <f t="shared" si="56"/>
        <v>80.730586296548339</v>
      </c>
    </row>
    <row r="1503" spans="1:21" x14ac:dyDescent="0.35">
      <c r="A1503" s="30"/>
      <c r="B1503" s="4"/>
      <c r="C1503" s="4"/>
      <c r="D1503" s="4"/>
      <c r="E1503" s="4"/>
      <c r="F1503" s="4"/>
      <c r="G1503" s="4"/>
      <c r="H1503" s="17"/>
      <c r="K1503" s="40">
        <f>(J1410+$B$4)*EXP(10*$K$22)</f>
        <v>0.51499647187674935</v>
      </c>
      <c r="L1503" s="87"/>
      <c r="M1503" s="87"/>
      <c r="N1503" s="87"/>
      <c r="O1503" s="87"/>
      <c r="P1503" s="87"/>
      <c r="Q1503" s="87"/>
      <c r="R1503" s="87"/>
      <c r="S1503" s="87"/>
      <c r="T1503" s="87"/>
      <c r="U1503" s="88">
        <f t="shared" si="56"/>
        <v>80.590741544901974</v>
      </c>
    </row>
    <row r="1504" spans="1:21" x14ac:dyDescent="0.35">
      <c r="A1504" s="30"/>
      <c r="B1504" s="4"/>
      <c r="C1504" s="4"/>
      <c r="D1504" s="4"/>
      <c r="E1504" s="4"/>
      <c r="F1504" s="4"/>
      <c r="G1504" s="4"/>
      <c r="H1504" s="17"/>
      <c r="K1504" s="8">
        <f>J1411*EXP(10*K$22)</f>
        <v>0.515639563545506</v>
      </c>
      <c r="L1504" s="87"/>
      <c r="M1504" s="87"/>
      <c r="N1504" s="87"/>
      <c r="O1504" s="87"/>
      <c r="P1504" s="87"/>
      <c r="Q1504" s="87"/>
      <c r="R1504" s="87"/>
      <c r="S1504" s="87"/>
      <c r="T1504" s="87"/>
      <c r="U1504" s="88">
        <f t="shared" si="56"/>
        <v>80.554484996465987</v>
      </c>
    </row>
    <row r="1505" spans="1:21" x14ac:dyDescent="0.35">
      <c r="A1505" s="30"/>
      <c r="B1505" s="4"/>
      <c r="C1505" s="4"/>
      <c r="D1505" s="4"/>
      <c r="E1505" s="4"/>
      <c r="F1505" s="4"/>
      <c r="G1505" s="4"/>
      <c r="H1505" s="17"/>
      <c r="K1505" s="40">
        <f>(J1411+$B$4)*EXP(10*$K$22)</f>
        <v>0.51811433284799324</v>
      </c>
      <c r="L1505" s="87"/>
      <c r="M1505" s="87"/>
      <c r="N1505" s="87"/>
      <c r="O1505" s="87"/>
      <c r="P1505" s="87"/>
      <c r="Q1505" s="87"/>
      <c r="R1505" s="87"/>
      <c r="S1505" s="87"/>
      <c r="T1505" s="87"/>
      <c r="U1505" s="88">
        <f t="shared" si="56"/>
        <v>80.415280830139892</v>
      </c>
    </row>
    <row r="1506" spans="1:21" x14ac:dyDescent="0.35">
      <c r="A1506" s="30"/>
      <c r="B1506" s="4"/>
      <c r="C1506" s="4"/>
      <c r="D1506" s="4"/>
      <c r="E1506" s="4"/>
      <c r="F1506" s="4"/>
      <c r="G1506" s="4"/>
      <c r="H1506" s="17"/>
      <c r="K1506" s="8">
        <f>J1412*EXP(10*K$22)</f>
        <v>0.51641846936217117</v>
      </c>
      <c r="L1506" s="87"/>
      <c r="M1506" s="87"/>
      <c r="N1506" s="87"/>
      <c r="O1506" s="87"/>
      <c r="P1506" s="87"/>
      <c r="Q1506" s="87"/>
      <c r="R1506" s="87"/>
      <c r="S1506" s="87"/>
      <c r="T1506" s="87"/>
      <c r="U1506" s="88">
        <f t="shared" si="56"/>
        <v>80.510617388522888</v>
      </c>
    </row>
    <row r="1507" spans="1:21" x14ac:dyDescent="0.35">
      <c r="A1507" s="30"/>
      <c r="B1507" s="4"/>
      <c r="C1507" s="4"/>
      <c r="D1507" s="4"/>
      <c r="E1507" s="4"/>
      <c r="F1507" s="4"/>
      <c r="G1507" s="4"/>
      <c r="H1507" s="17"/>
      <c r="K1507" s="40">
        <f>(J1412+$B$4)*EXP(10*$K$22)</f>
        <v>0.51889323866465842</v>
      </c>
      <c r="L1507" s="87"/>
      <c r="M1507" s="87"/>
      <c r="N1507" s="87"/>
      <c r="O1507" s="87"/>
      <c r="P1507" s="87"/>
      <c r="Q1507" s="87"/>
      <c r="R1507" s="87"/>
      <c r="S1507" s="87"/>
      <c r="T1507" s="87"/>
      <c r="U1507" s="88">
        <f t="shared" si="56"/>
        <v>80.371572566448577</v>
      </c>
    </row>
    <row r="1508" spans="1:21" x14ac:dyDescent="0.35">
      <c r="A1508" s="30"/>
      <c r="B1508" s="4"/>
      <c r="C1508" s="4"/>
      <c r="D1508" s="4"/>
      <c r="E1508" s="4"/>
      <c r="F1508" s="4"/>
      <c r="G1508" s="4"/>
      <c r="H1508" s="17"/>
      <c r="K1508" s="8">
        <f>J1413*EXP(10*K$22)</f>
        <v>0.51953633033341506</v>
      </c>
      <c r="L1508" s="87"/>
      <c r="M1508" s="87"/>
      <c r="N1508" s="87"/>
      <c r="O1508" s="87"/>
      <c r="P1508" s="87"/>
      <c r="Q1508" s="87"/>
      <c r="R1508" s="87"/>
      <c r="S1508" s="87"/>
      <c r="T1508" s="87"/>
      <c r="U1508" s="88">
        <f t="shared" si="56"/>
        <v>80.335523172847104</v>
      </c>
    </row>
    <row r="1509" spans="1:21" x14ac:dyDescent="0.35">
      <c r="A1509" s="30"/>
      <c r="B1509" s="4"/>
      <c r="C1509" s="4"/>
      <c r="D1509" s="4"/>
      <c r="E1509" s="4"/>
      <c r="F1509" s="4"/>
      <c r="G1509" s="4"/>
      <c r="H1509" s="17"/>
      <c r="K1509" s="40">
        <f>(J1413+$B$4)*EXP(10*$K$22)</f>
        <v>0.5220110996359022</v>
      </c>
      <c r="L1509" s="87"/>
      <c r="M1509" s="87"/>
      <c r="N1509" s="87"/>
      <c r="O1509" s="87"/>
      <c r="P1509" s="87"/>
      <c r="Q1509" s="87"/>
      <c r="R1509" s="87"/>
      <c r="S1509" s="87"/>
      <c r="T1509" s="87"/>
      <c r="U1509" s="88">
        <f t="shared" si="56"/>
        <v>80.19711345387023</v>
      </c>
    </row>
    <row r="1510" spans="1:21" x14ac:dyDescent="0.35">
      <c r="A1510" s="30"/>
      <c r="B1510" s="4"/>
      <c r="C1510" s="4"/>
      <c r="D1510" s="4"/>
      <c r="E1510" s="4"/>
      <c r="F1510" s="4"/>
      <c r="G1510" s="4"/>
      <c r="H1510" s="17"/>
      <c r="K1510" s="8">
        <f>J1414*EXP(10*K$22)</f>
        <v>0.50380962427828224</v>
      </c>
      <c r="L1510" s="87"/>
      <c r="M1510" s="87"/>
      <c r="N1510" s="87"/>
      <c r="O1510" s="87"/>
      <c r="P1510" s="87"/>
      <c r="Q1510" s="87"/>
      <c r="R1510" s="87"/>
      <c r="S1510" s="87"/>
      <c r="T1510" s="87"/>
      <c r="U1510" s="88">
        <f t="shared" ref="U1510:U1573" si="57">MIN($B$8,((100+$B$7)/(1+K1510+$D$8/10000)))+$B$7</f>
        <v>81.226979695141722</v>
      </c>
    </row>
    <row r="1511" spans="1:21" x14ac:dyDescent="0.35">
      <c r="A1511" s="30"/>
      <c r="B1511" s="4"/>
      <c r="C1511" s="4"/>
      <c r="D1511" s="4"/>
      <c r="E1511" s="4"/>
      <c r="F1511" s="4"/>
      <c r="G1511" s="4"/>
      <c r="H1511" s="17"/>
      <c r="K1511" s="40">
        <f>(J1414+$B$4)*EXP(10*$K$22)</f>
        <v>0.50628439358076949</v>
      </c>
      <c r="L1511" s="87"/>
      <c r="M1511" s="87"/>
      <c r="N1511" s="87"/>
      <c r="O1511" s="87"/>
      <c r="P1511" s="87"/>
      <c r="Q1511" s="87"/>
      <c r="R1511" s="87"/>
      <c r="S1511" s="87"/>
      <c r="T1511" s="87"/>
      <c r="U1511" s="88">
        <f t="shared" si="57"/>
        <v>81.085321364870055</v>
      </c>
    </row>
    <row r="1512" spans="1:21" x14ac:dyDescent="0.35">
      <c r="A1512" s="30"/>
      <c r="B1512" s="4"/>
      <c r="C1512" s="4"/>
      <c r="D1512" s="4"/>
      <c r="E1512" s="4"/>
      <c r="F1512" s="4"/>
      <c r="G1512" s="4"/>
      <c r="H1512" s="17"/>
      <c r="K1512" s="8">
        <f>J1415*EXP(10*K$22)</f>
        <v>0.50692748524952613</v>
      </c>
      <c r="L1512" s="87"/>
      <c r="M1512" s="87"/>
      <c r="N1512" s="87"/>
      <c r="O1512" s="87"/>
      <c r="P1512" s="87"/>
      <c r="Q1512" s="87"/>
      <c r="R1512" s="87"/>
      <c r="S1512" s="87"/>
      <c r="T1512" s="87"/>
      <c r="U1512" s="88">
        <f t="shared" si="57"/>
        <v>81.048595168166557</v>
      </c>
    </row>
    <row r="1513" spans="1:21" x14ac:dyDescent="0.35">
      <c r="A1513" s="30"/>
      <c r="B1513" s="4"/>
      <c r="C1513" s="4"/>
      <c r="D1513" s="4"/>
      <c r="E1513" s="4"/>
      <c r="F1513" s="4"/>
      <c r="G1513" s="4"/>
      <c r="H1513" s="17"/>
      <c r="K1513" s="40">
        <f>(J1415+$B$4)*EXP(10*$K$22)</f>
        <v>0.50940225455201327</v>
      </c>
      <c r="L1513" s="87"/>
      <c r="M1513" s="87"/>
      <c r="N1513" s="87"/>
      <c r="O1513" s="87"/>
      <c r="P1513" s="87"/>
      <c r="Q1513" s="87"/>
      <c r="R1513" s="87"/>
      <c r="S1513" s="87"/>
      <c r="T1513" s="87"/>
      <c r="U1513" s="88">
        <f t="shared" si="57"/>
        <v>80.907589910179425</v>
      </c>
    </row>
    <row r="1514" spans="1:21" x14ac:dyDescent="0.35">
      <c r="A1514" s="30"/>
      <c r="B1514" s="4"/>
      <c r="C1514" s="4"/>
      <c r="D1514" s="4"/>
      <c r="E1514" s="4"/>
      <c r="F1514" s="4"/>
      <c r="G1514" s="4"/>
      <c r="H1514" s="17"/>
      <c r="K1514" s="8">
        <f>J1416*EXP(10*K$22)</f>
        <v>0.50770639106619131</v>
      </c>
      <c r="L1514" s="87"/>
      <c r="M1514" s="87"/>
      <c r="N1514" s="87"/>
      <c r="O1514" s="87"/>
      <c r="P1514" s="87"/>
      <c r="Q1514" s="87"/>
      <c r="R1514" s="87"/>
      <c r="S1514" s="87"/>
      <c r="T1514" s="87"/>
      <c r="U1514" s="88">
        <f t="shared" si="57"/>
        <v>81.004159622469658</v>
      </c>
    </row>
    <row r="1515" spans="1:21" x14ac:dyDescent="0.35">
      <c r="A1515" s="30"/>
      <c r="B1515" s="4"/>
      <c r="C1515" s="4"/>
      <c r="D1515" s="4"/>
      <c r="E1515" s="4"/>
      <c r="F1515" s="4"/>
      <c r="G1515" s="4"/>
      <c r="H1515" s="17"/>
      <c r="K1515" s="40">
        <f>(J1416+$B$4)*EXP(10*$K$22)</f>
        <v>0.51018116036867844</v>
      </c>
      <c r="L1515" s="87"/>
      <c r="M1515" s="87"/>
      <c r="N1515" s="87"/>
      <c r="O1515" s="87"/>
      <c r="P1515" s="87"/>
      <c r="Q1515" s="87"/>
      <c r="R1515" s="87"/>
      <c r="S1515" s="87"/>
      <c r="T1515" s="87"/>
      <c r="U1515" s="88">
        <f t="shared" si="57"/>
        <v>80.863316810328257</v>
      </c>
    </row>
    <row r="1516" spans="1:21" x14ac:dyDescent="0.35">
      <c r="A1516" s="30"/>
      <c r="B1516" s="4"/>
      <c r="C1516" s="4"/>
      <c r="D1516" s="4"/>
      <c r="E1516" s="4"/>
      <c r="F1516" s="4"/>
      <c r="G1516" s="4"/>
      <c r="H1516" s="17"/>
      <c r="K1516" s="8">
        <f>J1417*EXP(10*K$22)</f>
        <v>0.51082425203743509</v>
      </c>
      <c r="L1516" s="87"/>
      <c r="M1516" s="87"/>
      <c r="N1516" s="87"/>
      <c r="O1516" s="87"/>
      <c r="P1516" s="87"/>
      <c r="Q1516" s="87"/>
      <c r="R1516" s="87"/>
      <c r="S1516" s="87"/>
      <c r="T1516" s="87"/>
      <c r="U1516" s="88">
        <f t="shared" si="57"/>
        <v>80.826801800680158</v>
      </c>
    </row>
    <row r="1517" spans="1:21" x14ac:dyDescent="0.35">
      <c r="A1517" s="30"/>
      <c r="B1517" s="4"/>
      <c r="C1517" s="4"/>
      <c r="D1517" s="4"/>
      <c r="E1517" s="4"/>
      <c r="F1517" s="4"/>
      <c r="G1517" s="4"/>
      <c r="H1517" s="17"/>
      <c r="K1517" s="40">
        <f>(J1417+$B$4)*EXP(10*$K$22)</f>
        <v>0.51329902133992233</v>
      </c>
      <c r="L1517" s="87"/>
      <c r="M1517" s="87"/>
      <c r="N1517" s="87"/>
      <c r="O1517" s="87"/>
      <c r="P1517" s="87"/>
      <c r="Q1517" s="87"/>
      <c r="R1517" s="87"/>
      <c r="S1517" s="87"/>
      <c r="T1517" s="87"/>
      <c r="U1517" s="88">
        <f t="shared" si="57"/>
        <v>80.686606435859971</v>
      </c>
    </row>
    <row r="1518" spans="1:21" x14ac:dyDescent="0.35">
      <c r="A1518" s="30"/>
      <c r="B1518" s="4"/>
      <c r="C1518" s="4"/>
      <c r="D1518" s="4"/>
      <c r="E1518" s="4"/>
      <c r="F1518" s="4"/>
      <c r="G1518" s="4"/>
      <c r="H1518" s="17"/>
      <c r="K1518" s="8">
        <f>J1418*EXP(10*K$22)</f>
        <v>0.50851849058836673</v>
      </c>
      <c r="L1518" s="87"/>
      <c r="M1518" s="87"/>
      <c r="N1518" s="87"/>
      <c r="O1518" s="87"/>
      <c r="P1518" s="87"/>
      <c r="Q1518" s="87"/>
      <c r="R1518" s="87"/>
      <c r="S1518" s="87"/>
      <c r="T1518" s="87"/>
      <c r="U1518" s="88">
        <f t="shared" si="57"/>
        <v>80.957884963723885</v>
      </c>
    </row>
    <row r="1519" spans="1:21" x14ac:dyDescent="0.35">
      <c r="A1519" s="30"/>
      <c r="B1519" s="4"/>
      <c r="C1519" s="4"/>
      <c r="D1519" s="4"/>
      <c r="E1519" s="4"/>
      <c r="F1519" s="4"/>
      <c r="G1519" s="4"/>
      <c r="H1519" s="17"/>
      <c r="K1519" s="40">
        <f>(J1418+$B$4)*EXP(10*$K$22)</f>
        <v>0.51099325989085398</v>
      </c>
      <c r="L1519" s="87"/>
      <c r="M1519" s="87"/>
      <c r="N1519" s="87"/>
      <c r="O1519" s="87"/>
      <c r="P1519" s="87"/>
      <c r="Q1519" s="87"/>
      <c r="R1519" s="87"/>
      <c r="S1519" s="87"/>
      <c r="T1519" s="87"/>
      <c r="U1519" s="88">
        <f t="shared" si="57"/>
        <v>80.817211221452524</v>
      </c>
    </row>
    <row r="1520" spans="1:21" x14ac:dyDescent="0.35">
      <c r="A1520" s="30"/>
      <c r="B1520" s="4"/>
      <c r="C1520" s="4"/>
      <c r="D1520" s="4"/>
      <c r="E1520" s="4"/>
      <c r="F1520" s="4"/>
      <c r="G1520" s="4"/>
      <c r="H1520" s="17"/>
      <c r="K1520" s="8">
        <f>J1419*EXP(10*K$22)</f>
        <v>0.51163635155961051</v>
      </c>
      <c r="L1520" s="87"/>
      <c r="M1520" s="87"/>
      <c r="N1520" s="87"/>
      <c r="O1520" s="87"/>
      <c r="P1520" s="87"/>
      <c r="Q1520" s="87"/>
      <c r="R1520" s="87"/>
      <c r="S1520" s="87"/>
      <c r="T1520" s="87"/>
      <c r="U1520" s="88">
        <f t="shared" si="57"/>
        <v>80.780739994502014</v>
      </c>
    </row>
    <row r="1521" spans="1:21" x14ac:dyDescent="0.35">
      <c r="A1521" s="30"/>
      <c r="B1521" s="4"/>
      <c r="C1521" s="4"/>
      <c r="D1521" s="4"/>
      <c r="E1521" s="4"/>
      <c r="F1521" s="4"/>
      <c r="G1521" s="4"/>
      <c r="H1521" s="17"/>
      <c r="K1521" s="40">
        <f>(J1419+$B$4)*EXP(10*$K$22)</f>
        <v>0.51411112086209776</v>
      </c>
      <c r="L1521" s="87"/>
      <c r="M1521" s="87"/>
      <c r="N1521" s="87"/>
      <c r="O1521" s="87"/>
      <c r="P1521" s="87"/>
      <c r="Q1521" s="87"/>
      <c r="R1521" s="87"/>
      <c r="S1521" s="87"/>
      <c r="T1521" s="87"/>
      <c r="U1521" s="88">
        <f t="shared" si="57"/>
        <v>80.640712535431746</v>
      </c>
    </row>
    <row r="1522" spans="1:21" x14ac:dyDescent="0.35">
      <c r="A1522" s="30"/>
      <c r="B1522" s="4"/>
      <c r="C1522" s="4"/>
      <c r="D1522" s="4"/>
      <c r="E1522" s="4"/>
      <c r="F1522" s="4"/>
      <c r="G1522" s="4"/>
      <c r="H1522" s="17"/>
      <c r="K1522" s="8">
        <f>J1420*EXP(10*K$22)</f>
        <v>0.5124152573762758</v>
      </c>
      <c r="L1522" s="87"/>
      <c r="M1522" s="87"/>
      <c r="N1522" s="87"/>
      <c r="O1522" s="87"/>
      <c r="P1522" s="87"/>
      <c r="Q1522" s="87"/>
      <c r="R1522" s="87"/>
      <c r="S1522" s="87"/>
      <c r="T1522" s="87"/>
      <c r="U1522" s="88">
        <f t="shared" si="57"/>
        <v>80.736612778726538</v>
      </c>
    </row>
    <row r="1523" spans="1:21" x14ac:dyDescent="0.35">
      <c r="A1523" s="30"/>
      <c r="B1523" s="4"/>
      <c r="C1523" s="4"/>
      <c r="D1523" s="4"/>
      <c r="E1523" s="4"/>
      <c r="F1523" s="4"/>
      <c r="G1523" s="4"/>
      <c r="H1523" s="17"/>
      <c r="K1523" s="40">
        <f>(J1420+$B$4)*EXP(10*$K$22)</f>
        <v>0.51489002667876294</v>
      </c>
      <c r="L1523" s="87"/>
      <c r="M1523" s="87"/>
      <c r="N1523" s="87"/>
      <c r="O1523" s="87"/>
      <c r="P1523" s="87"/>
      <c r="Q1523" s="87"/>
      <c r="R1523" s="87"/>
      <c r="S1523" s="87"/>
      <c r="T1523" s="87"/>
      <c r="U1523" s="88">
        <f t="shared" si="57"/>
        <v>80.596746079199235</v>
      </c>
    </row>
    <row r="1524" spans="1:21" x14ac:dyDescent="0.35">
      <c r="A1524" s="30"/>
      <c r="B1524" s="4"/>
      <c r="C1524" s="4"/>
      <c r="D1524" s="4"/>
      <c r="E1524" s="4"/>
      <c r="F1524" s="4"/>
      <c r="G1524" s="4"/>
      <c r="H1524" s="17"/>
      <c r="K1524" s="8">
        <f>J1421*EXP(10*K$22)</f>
        <v>0.51553311834751958</v>
      </c>
      <c r="L1524" s="87"/>
      <c r="M1524" s="87"/>
      <c r="N1524" s="87"/>
      <c r="O1524" s="87"/>
      <c r="P1524" s="87"/>
      <c r="Q1524" s="87"/>
      <c r="R1524" s="87"/>
      <c r="S1524" s="87"/>
      <c r="T1524" s="87"/>
      <c r="U1524" s="88">
        <f t="shared" si="57"/>
        <v>80.560483847029658</v>
      </c>
    </row>
    <row r="1525" spans="1:21" x14ac:dyDescent="0.35">
      <c r="A1525" s="30"/>
      <c r="B1525" s="4"/>
      <c r="C1525" s="4"/>
      <c r="D1525" s="4"/>
      <c r="E1525" s="4"/>
      <c r="F1525" s="4"/>
      <c r="G1525" s="4"/>
      <c r="H1525" s="17"/>
      <c r="K1525" s="40">
        <f>(J1421+$B$4)*EXP(10*$K$22)</f>
        <v>0.51800788765000672</v>
      </c>
      <c r="L1525" s="87"/>
      <c r="M1525" s="87"/>
      <c r="N1525" s="87"/>
      <c r="O1525" s="87"/>
      <c r="P1525" s="87"/>
      <c r="Q1525" s="87"/>
      <c r="R1525" s="87"/>
      <c r="S1525" s="87"/>
      <c r="T1525" s="87"/>
      <c r="U1525" s="88">
        <f t="shared" si="57"/>
        <v>80.421257883460385</v>
      </c>
    </row>
    <row r="1526" spans="1:21" x14ac:dyDescent="0.35">
      <c r="A1526" s="30"/>
      <c r="B1526" s="4"/>
      <c r="C1526" s="4"/>
      <c r="D1526" s="4"/>
      <c r="E1526" s="4"/>
      <c r="F1526" s="4"/>
      <c r="G1526" s="4"/>
      <c r="H1526" s="17"/>
      <c r="K1526" s="8">
        <f>J1422*EXP(10*K$22)</f>
        <v>0.50973620346291126</v>
      </c>
      <c r="L1526" s="87"/>
      <c r="M1526" s="87"/>
      <c r="N1526" s="87"/>
      <c r="O1526" s="87"/>
      <c r="P1526" s="87"/>
      <c r="Q1526" s="87"/>
      <c r="R1526" s="87"/>
      <c r="S1526" s="87"/>
      <c r="T1526" s="87"/>
      <c r="U1526" s="88">
        <f t="shared" si="57"/>
        <v>80.88860196984281</v>
      </c>
    </row>
    <row r="1527" spans="1:21" x14ac:dyDescent="0.35">
      <c r="A1527" s="30"/>
      <c r="B1527" s="4"/>
      <c r="C1527" s="4"/>
      <c r="D1527" s="4"/>
      <c r="E1527" s="4"/>
      <c r="F1527" s="4"/>
      <c r="G1527" s="4"/>
      <c r="H1527" s="17"/>
      <c r="K1527" s="40">
        <f>(J1422+$B$4)*EXP(10*$K$22)</f>
        <v>0.5122109727653984</v>
      </c>
      <c r="L1527" s="87"/>
      <c r="M1527" s="87"/>
      <c r="N1527" s="87"/>
      <c r="O1527" s="87"/>
      <c r="P1527" s="87"/>
      <c r="Q1527" s="87"/>
      <c r="R1527" s="87"/>
      <c r="S1527" s="87"/>
      <c r="T1527" s="87"/>
      <c r="U1527" s="88">
        <f t="shared" si="57"/>
        <v>80.748181171609758</v>
      </c>
    </row>
    <row r="1528" spans="1:21" x14ac:dyDescent="0.35">
      <c r="A1528" s="30"/>
      <c r="B1528" s="4"/>
      <c r="C1528" s="4"/>
      <c r="D1528" s="4"/>
      <c r="E1528" s="4"/>
      <c r="F1528" s="4"/>
      <c r="G1528" s="4"/>
      <c r="H1528" s="17"/>
      <c r="K1528" s="8">
        <f>J1423*EXP(10*K$22)</f>
        <v>0.51285406443415504</v>
      </c>
      <c r="L1528" s="87"/>
      <c r="M1528" s="87"/>
      <c r="N1528" s="87"/>
      <c r="O1528" s="87"/>
      <c r="P1528" s="87"/>
      <c r="Q1528" s="87"/>
      <c r="R1528" s="87"/>
      <c r="S1528" s="87"/>
      <c r="T1528" s="87"/>
      <c r="U1528" s="88">
        <f t="shared" si="57"/>
        <v>80.711775447761909</v>
      </c>
    </row>
    <row r="1529" spans="1:21" x14ac:dyDescent="0.35">
      <c r="A1529" s="30"/>
      <c r="B1529" s="4"/>
      <c r="C1529" s="4"/>
      <c r="D1529" s="4"/>
      <c r="E1529" s="4"/>
      <c r="F1529" s="4"/>
      <c r="G1529" s="4"/>
      <c r="H1529" s="17"/>
      <c r="K1529" s="40">
        <f>(J1423+$B$4)*EXP(10*$K$22)</f>
        <v>0.51532883373664229</v>
      </c>
      <c r="L1529" s="87"/>
      <c r="M1529" s="87"/>
      <c r="N1529" s="87"/>
      <c r="O1529" s="87"/>
      <c r="P1529" s="87"/>
      <c r="Q1529" s="87"/>
      <c r="R1529" s="87"/>
      <c r="S1529" s="87"/>
      <c r="T1529" s="87"/>
      <c r="U1529" s="88">
        <f t="shared" si="57"/>
        <v>80.571999192399417</v>
      </c>
    </row>
    <row r="1530" spans="1:21" x14ac:dyDescent="0.35">
      <c r="A1530" s="30"/>
      <c r="B1530" s="4"/>
      <c r="C1530" s="4"/>
      <c r="D1530" s="4"/>
      <c r="E1530" s="4"/>
      <c r="F1530" s="4"/>
      <c r="G1530" s="4"/>
      <c r="H1530" s="17"/>
      <c r="K1530" s="8">
        <f>J1424*EXP(10*K$22)</f>
        <v>0.51363297025082022</v>
      </c>
      <c r="L1530" s="87"/>
      <c r="M1530" s="87"/>
      <c r="N1530" s="87"/>
      <c r="O1530" s="87"/>
      <c r="P1530" s="87"/>
      <c r="Q1530" s="87"/>
      <c r="R1530" s="87"/>
      <c r="S1530" s="87"/>
      <c r="T1530" s="87"/>
      <c r="U1530" s="88">
        <f t="shared" si="57"/>
        <v>80.667727443877382</v>
      </c>
    </row>
    <row r="1531" spans="1:21" x14ac:dyDescent="0.35">
      <c r="A1531" s="30"/>
      <c r="B1531" s="4"/>
      <c r="C1531" s="4"/>
      <c r="D1531" s="4"/>
      <c r="E1531" s="4"/>
      <c r="F1531" s="4"/>
      <c r="G1531" s="4"/>
      <c r="H1531" s="17"/>
      <c r="K1531" s="40">
        <f>(J1424+$B$4)*EXP(10*$K$22)</f>
        <v>0.51610773955330747</v>
      </c>
      <c r="L1531" s="87"/>
      <c r="M1531" s="87"/>
      <c r="N1531" s="87"/>
      <c r="O1531" s="87"/>
      <c r="P1531" s="87"/>
      <c r="Q1531" s="87"/>
      <c r="R1531" s="87"/>
      <c r="S1531" s="87"/>
      <c r="T1531" s="87"/>
      <c r="U1531" s="88">
        <f t="shared" si="57"/>
        <v>80.528111515781376</v>
      </c>
    </row>
    <row r="1532" spans="1:21" x14ac:dyDescent="0.35">
      <c r="A1532" s="30"/>
      <c r="B1532" s="4"/>
      <c r="C1532" s="4"/>
      <c r="D1532" s="4"/>
      <c r="E1532" s="4"/>
      <c r="F1532" s="4"/>
      <c r="G1532" s="4"/>
      <c r="H1532" s="17"/>
      <c r="K1532" s="8">
        <f>J1425*EXP(10*K$22)</f>
        <v>0.51675083122206411</v>
      </c>
      <c r="L1532" s="87"/>
      <c r="M1532" s="87"/>
      <c r="N1532" s="87"/>
      <c r="O1532" s="87"/>
      <c r="P1532" s="87"/>
      <c r="Q1532" s="87"/>
      <c r="R1532" s="87"/>
      <c r="S1532" s="87"/>
      <c r="T1532" s="87"/>
      <c r="U1532" s="88">
        <f t="shared" si="57"/>
        <v>80.491914224734245</v>
      </c>
    </row>
    <row r="1533" spans="1:21" x14ac:dyDescent="0.35">
      <c r="A1533" s="30"/>
      <c r="B1533" s="4"/>
      <c r="C1533" s="4"/>
      <c r="D1533" s="4"/>
      <c r="E1533" s="4"/>
      <c r="F1533" s="4"/>
      <c r="G1533" s="4"/>
      <c r="H1533" s="17"/>
      <c r="K1533" s="40">
        <f>(J1425+$B$4)*EXP(10*$K$22)</f>
        <v>0.51922560052455136</v>
      </c>
      <c r="L1533" s="87"/>
      <c r="M1533" s="87"/>
      <c r="N1533" s="87"/>
      <c r="O1533" s="87"/>
      <c r="P1533" s="87"/>
      <c r="Q1533" s="87"/>
      <c r="R1533" s="87"/>
      <c r="S1533" s="87"/>
      <c r="T1533" s="87"/>
      <c r="U1533" s="88">
        <f t="shared" si="57"/>
        <v>80.352937312145315</v>
      </c>
    </row>
    <row r="1534" spans="1:21" x14ac:dyDescent="0.35">
      <c r="A1534" s="30"/>
      <c r="B1534" s="4"/>
      <c r="C1534" s="4"/>
      <c r="D1534" s="4"/>
      <c r="E1534" s="4"/>
      <c r="F1534" s="4"/>
      <c r="G1534" s="4"/>
      <c r="H1534" s="17"/>
      <c r="K1534" s="8">
        <f>J1426*EXP(10*K$22)</f>
        <v>0.51444506977299587</v>
      </c>
      <c r="L1534" s="87"/>
      <c r="M1534" s="87"/>
      <c r="N1534" s="87"/>
      <c r="O1534" s="87"/>
      <c r="P1534" s="87"/>
      <c r="Q1534" s="87"/>
      <c r="R1534" s="87"/>
      <c r="S1534" s="87"/>
      <c r="T1534" s="87"/>
      <c r="U1534" s="88">
        <f t="shared" si="57"/>
        <v>80.621856130569213</v>
      </c>
    </row>
    <row r="1535" spans="1:21" x14ac:dyDescent="0.35">
      <c r="A1535" s="30"/>
      <c r="B1535" s="4"/>
      <c r="C1535" s="4"/>
      <c r="D1535" s="4"/>
      <c r="E1535" s="4"/>
      <c r="F1535" s="4"/>
      <c r="G1535" s="4"/>
      <c r="H1535" s="17"/>
      <c r="K1535" s="40">
        <f>(J1426+$B$4)*EXP(10*$K$22)</f>
        <v>0.51691983907548311</v>
      </c>
      <c r="L1535" s="87"/>
      <c r="M1535" s="87"/>
      <c r="N1535" s="87"/>
      <c r="O1535" s="87"/>
      <c r="P1535" s="87"/>
      <c r="Q1535" s="87"/>
      <c r="R1535" s="87"/>
      <c r="S1535" s="87"/>
      <c r="T1535" s="87"/>
      <c r="U1535" s="88">
        <f t="shared" si="57"/>
        <v>80.482407068660905</v>
      </c>
    </row>
    <row r="1536" spans="1:21" x14ac:dyDescent="0.35">
      <c r="A1536" s="30"/>
      <c r="B1536" s="4"/>
      <c r="C1536" s="4"/>
      <c r="D1536" s="4"/>
      <c r="E1536" s="4"/>
      <c r="F1536" s="4"/>
      <c r="G1536" s="4"/>
      <c r="H1536" s="17"/>
      <c r="K1536" s="8">
        <f>J1427*EXP(10*K$22)</f>
        <v>0.51756293074423976</v>
      </c>
      <c r="L1536" s="87"/>
      <c r="M1536" s="87"/>
      <c r="N1536" s="87"/>
      <c r="O1536" s="87"/>
      <c r="P1536" s="87"/>
      <c r="Q1536" s="87"/>
      <c r="R1536" s="87"/>
      <c r="S1536" s="87"/>
      <c r="T1536" s="87"/>
      <c r="U1536" s="88">
        <f t="shared" si="57"/>
        <v>80.446252990293061</v>
      </c>
    </row>
    <row r="1537" spans="1:21" x14ac:dyDescent="0.35">
      <c r="A1537" s="30"/>
      <c r="B1537" s="4"/>
      <c r="C1537" s="4"/>
      <c r="D1537" s="4"/>
      <c r="E1537" s="4"/>
      <c r="F1537" s="4"/>
      <c r="G1537" s="4"/>
      <c r="H1537" s="17"/>
      <c r="K1537" s="40">
        <f>(J1427+$B$4)*EXP(10*$K$22)</f>
        <v>0.52003770004672689</v>
      </c>
      <c r="L1537" s="87"/>
      <c r="M1537" s="87"/>
      <c r="N1537" s="87"/>
      <c r="O1537" s="87"/>
      <c r="P1537" s="87"/>
      <c r="Q1537" s="87"/>
      <c r="R1537" s="87"/>
      <c r="S1537" s="87"/>
      <c r="T1537" s="87"/>
      <c r="U1537" s="88">
        <f t="shared" si="57"/>
        <v>80.307441799935816</v>
      </c>
    </row>
    <row r="1538" spans="1:21" x14ac:dyDescent="0.35">
      <c r="A1538" s="30"/>
      <c r="B1538" s="4"/>
      <c r="C1538" s="4"/>
      <c r="D1538" s="4"/>
      <c r="E1538" s="4"/>
      <c r="F1538" s="4"/>
      <c r="G1538" s="4"/>
      <c r="H1538" s="17"/>
      <c r="K1538" s="8">
        <f>J1428*EXP(10*K$22)</f>
        <v>0.51834183656090482</v>
      </c>
      <c r="L1538" s="87"/>
      <c r="M1538" s="87"/>
      <c r="N1538" s="87"/>
      <c r="O1538" s="87"/>
      <c r="P1538" s="87"/>
      <c r="Q1538" s="87"/>
      <c r="R1538" s="87"/>
      <c r="S1538" s="87"/>
      <c r="T1538" s="87"/>
      <c r="U1538" s="88">
        <f t="shared" si="57"/>
        <v>80.402509298446518</v>
      </c>
    </row>
    <row r="1539" spans="1:21" x14ac:dyDescent="0.35">
      <c r="A1539" s="30"/>
      <c r="B1539" s="4"/>
      <c r="C1539" s="4"/>
      <c r="D1539" s="4"/>
      <c r="E1539" s="4"/>
      <c r="F1539" s="4"/>
      <c r="G1539" s="4"/>
      <c r="H1539" s="17"/>
      <c r="K1539" s="40">
        <f>(J1428+$B$4)*EXP(10*$K$22)</f>
        <v>0.52081660586339207</v>
      </c>
      <c r="L1539" s="87"/>
      <c r="M1539" s="87"/>
      <c r="N1539" s="87"/>
      <c r="O1539" s="87"/>
      <c r="P1539" s="87"/>
      <c r="Q1539" s="87"/>
      <c r="R1539" s="87"/>
      <c r="S1539" s="87"/>
      <c r="T1539" s="87"/>
      <c r="U1539" s="88">
        <f t="shared" si="57"/>
        <v>80.263856778262038</v>
      </c>
    </row>
    <row r="1540" spans="1:21" x14ac:dyDescent="0.35">
      <c r="A1540" s="30"/>
      <c r="B1540" s="4"/>
      <c r="C1540" s="4"/>
      <c r="D1540" s="4"/>
      <c r="E1540" s="4"/>
      <c r="F1540" s="4"/>
      <c r="G1540" s="4"/>
      <c r="H1540" s="17"/>
      <c r="K1540" s="8">
        <f>J1429*EXP(10*K$22)</f>
        <v>0.5214596975321486</v>
      </c>
      <c r="L1540" s="87"/>
      <c r="M1540" s="87"/>
      <c r="N1540" s="87"/>
      <c r="O1540" s="87"/>
      <c r="P1540" s="87"/>
      <c r="Q1540" s="87"/>
      <c r="R1540" s="87"/>
      <c r="S1540" s="87"/>
      <c r="T1540" s="87"/>
      <c r="U1540" s="88">
        <f t="shared" si="57"/>
        <v>80.227908978393671</v>
      </c>
    </row>
    <row r="1541" spans="1:21" x14ac:dyDescent="0.35">
      <c r="A1541" s="30"/>
      <c r="B1541" s="4"/>
      <c r="C1541" s="4"/>
      <c r="D1541" s="4"/>
      <c r="E1541" s="4"/>
      <c r="F1541" s="4"/>
      <c r="G1541" s="4"/>
      <c r="H1541" s="17"/>
      <c r="K1541" s="40">
        <f>(J1429+$B$4)*EXP(10*$K$22)</f>
        <v>0.52393446683463585</v>
      </c>
      <c r="L1541" s="87"/>
      <c r="M1541" s="87"/>
      <c r="N1541" s="87"/>
      <c r="O1541" s="87"/>
      <c r="P1541" s="87"/>
      <c r="Q1541" s="87"/>
      <c r="R1541" s="87"/>
      <c r="S1541" s="87"/>
      <c r="T1541" s="87"/>
      <c r="U1541" s="88">
        <f t="shared" si="57"/>
        <v>80.08988887843789</v>
      </c>
    </row>
    <row r="1542" spans="1:21" x14ac:dyDescent="0.35">
      <c r="A1542" s="30"/>
      <c r="B1542" s="4"/>
      <c r="C1542" s="4"/>
      <c r="D1542" s="4"/>
      <c r="E1542" s="4"/>
      <c r="F1542" s="4"/>
      <c r="G1542" s="4"/>
      <c r="H1542" s="17"/>
      <c r="K1542" s="8">
        <f>J1430*EXP(10*K$22)</f>
        <v>0.51107011326825991</v>
      </c>
      <c r="L1542" s="87"/>
      <c r="M1542" s="87"/>
      <c r="N1542" s="87"/>
      <c r="O1542" s="87"/>
      <c r="P1542" s="87"/>
      <c r="Q1542" s="87"/>
      <c r="R1542" s="87"/>
      <c r="S1542" s="87"/>
      <c r="T1542" s="87"/>
      <c r="U1542" s="88">
        <f t="shared" si="57"/>
        <v>80.812850864544998</v>
      </c>
    </row>
    <row r="1543" spans="1:21" x14ac:dyDescent="0.35">
      <c r="A1543" s="30"/>
      <c r="B1543" s="4"/>
      <c r="C1543" s="4"/>
      <c r="D1543" s="4"/>
      <c r="E1543" s="4"/>
      <c r="F1543" s="4"/>
      <c r="G1543" s="4"/>
      <c r="H1543" s="17"/>
      <c r="K1543" s="40">
        <f>(J1430+$B$4)*EXP(10*$K$22)</f>
        <v>0.51354488257074715</v>
      </c>
      <c r="L1543" s="87"/>
      <c r="M1543" s="87"/>
      <c r="N1543" s="87"/>
      <c r="O1543" s="87"/>
      <c r="P1543" s="87"/>
      <c r="Q1543" s="87"/>
      <c r="R1543" s="87"/>
      <c r="S1543" s="87"/>
      <c r="T1543" s="87"/>
      <c r="U1543" s="88">
        <f t="shared" si="57"/>
        <v>80.672706364658765</v>
      </c>
    </row>
    <row r="1544" spans="1:21" x14ac:dyDescent="0.35">
      <c r="A1544" s="30"/>
      <c r="B1544" s="4"/>
      <c r="C1544" s="4"/>
      <c r="D1544" s="4"/>
      <c r="E1544" s="4"/>
      <c r="F1544" s="4"/>
      <c r="G1544" s="4"/>
      <c r="H1544" s="17"/>
      <c r="K1544" s="8">
        <f>J1431*EXP(10*K$22)</f>
        <v>0.5141879742395038</v>
      </c>
      <c r="L1544" s="87"/>
      <c r="M1544" s="87"/>
      <c r="N1544" s="87"/>
      <c r="O1544" s="87"/>
      <c r="P1544" s="87"/>
      <c r="Q1544" s="87"/>
      <c r="R1544" s="87"/>
      <c r="S1544" s="87"/>
      <c r="T1544" s="87"/>
      <c r="U1544" s="88">
        <f t="shared" si="57"/>
        <v>80.636372192044092</v>
      </c>
    </row>
    <row r="1545" spans="1:21" x14ac:dyDescent="0.35">
      <c r="A1545" s="30"/>
      <c r="B1545" s="4"/>
      <c r="C1545" s="4"/>
      <c r="D1545" s="4"/>
      <c r="E1545" s="4"/>
      <c r="F1545" s="4"/>
      <c r="G1545" s="4"/>
      <c r="H1545" s="17"/>
      <c r="K1545" s="40">
        <f>(J1431+$B$4)*EXP(10*$K$22)</f>
        <v>0.51666274354199104</v>
      </c>
      <c r="L1545" s="87"/>
      <c r="M1545" s="87"/>
      <c r="N1545" s="87"/>
      <c r="O1545" s="87"/>
      <c r="P1545" s="87"/>
      <c r="Q1545" s="87"/>
      <c r="R1545" s="87"/>
      <c r="S1545" s="87"/>
      <c r="T1545" s="87"/>
      <c r="U1545" s="88">
        <f t="shared" si="57"/>
        <v>80.496870335795492</v>
      </c>
    </row>
    <row r="1546" spans="1:21" x14ac:dyDescent="0.35">
      <c r="A1546" s="30"/>
      <c r="B1546" s="4"/>
      <c r="C1546" s="4"/>
      <c r="D1546" s="4"/>
      <c r="E1546" s="4"/>
      <c r="F1546" s="4"/>
      <c r="G1546" s="4"/>
      <c r="H1546" s="17"/>
      <c r="K1546" s="8">
        <f>J1432*EXP(10*K$22)</f>
        <v>0.51496688005616897</v>
      </c>
      <c r="L1546" s="87"/>
      <c r="M1546" s="87"/>
      <c r="N1546" s="87"/>
      <c r="O1546" s="87"/>
      <c r="P1546" s="87"/>
      <c r="Q1546" s="87"/>
      <c r="R1546" s="87"/>
      <c r="S1546" s="87"/>
      <c r="T1546" s="87"/>
      <c r="U1546" s="88">
        <f t="shared" si="57"/>
        <v>80.59241071408951</v>
      </c>
    </row>
    <row r="1547" spans="1:21" x14ac:dyDescent="0.35">
      <c r="A1547" s="30"/>
      <c r="B1547" s="4"/>
      <c r="C1547" s="4"/>
      <c r="D1547" s="4"/>
      <c r="E1547" s="4"/>
      <c r="F1547" s="4"/>
      <c r="G1547" s="4"/>
      <c r="H1547" s="17"/>
      <c r="K1547" s="40">
        <f>(J1432+$B$4)*EXP(10*$K$22)</f>
        <v>0.51744164935865622</v>
      </c>
      <c r="L1547" s="87"/>
      <c r="M1547" s="87"/>
      <c r="N1547" s="87"/>
      <c r="O1547" s="87"/>
      <c r="P1547" s="87"/>
      <c r="Q1547" s="87"/>
      <c r="R1547" s="87"/>
      <c r="S1547" s="87"/>
      <c r="T1547" s="87"/>
      <c r="U1547" s="88">
        <f t="shared" si="57"/>
        <v>80.453068713358959</v>
      </c>
    </row>
    <row r="1548" spans="1:21" x14ac:dyDescent="0.35">
      <c r="A1548" s="30"/>
      <c r="B1548" s="4"/>
      <c r="C1548" s="4"/>
      <c r="D1548" s="4"/>
      <c r="E1548" s="4"/>
      <c r="F1548" s="4"/>
      <c r="G1548" s="4"/>
      <c r="H1548" s="17"/>
      <c r="K1548" s="8">
        <f>J1433*EXP(10*K$22)</f>
        <v>0.51808474102741275</v>
      </c>
      <c r="L1548" s="87"/>
      <c r="M1548" s="87"/>
      <c r="N1548" s="87"/>
      <c r="O1548" s="87"/>
      <c r="P1548" s="87"/>
      <c r="Q1548" s="87"/>
      <c r="R1548" s="87"/>
      <c r="S1548" s="87"/>
      <c r="T1548" s="87"/>
      <c r="U1548" s="88">
        <f t="shared" si="57"/>
        <v>80.416942360249436</v>
      </c>
    </row>
    <row r="1549" spans="1:21" x14ac:dyDescent="0.35">
      <c r="A1549" s="30"/>
      <c r="B1549" s="4"/>
      <c r="C1549" s="4"/>
      <c r="D1549" s="4"/>
      <c r="E1549" s="4"/>
      <c r="F1549" s="4"/>
      <c r="G1549" s="4"/>
      <c r="H1549" s="17"/>
      <c r="K1549" s="40">
        <f>(J1433+$B$4)*EXP(10*$K$22)</f>
        <v>0.5205595103299</v>
      </c>
      <c r="L1549" s="87"/>
      <c r="M1549" s="87"/>
      <c r="N1549" s="87"/>
      <c r="O1549" s="87"/>
      <c r="P1549" s="87"/>
      <c r="Q1549" s="87"/>
      <c r="R1549" s="87"/>
      <c r="S1549" s="87"/>
      <c r="T1549" s="87"/>
      <c r="U1549" s="88">
        <f t="shared" si="57"/>
        <v>80.278237497467543</v>
      </c>
    </row>
    <row r="1550" spans="1:21" x14ac:dyDescent="0.35">
      <c r="A1550" s="30"/>
      <c r="B1550" s="4"/>
      <c r="C1550" s="4"/>
      <c r="D1550" s="4"/>
      <c r="E1550" s="4"/>
      <c r="F1550" s="4"/>
      <c r="G1550" s="4"/>
      <c r="H1550" s="17"/>
      <c r="K1550" s="8">
        <f>J1434*EXP(10*K$22)</f>
        <v>0.51577897957834462</v>
      </c>
      <c r="L1550" s="87"/>
      <c r="M1550" s="87"/>
      <c r="N1550" s="87"/>
      <c r="O1550" s="87"/>
      <c r="P1550" s="87"/>
      <c r="Q1550" s="87"/>
      <c r="R1550" s="87"/>
      <c r="S1550" s="87"/>
      <c r="T1550" s="87"/>
      <c r="U1550" s="88">
        <f t="shared" si="57"/>
        <v>80.546629455590718</v>
      </c>
    </row>
    <row r="1551" spans="1:21" x14ac:dyDescent="0.35">
      <c r="A1551" s="30"/>
      <c r="B1551" s="4"/>
      <c r="C1551" s="4"/>
      <c r="D1551" s="4"/>
      <c r="E1551" s="4"/>
      <c r="F1551" s="4"/>
      <c r="G1551" s="4"/>
      <c r="H1551" s="17"/>
      <c r="K1551" s="40">
        <f>(J1434+$B$4)*EXP(10*$K$22)</f>
        <v>0.51825374888083175</v>
      </c>
      <c r="L1551" s="87"/>
      <c r="M1551" s="87"/>
      <c r="N1551" s="87"/>
      <c r="O1551" s="87"/>
      <c r="P1551" s="87"/>
      <c r="Q1551" s="87"/>
      <c r="R1551" s="87"/>
      <c r="S1551" s="87"/>
      <c r="T1551" s="87"/>
      <c r="U1551" s="88">
        <f t="shared" si="57"/>
        <v>80.407453830346284</v>
      </c>
    </row>
    <row r="1552" spans="1:21" x14ac:dyDescent="0.35">
      <c r="A1552" s="30"/>
      <c r="B1552" s="4"/>
      <c r="C1552" s="4"/>
      <c r="D1552" s="4"/>
      <c r="E1552" s="4"/>
      <c r="F1552" s="4"/>
      <c r="G1552" s="4"/>
      <c r="H1552" s="17"/>
      <c r="K1552" s="8">
        <f>J1435*EXP(10*K$22)</f>
        <v>0.5188968405495884</v>
      </c>
      <c r="L1552" s="87"/>
      <c r="M1552" s="87"/>
      <c r="N1552" s="87"/>
      <c r="O1552" s="87"/>
      <c r="P1552" s="87"/>
      <c r="Q1552" s="87"/>
      <c r="R1552" s="87"/>
      <c r="S1552" s="87"/>
      <c r="T1552" s="87"/>
      <c r="U1552" s="88">
        <f t="shared" si="57"/>
        <v>80.371370562986527</v>
      </c>
    </row>
    <row r="1553" spans="1:21" x14ac:dyDescent="0.35">
      <c r="A1553" s="30"/>
      <c r="B1553" s="4"/>
      <c r="C1553" s="4"/>
      <c r="D1553" s="4"/>
      <c r="E1553" s="4"/>
      <c r="F1553" s="4"/>
      <c r="G1553" s="4"/>
      <c r="H1553" s="17"/>
      <c r="K1553" s="40">
        <f>(J1435+$B$4)*EXP(10*$K$22)</f>
        <v>0.52137160985207565</v>
      </c>
      <c r="L1553" s="87"/>
      <c r="M1553" s="87"/>
      <c r="N1553" s="87"/>
      <c r="O1553" s="87"/>
      <c r="P1553" s="87"/>
      <c r="Q1553" s="87"/>
      <c r="R1553" s="87"/>
      <c r="S1553" s="87"/>
      <c r="T1553" s="87"/>
      <c r="U1553" s="88">
        <f t="shared" si="57"/>
        <v>80.23283093621275</v>
      </c>
    </row>
    <row r="1554" spans="1:21" x14ac:dyDescent="0.35">
      <c r="A1554" s="30"/>
      <c r="B1554" s="4"/>
      <c r="C1554" s="4"/>
      <c r="D1554" s="4"/>
      <c r="E1554" s="4"/>
      <c r="F1554" s="4"/>
      <c r="G1554" s="4"/>
      <c r="H1554" s="17"/>
      <c r="K1554" s="8">
        <f>J1436*EXP(10*K$22)</f>
        <v>0.51967574636625358</v>
      </c>
      <c r="L1554" s="87"/>
      <c r="M1554" s="87"/>
      <c r="N1554" s="87"/>
      <c r="O1554" s="87"/>
      <c r="P1554" s="87"/>
      <c r="Q1554" s="87"/>
      <c r="R1554" s="87"/>
      <c r="S1554" s="87"/>
      <c r="T1554" s="87"/>
      <c r="U1554" s="88">
        <f t="shared" si="57"/>
        <v>80.327712502391606</v>
      </c>
    </row>
    <row r="1555" spans="1:21" x14ac:dyDescent="0.35">
      <c r="A1555" s="30"/>
      <c r="B1555" s="4"/>
      <c r="C1555" s="4"/>
      <c r="D1555" s="4"/>
      <c r="E1555" s="4"/>
      <c r="F1555" s="4"/>
      <c r="G1555" s="4"/>
      <c r="H1555" s="17"/>
      <c r="K1555" s="40">
        <f>(J1436+$B$4)*EXP(10*$K$22)</f>
        <v>0.52215051566874082</v>
      </c>
      <c r="L1555" s="87"/>
      <c r="M1555" s="87"/>
      <c r="N1555" s="87"/>
      <c r="O1555" s="87"/>
      <c r="P1555" s="87"/>
      <c r="Q1555" s="87"/>
      <c r="R1555" s="87"/>
      <c r="S1555" s="87"/>
      <c r="T1555" s="87"/>
      <c r="U1555" s="88">
        <f t="shared" si="57"/>
        <v>80.189331080528902</v>
      </c>
    </row>
    <row r="1556" spans="1:21" x14ac:dyDescent="0.35">
      <c r="A1556" s="30"/>
      <c r="B1556" s="38"/>
      <c r="C1556" s="38"/>
      <c r="D1556" s="38"/>
      <c r="E1556" s="38"/>
      <c r="F1556" s="38"/>
      <c r="G1556" s="38"/>
      <c r="H1556" s="75"/>
      <c r="I1556" s="74"/>
      <c r="J1556" s="74"/>
      <c r="K1556" s="8">
        <f>J1437*EXP(10*K$22)</f>
        <v>0.52279360733749747</v>
      </c>
      <c r="L1556" s="82"/>
      <c r="M1556" s="82"/>
      <c r="N1556" s="82"/>
      <c r="O1556" s="82"/>
      <c r="P1556" s="82"/>
      <c r="Q1556" s="82"/>
      <c r="R1556" s="82"/>
      <c r="S1556" s="82"/>
      <c r="T1556" s="82"/>
      <c r="U1556" s="88">
        <f t="shared" si="57"/>
        <v>80.153453486806143</v>
      </c>
    </row>
    <row r="1557" spans="1:21" x14ac:dyDescent="0.35">
      <c r="A1557" s="30"/>
      <c r="B1557" s="4"/>
      <c r="C1557" s="4"/>
      <c r="D1557" s="4"/>
      <c r="E1557" s="4"/>
      <c r="F1557" s="4"/>
      <c r="G1557" s="4"/>
      <c r="H1557" s="17"/>
      <c r="K1557" s="40">
        <f>(J1437+$B$4)*EXP(10*$K$22)</f>
        <v>0.52526837663998471</v>
      </c>
      <c r="L1557" s="87"/>
      <c r="M1557" s="87"/>
      <c r="N1557" s="87"/>
      <c r="O1557" s="87"/>
      <c r="P1557" s="87"/>
      <c r="Q1557" s="87"/>
      <c r="R1557" s="87"/>
      <c r="S1557" s="87"/>
      <c r="T1557" s="87"/>
      <c r="U1557" s="88">
        <f t="shared" si="57"/>
        <v>80.015702633394383</v>
      </c>
    </row>
    <row r="1558" spans="1:21" x14ac:dyDescent="0.35">
      <c r="A1558" s="30"/>
      <c r="B1558" s="4"/>
      <c r="C1558" s="4"/>
      <c r="D1558" s="4"/>
      <c r="E1558" s="4"/>
      <c r="F1558" s="4"/>
      <c r="G1558" s="4"/>
      <c r="H1558" s="17"/>
      <c r="K1558" s="8">
        <f>J1438*EXP(10*K$22)</f>
        <v>0.51699669245288904</v>
      </c>
      <c r="L1558" s="87"/>
      <c r="M1558" s="87"/>
      <c r="N1558" s="87"/>
      <c r="O1558" s="87"/>
      <c r="P1558" s="87"/>
      <c r="Q1558" s="87"/>
      <c r="R1558" s="87"/>
      <c r="S1558" s="87"/>
      <c r="T1558" s="87"/>
      <c r="U1558" s="88">
        <f t="shared" si="57"/>
        <v>80.478084636669607</v>
      </c>
    </row>
    <row r="1559" spans="1:21" x14ac:dyDescent="0.35">
      <c r="A1559" s="30"/>
      <c r="B1559" s="4"/>
      <c r="C1559" s="4"/>
      <c r="D1559" s="4"/>
      <c r="E1559" s="4"/>
      <c r="F1559" s="4"/>
      <c r="G1559" s="4"/>
      <c r="H1559" s="17"/>
      <c r="K1559" s="40">
        <f>(J1438+$B$4)*EXP(10*$K$22)</f>
        <v>0.51947146175537617</v>
      </c>
      <c r="L1559" s="87"/>
      <c r="M1559" s="87"/>
      <c r="N1559" s="87"/>
      <c r="O1559" s="87"/>
      <c r="P1559" s="87"/>
      <c r="Q1559" s="87"/>
      <c r="R1559" s="87"/>
      <c r="S1559" s="87"/>
      <c r="T1559" s="87"/>
      <c r="U1559" s="88">
        <f t="shared" si="57"/>
        <v>80.339157927408351</v>
      </c>
    </row>
    <row r="1560" spans="1:21" x14ac:dyDescent="0.35">
      <c r="A1560" s="30"/>
      <c r="B1560" s="4"/>
      <c r="C1560" s="4"/>
      <c r="D1560" s="4"/>
      <c r="E1560" s="4"/>
      <c r="F1560" s="4"/>
      <c r="G1560" s="4"/>
      <c r="H1560" s="17"/>
      <c r="K1560" s="8">
        <f>J1439*EXP(10*K$22)</f>
        <v>0.52011455342413282</v>
      </c>
      <c r="L1560" s="87"/>
      <c r="M1560" s="87"/>
      <c r="N1560" s="87"/>
      <c r="O1560" s="87"/>
      <c r="P1560" s="87"/>
      <c r="Q1560" s="87"/>
      <c r="R1560" s="87"/>
      <c r="S1560" s="87"/>
      <c r="T1560" s="87"/>
      <c r="U1560" s="88">
        <f t="shared" si="57"/>
        <v>80.303139121223296</v>
      </c>
    </row>
    <row r="1561" spans="1:21" x14ac:dyDescent="0.35">
      <c r="A1561" s="30"/>
      <c r="B1561" s="4"/>
      <c r="C1561" s="4"/>
      <c r="D1561" s="4"/>
      <c r="E1561" s="4"/>
      <c r="F1561" s="4"/>
      <c r="G1561" s="4"/>
      <c r="H1561" s="17"/>
      <c r="K1561" s="40">
        <f>(J1439+$B$4)*EXP(10*$K$22)</f>
        <v>0.52258932272662006</v>
      </c>
      <c r="L1561" s="87"/>
      <c r="M1561" s="87"/>
      <c r="N1561" s="87"/>
      <c r="O1561" s="87"/>
      <c r="P1561" s="87"/>
      <c r="Q1561" s="87"/>
      <c r="R1561" s="87"/>
      <c r="S1561" s="87"/>
      <c r="T1561" s="87"/>
      <c r="U1561" s="88">
        <f t="shared" si="57"/>
        <v>80.164846706914275</v>
      </c>
    </row>
    <row r="1562" spans="1:21" x14ac:dyDescent="0.35">
      <c r="A1562" s="30"/>
      <c r="B1562" s="4"/>
      <c r="C1562" s="4"/>
      <c r="D1562" s="4"/>
      <c r="E1562" s="4"/>
      <c r="F1562" s="4"/>
      <c r="G1562" s="4"/>
      <c r="H1562" s="17"/>
      <c r="K1562" s="8">
        <f>J1440*EXP(10*K$22)</f>
        <v>0.520893459240798</v>
      </c>
      <c r="L1562" s="87"/>
      <c r="M1562" s="87"/>
      <c r="N1562" s="87"/>
      <c r="O1562" s="87"/>
      <c r="P1562" s="87"/>
      <c r="Q1562" s="87"/>
      <c r="R1562" s="87"/>
      <c r="S1562" s="87"/>
      <c r="T1562" s="87"/>
      <c r="U1562" s="88">
        <f t="shared" si="57"/>
        <v>80.259559013185779</v>
      </c>
    </row>
    <row r="1563" spans="1:21" x14ac:dyDescent="0.35">
      <c r="A1563" s="30"/>
      <c r="B1563" s="4"/>
      <c r="C1563" s="4"/>
      <c r="D1563" s="4"/>
      <c r="E1563" s="4"/>
      <c r="F1563" s="4"/>
      <c r="G1563" s="4"/>
      <c r="H1563" s="17"/>
      <c r="K1563" s="40">
        <f>(J1440+$B$4)*EXP(10*$K$22)</f>
        <v>0.52336822854328524</v>
      </c>
      <c r="L1563" s="87"/>
      <c r="M1563" s="87"/>
      <c r="N1563" s="87"/>
      <c r="O1563" s="87"/>
      <c r="P1563" s="87"/>
      <c r="Q1563" s="87"/>
      <c r="R1563" s="87"/>
      <c r="S1563" s="87"/>
      <c r="T1563" s="87"/>
      <c r="U1563" s="88">
        <f t="shared" si="57"/>
        <v>80.121424380642026</v>
      </c>
    </row>
    <row r="1564" spans="1:21" x14ac:dyDescent="0.35">
      <c r="A1564" s="30"/>
      <c r="B1564" s="4"/>
      <c r="C1564" s="4"/>
      <c r="D1564" s="4"/>
      <c r="E1564" s="4"/>
      <c r="F1564" s="4"/>
      <c r="G1564" s="4"/>
      <c r="H1564" s="17"/>
      <c r="K1564" s="8">
        <f>J1441*EXP(10*K$22)</f>
        <v>0.52401132021204189</v>
      </c>
      <c r="L1564" s="87"/>
      <c r="M1564" s="87"/>
      <c r="N1564" s="87"/>
      <c r="O1564" s="87"/>
      <c r="P1564" s="87"/>
      <c r="Q1564" s="87"/>
      <c r="R1564" s="87"/>
      <c r="S1564" s="87"/>
      <c r="T1564" s="87"/>
      <c r="U1564" s="88">
        <f t="shared" si="57"/>
        <v>80.085610697984123</v>
      </c>
    </row>
    <row r="1565" spans="1:21" x14ac:dyDescent="0.35">
      <c r="A1565" s="30"/>
      <c r="B1565" s="4"/>
      <c r="C1565" s="4"/>
      <c r="D1565" s="4"/>
      <c r="E1565" s="4"/>
      <c r="F1565" s="4"/>
      <c r="G1565" s="4"/>
      <c r="H1565" s="17"/>
      <c r="K1565" s="40">
        <f>(J1441+$B$4)*EXP(10*$K$22)</f>
        <v>0.52648608951452902</v>
      </c>
      <c r="L1565" s="87"/>
      <c r="M1565" s="87"/>
      <c r="N1565" s="87"/>
      <c r="O1565" s="87"/>
      <c r="P1565" s="87"/>
      <c r="Q1565" s="87"/>
      <c r="R1565" s="87"/>
      <c r="S1565" s="87"/>
      <c r="T1565" s="87"/>
      <c r="U1565" s="88">
        <f t="shared" si="57"/>
        <v>79.948104949729043</v>
      </c>
    </row>
    <row r="1566" spans="1:21" x14ac:dyDescent="0.35">
      <c r="A1566" s="30"/>
      <c r="B1566" s="4"/>
      <c r="C1566" s="4"/>
      <c r="D1566" s="4"/>
      <c r="E1566" s="4"/>
      <c r="F1566" s="4"/>
      <c r="G1566" s="4"/>
      <c r="H1566" s="17"/>
      <c r="K1566" s="8">
        <f>J1442*EXP(10*K$22)</f>
        <v>0.52170555876297353</v>
      </c>
      <c r="L1566" s="87"/>
      <c r="M1566" s="87"/>
      <c r="N1566" s="87"/>
      <c r="O1566" s="87"/>
      <c r="P1566" s="87"/>
      <c r="Q1566" s="87"/>
      <c r="R1566" s="87"/>
      <c r="S1566" s="87"/>
      <c r="T1566" s="87"/>
      <c r="U1566" s="88">
        <f t="shared" si="57"/>
        <v>80.214174680278575</v>
      </c>
    </row>
    <row r="1567" spans="1:21" x14ac:dyDescent="0.35">
      <c r="A1567" s="30"/>
      <c r="B1567" s="4"/>
      <c r="C1567" s="4"/>
      <c r="D1567" s="4"/>
      <c r="E1567" s="4"/>
      <c r="F1567" s="4"/>
      <c r="G1567" s="4"/>
      <c r="H1567" s="17"/>
      <c r="K1567" s="40">
        <f>(J1442+$B$4)*EXP(10*$K$22)</f>
        <v>0.52418032806546078</v>
      </c>
      <c r="L1567" s="87"/>
      <c r="M1567" s="87"/>
      <c r="N1567" s="87"/>
      <c r="O1567" s="87"/>
      <c r="P1567" s="87"/>
      <c r="Q1567" s="87"/>
      <c r="R1567" s="87"/>
      <c r="S1567" s="87"/>
      <c r="T1567" s="87"/>
      <c r="U1567" s="88">
        <f t="shared" si="57"/>
        <v>80.07620426613876</v>
      </c>
    </row>
    <row r="1568" spans="1:21" x14ac:dyDescent="0.35">
      <c r="A1568" s="30"/>
      <c r="B1568" s="4"/>
      <c r="C1568" s="4"/>
      <c r="D1568" s="4"/>
      <c r="E1568" s="4"/>
      <c r="F1568" s="4"/>
      <c r="G1568" s="4"/>
      <c r="H1568" s="17"/>
      <c r="K1568" s="8">
        <f>J1443*EXP(10*K$22)</f>
        <v>0.52482341973421742</v>
      </c>
      <c r="L1568" s="87"/>
      <c r="M1568" s="87"/>
      <c r="N1568" s="87"/>
      <c r="O1568" s="87"/>
      <c r="P1568" s="87"/>
      <c r="Q1568" s="87"/>
      <c r="R1568" s="87"/>
      <c r="S1568" s="87"/>
      <c r="T1568" s="87"/>
      <c r="U1568" s="88">
        <f t="shared" si="57"/>
        <v>80.04043311125254</v>
      </c>
    </row>
    <row r="1569" spans="1:21" x14ac:dyDescent="0.35">
      <c r="A1569" s="30"/>
      <c r="B1569" s="4"/>
      <c r="C1569" s="4"/>
      <c r="D1569" s="4"/>
      <c r="E1569" s="4"/>
      <c r="F1569" s="4"/>
      <c r="G1569" s="4"/>
      <c r="H1569" s="17"/>
      <c r="K1569" s="40">
        <f>(J1443+$B$4)*EXP(10*$K$22)</f>
        <v>0.52729818903670456</v>
      </c>
      <c r="L1569" s="87"/>
      <c r="M1569" s="87"/>
      <c r="N1569" s="87"/>
      <c r="O1569" s="87"/>
      <c r="P1569" s="87"/>
      <c r="Q1569" s="87"/>
      <c r="R1569" s="87"/>
      <c r="S1569" s="87"/>
      <c r="T1569" s="87"/>
      <c r="U1569" s="88">
        <f t="shared" si="57"/>
        <v>79.903090461556474</v>
      </c>
    </row>
    <row r="1570" spans="1:21" x14ac:dyDescent="0.35">
      <c r="A1570" s="30"/>
      <c r="B1570" s="4"/>
      <c r="C1570" s="4"/>
      <c r="D1570" s="4"/>
      <c r="E1570" s="4"/>
      <c r="F1570" s="4"/>
      <c r="G1570" s="4"/>
      <c r="H1570" s="17"/>
      <c r="K1570" s="8">
        <f>J1444*EXP(10*K$22)</f>
        <v>0.5256023255508826</v>
      </c>
      <c r="L1570" s="87"/>
      <c r="M1570" s="87"/>
      <c r="N1570" s="87"/>
      <c r="O1570" s="87"/>
      <c r="P1570" s="87"/>
      <c r="Q1570" s="87"/>
      <c r="R1570" s="87"/>
      <c r="S1570" s="87"/>
      <c r="T1570" s="87"/>
      <c r="U1570" s="88">
        <f t="shared" si="57"/>
        <v>79.997152487635802</v>
      </c>
    </row>
    <row r="1571" spans="1:21" x14ac:dyDescent="0.35">
      <c r="A1571" s="30"/>
      <c r="B1571" s="4"/>
      <c r="C1571" s="4"/>
      <c r="D1571" s="4"/>
      <c r="E1571" s="4"/>
      <c r="F1571" s="4"/>
      <c r="G1571" s="4"/>
      <c r="H1571" s="17"/>
      <c r="K1571" s="40">
        <f>(J1444+$B$4)*EXP(10*$K$22)</f>
        <v>0.52807709485336973</v>
      </c>
      <c r="L1571" s="87"/>
      <c r="M1571" s="87"/>
      <c r="N1571" s="87"/>
      <c r="O1571" s="87"/>
      <c r="P1571" s="87"/>
      <c r="Q1571" s="87"/>
      <c r="R1571" s="87"/>
      <c r="S1571" s="87"/>
      <c r="T1571" s="87"/>
      <c r="U1571" s="88">
        <f t="shared" si="57"/>
        <v>79.859965997537898</v>
      </c>
    </row>
    <row r="1572" spans="1:21" x14ac:dyDescent="0.35">
      <c r="A1572" s="30"/>
      <c r="B1572" s="4"/>
      <c r="C1572" s="4"/>
      <c r="D1572" s="4"/>
      <c r="E1572" s="4"/>
      <c r="F1572" s="4"/>
      <c r="G1572" s="4"/>
      <c r="H1572" s="17"/>
      <c r="K1572" s="8">
        <f>J1445*EXP(10*K$22)</f>
        <v>0.52872018652212638</v>
      </c>
      <c r="L1572" s="87"/>
      <c r="M1572" s="87"/>
      <c r="N1572" s="87"/>
      <c r="O1572" s="87"/>
      <c r="P1572" s="87"/>
      <c r="Q1572" s="87"/>
      <c r="R1572" s="87"/>
      <c r="S1572" s="87"/>
      <c r="T1572" s="87"/>
      <c r="U1572" s="88">
        <f t="shared" si="57"/>
        <v>79.824397857283941</v>
      </c>
    </row>
    <row r="1573" spans="1:21" x14ac:dyDescent="0.35">
      <c r="A1573" s="30"/>
      <c r="B1573" s="4"/>
      <c r="C1573" s="4"/>
      <c r="D1573" s="4"/>
      <c r="E1573" s="4"/>
      <c r="F1573" s="4"/>
      <c r="G1573" s="4"/>
      <c r="H1573" s="17"/>
      <c r="K1573" s="40">
        <f>(J1445+$B$4)*EXP(10*$K$22)</f>
        <v>0.53119495582461351</v>
      </c>
      <c r="L1573" s="87"/>
      <c r="M1573" s="87"/>
      <c r="N1573" s="87"/>
      <c r="O1573" s="87"/>
      <c r="P1573" s="87"/>
      <c r="Q1573" s="87"/>
      <c r="R1573" s="87"/>
      <c r="S1573" s="87"/>
      <c r="T1573" s="87"/>
      <c r="U1573" s="88">
        <f t="shared" si="57"/>
        <v>79.687833795009198</v>
      </c>
    </row>
    <row r="1574" spans="1:21" x14ac:dyDescent="0.35">
      <c r="A1574" s="26" t="s">
        <v>33</v>
      </c>
      <c r="B1574" s="27">
        <v>1</v>
      </c>
      <c r="C1574" s="27">
        <v>2</v>
      </c>
      <c r="D1574" s="27">
        <v>3</v>
      </c>
      <c r="E1574" s="27">
        <v>4</v>
      </c>
      <c r="F1574" s="27">
        <v>5</v>
      </c>
      <c r="G1574" s="27">
        <v>6</v>
      </c>
      <c r="H1574" s="28">
        <v>7</v>
      </c>
      <c r="I1574" s="28">
        <v>8</v>
      </c>
      <c r="J1574" s="28">
        <v>9</v>
      </c>
      <c r="K1574" s="28">
        <v>10</v>
      </c>
      <c r="L1574" s="79"/>
    </row>
    <row r="1575" spans="1:21" x14ac:dyDescent="0.35">
      <c r="A1575" s="29" t="s">
        <v>34</v>
      </c>
      <c r="B1575" s="5">
        <f t="shared" ref="B1575:K1575" si="58">B21</f>
        <v>5.1299999999999998E-2</v>
      </c>
      <c r="C1575" s="5">
        <f t="shared" si="58"/>
        <v>5.2600000000000001E-2</v>
      </c>
      <c r="D1575" s="5">
        <f t="shared" si="58"/>
        <v>5.2200000000000003E-2</v>
      </c>
      <c r="E1575" s="5">
        <f t="shared" si="58"/>
        <v>5.2499999999999998E-2</v>
      </c>
      <c r="F1575" s="5">
        <f t="shared" si="58"/>
        <v>5.2999999999999999E-2</v>
      </c>
      <c r="G1575" s="5">
        <f t="shared" si="58"/>
        <v>5.1499999999999997E-2</v>
      </c>
      <c r="H1575" s="5">
        <f t="shared" si="58"/>
        <v>5.1499999999999997E-2</v>
      </c>
      <c r="I1575" s="5">
        <f t="shared" si="58"/>
        <v>5.1499999999999997E-2</v>
      </c>
      <c r="J1575" s="5">
        <f t="shared" si="58"/>
        <v>5.1499999999999997E-2</v>
      </c>
      <c r="K1575" s="5">
        <f t="shared" si="58"/>
        <v>5.1499999999999997E-2</v>
      </c>
      <c r="L1575" s="80"/>
    </row>
    <row r="1576" spans="1:21" x14ac:dyDescent="0.35">
      <c r="A1576" s="29" t="s">
        <v>36</v>
      </c>
      <c r="B1576" s="5">
        <v>2.5569999999999999E-2</v>
      </c>
      <c r="C1576" s="5">
        <v>2.3439999999999999E-2</v>
      </c>
      <c r="D1576" s="5">
        <v>2.2499999999999999E-2</v>
      </c>
      <c r="E1576" s="5">
        <v>2.35E-2</v>
      </c>
      <c r="F1576" s="5">
        <v>2.0299999999999999E-2</v>
      </c>
      <c r="G1576" s="5">
        <v>2.3E-2</v>
      </c>
      <c r="H1576" s="5">
        <v>1.8929999999999999E-2</v>
      </c>
      <c r="I1576" s="5">
        <v>2.23E-2</v>
      </c>
      <c r="J1576" s="5">
        <v>2.3099999999999999E-2</v>
      </c>
      <c r="K1576" s="5">
        <v>2.1299999999999999E-2</v>
      </c>
      <c r="L1576" s="80"/>
    </row>
    <row r="1577" spans="1:21" x14ac:dyDescent="0.35">
      <c r="A1577" s="29" t="s">
        <v>38</v>
      </c>
      <c r="B1577" s="6">
        <f t="shared" ref="B1577:K1577" si="59">B1575+($B$9*(10*B1576))/10000</f>
        <v>5.8122075999999995E-2</v>
      </c>
      <c r="C1577" s="6">
        <f t="shared" si="59"/>
        <v>5.8853792000000002E-2</v>
      </c>
      <c r="D1577" s="6">
        <f t="shared" si="59"/>
        <v>5.8203000000000005E-2</v>
      </c>
      <c r="E1577" s="6">
        <f t="shared" si="59"/>
        <v>5.8769799999999997E-2</v>
      </c>
      <c r="F1577" s="6">
        <f t="shared" si="59"/>
        <v>5.8416039999999995E-2</v>
      </c>
      <c r="G1577" s="6">
        <f t="shared" si="59"/>
        <v>5.7636399999999997E-2</v>
      </c>
      <c r="H1577" s="6">
        <f t="shared" si="59"/>
        <v>5.6550523999999998E-2</v>
      </c>
      <c r="I1577" s="6">
        <f t="shared" si="59"/>
        <v>5.7449639999999996E-2</v>
      </c>
      <c r="J1577" s="6">
        <f t="shared" si="59"/>
        <v>5.7663079999999999E-2</v>
      </c>
      <c r="K1577" s="6">
        <f t="shared" si="59"/>
        <v>5.7182839999999999E-2</v>
      </c>
      <c r="L1577" s="85"/>
    </row>
    <row r="1578" spans="1:21" x14ac:dyDescent="0.35">
      <c r="A1578" s="29" t="s">
        <v>8</v>
      </c>
      <c r="B1578" s="7">
        <f t="shared" ref="B1578:K1578" si="60">1/(1+B1577)^B1574</f>
        <v>0.94507053834495358</v>
      </c>
      <c r="C1578" s="7">
        <f t="shared" si="60"/>
        <v>0.89192432314059322</v>
      </c>
      <c r="D1578" s="7">
        <f t="shared" si="60"/>
        <v>0.84390397930006911</v>
      </c>
      <c r="E1578" s="7">
        <f t="shared" si="60"/>
        <v>0.79578146488588497</v>
      </c>
      <c r="F1578" s="7">
        <f t="shared" si="60"/>
        <v>0.75286643560248256</v>
      </c>
      <c r="G1578" s="7">
        <f t="shared" si="60"/>
        <v>0.71446616149479714</v>
      </c>
      <c r="H1578" s="7">
        <f t="shared" si="60"/>
        <v>0.68040596411929677</v>
      </c>
      <c r="I1578" s="7">
        <f t="shared" si="60"/>
        <v>0.6396206118149057</v>
      </c>
      <c r="J1578" s="7">
        <f t="shared" si="60"/>
        <v>0.6037732923292547</v>
      </c>
      <c r="K1578" s="7">
        <f t="shared" si="60"/>
        <v>0.57345447840936892</v>
      </c>
      <c r="L1578" s="86"/>
    </row>
    <row r="1579" spans="1:21" x14ac:dyDescent="0.35">
      <c r="A1579" s="32" t="s">
        <v>50</v>
      </c>
      <c r="B1579" s="40">
        <f>B4+0.0001</f>
        <v>2.0999999999999999E-3</v>
      </c>
      <c r="C1579" s="4"/>
      <c r="D1579" s="4"/>
      <c r="E1579" s="4"/>
      <c r="F1579" s="4"/>
      <c r="G1579" s="4"/>
      <c r="H1579" s="17"/>
      <c r="K1579" s="9">
        <f>(J1707+$B$1579)*EXP(10*K$22)</f>
        <v>0.49203905855343488</v>
      </c>
      <c r="L1579" s="86"/>
      <c r="M1579" s="87"/>
      <c r="N1579" s="87"/>
      <c r="O1579" s="87"/>
      <c r="P1579" s="87"/>
      <c r="Q1579" s="87"/>
      <c r="R1579" s="87"/>
      <c r="S1579" s="87"/>
      <c r="T1579" s="87"/>
      <c r="U1579" s="88">
        <f t="shared" ref="U1579:U1642" si="61">MIN($B$8,((100+$B$7)/(1+K1579+$D$8/10000)))+$B$7</f>
        <v>81.907928883709047</v>
      </c>
    </row>
    <row r="1580" spans="1:21" x14ac:dyDescent="0.35">
      <c r="A1580" s="30"/>
      <c r="B1580" s="4"/>
      <c r="C1580" s="4"/>
      <c r="D1580" s="4"/>
      <c r="E1580" s="4"/>
      <c r="F1580" s="4"/>
      <c r="G1580" s="38"/>
      <c r="H1580" s="17"/>
      <c r="K1580" s="8">
        <f>(J1707)*EXP(10*$K$22)</f>
        <v>0.48944055078582333</v>
      </c>
      <c r="L1580" s="87"/>
      <c r="M1580" s="87"/>
      <c r="N1580" s="87"/>
      <c r="O1580" s="87"/>
      <c r="P1580" s="87"/>
      <c r="Q1580" s="87"/>
      <c r="R1580" s="87"/>
      <c r="S1580" s="87"/>
      <c r="T1580" s="87"/>
      <c r="U1580" s="88">
        <f t="shared" si="61"/>
        <v>82.059878711204931</v>
      </c>
    </row>
    <row r="1581" spans="1:21" x14ac:dyDescent="0.35">
      <c r="A1581" s="30"/>
      <c r="B1581" s="4"/>
      <c r="C1581" s="4"/>
      <c r="D1581" s="4"/>
      <c r="E1581" s="4"/>
      <c r="F1581" s="4"/>
      <c r="G1581" s="4"/>
      <c r="H1581" s="17"/>
      <c r="K1581" s="9">
        <f>(J1708+$B$1579)*EXP(10*$K$22)</f>
        <v>0.48876530453362882</v>
      </c>
      <c r="L1581" s="87"/>
      <c r="M1581" s="87"/>
      <c r="N1581" s="87"/>
      <c r="O1581" s="87"/>
      <c r="P1581" s="87"/>
      <c r="Q1581" s="87"/>
      <c r="R1581" s="87"/>
      <c r="S1581" s="87"/>
      <c r="T1581" s="87"/>
      <c r="U1581" s="88">
        <f t="shared" si="61"/>
        <v>82.099461350961505</v>
      </c>
    </row>
    <row r="1582" spans="1:21" x14ac:dyDescent="0.35">
      <c r="A1582" s="30"/>
      <c r="B1582" s="4"/>
      <c r="C1582" s="4"/>
      <c r="D1582" s="4"/>
      <c r="E1582" s="4"/>
      <c r="F1582" s="4"/>
      <c r="G1582" s="38"/>
      <c r="H1582" s="17"/>
      <c r="K1582" s="8">
        <f>J1708*EXP(10*K$22)</f>
        <v>0.48616679676601732</v>
      </c>
      <c r="L1582" s="87"/>
      <c r="M1582" s="87"/>
      <c r="N1582" s="87"/>
      <c r="O1582" s="87"/>
      <c r="P1582" s="87"/>
      <c r="Q1582" s="87"/>
      <c r="R1582" s="87"/>
      <c r="S1582" s="87"/>
      <c r="T1582" s="87"/>
      <c r="U1582" s="88">
        <f t="shared" si="61"/>
        <v>82.252159950022559</v>
      </c>
    </row>
    <row r="1583" spans="1:21" x14ac:dyDescent="0.35">
      <c r="A1583" s="30"/>
      <c r="B1583" s="4"/>
      <c r="C1583" s="4"/>
      <c r="D1583" s="4"/>
      <c r="E1583" s="4"/>
      <c r="F1583" s="4"/>
      <c r="G1583" s="4"/>
      <c r="H1583" s="17"/>
      <c r="K1583" s="9">
        <f>(J1709+$B$1579)*EXP(10*$K$22)</f>
        <v>0.48794745342613038</v>
      </c>
      <c r="L1583" s="87"/>
      <c r="M1583" s="87"/>
      <c r="N1583" s="87"/>
      <c r="O1583" s="87"/>
      <c r="P1583" s="87"/>
      <c r="Q1583" s="87"/>
      <c r="R1583" s="87"/>
      <c r="S1583" s="87"/>
      <c r="T1583" s="87"/>
      <c r="U1583" s="88">
        <f t="shared" si="61"/>
        <v>82.147457213050984</v>
      </c>
    </row>
    <row r="1584" spans="1:21" x14ac:dyDescent="0.35">
      <c r="A1584" s="30"/>
      <c r="B1584" s="4"/>
      <c r="C1584" s="4"/>
      <c r="D1584" s="4"/>
      <c r="E1584" s="4"/>
      <c r="F1584" s="4"/>
      <c r="G1584" s="38"/>
      <c r="H1584" s="17"/>
      <c r="K1584" s="8">
        <f>J1709*EXP(10*K$22)</f>
        <v>0.48534894565851883</v>
      </c>
      <c r="L1584" s="87"/>
      <c r="M1584" s="87"/>
      <c r="N1584" s="87"/>
      <c r="O1584" s="87"/>
      <c r="P1584" s="87"/>
      <c r="Q1584" s="87"/>
      <c r="R1584" s="87"/>
      <c r="S1584" s="87"/>
      <c r="T1584" s="87"/>
      <c r="U1584" s="88">
        <f t="shared" si="61"/>
        <v>82.300343734697861</v>
      </c>
    </row>
    <row r="1585" spans="1:21" x14ac:dyDescent="0.35">
      <c r="A1585" s="30"/>
      <c r="B1585" s="4"/>
      <c r="C1585" s="4"/>
      <c r="D1585" s="4"/>
      <c r="E1585" s="4"/>
      <c r="F1585" s="4"/>
      <c r="G1585" s="38"/>
      <c r="H1585" s="17"/>
      <c r="K1585" s="9">
        <f>(J1710+$B$1579)*EXP(10*$K$22)</f>
        <v>0.48467369940632443</v>
      </c>
      <c r="L1585" s="87"/>
      <c r="M1585" s="87"/>
      <c r="N1585" s="87"/>
      <c r="O1585" s="87"/>
      <c r="P1585" s="87"/>
      <c r="Q1585" s="87"/>
      <c r="R1585" s="87"/>
      <c r="S1585" s="87"/>
      <c r="T1585" s="87"/>
      <c r="U1585" s="88">
        <f t="shared" si="61"/>
        <v>82.340170682523407</v>
      </c>
    </row>
    <row r="1586" spans="1:21" x14ac:dyDescent="0.35">
      <c r="A1586" s="30"/>
      <c r="B1586" s="4"/>
      <c r="C1586" s="4"/>
      <c r="D1586" s="4"/>
      <c r="E1586" s="4"/>
      <c r="F1586" s="4"/>
      <c r="G1586" s="4"/>
      <c r="H1586" s="17"/>
      <c r="K1586" s="8">
        <f>J1710*EXP(10*K$22)</f>
        <v>0.48207519163871287</v>
      </c>
      <c r="L1586" s="87"/>
      <c r="M1586" s="87"/>
      <c r="N1586" s="87"/>
      <c r="O1586" s="87"/>
      <c r="P1586" s="87"/>
      <c r="Q1586" s="87"/>
      <c r="R1586" s="87"/>
      <c r="S1586" s="87"/>
      <c r="T1586" s="87"/>
      <c r="U1586" s="88">
        <f t="shared" si="61"/>
        <v>82.493812918684711</v>
      </c>
    </row>
    <row r="1587" spans="1:21" x14ac:dyDescent="0.35">
      <c r="A1587" s="30"/>
      <c r="B1587" s="4"/>
      <c r="C1587" s="4"/>
      <c r="D1587" s="4"/>
      <c r="E1587" s="4"/>
      <c r="F1587" s="4"/>
      <c r="G1587" s="4"/>
      <c r="H1587" s="17"/>
      <c r="K1587" s="9">
        <f>(J1711+$B$1579)*EXP(10*$K$22)</f>
        <v>0.57580675444754603</v>
      </c>
      <c r="L1587" s="87"/>
      <c r="M1587" s="87"/>
      <c r="N1587" s="87"/>
      <c r="O1587" s="87"/>
      <c r="P1587" s="87"/>
      <c r="Q1587" s="87"/>
      <c r="R1587" s="87"/>
      <c r="S1587" s="87"/>
      <c r="T1587" s="87"/>
      <c r="U1587" s="88">
        <f t="shared" si="61"/>
        <v>77.307749403773911</v>
      </c>
    </row>
    <row r="1588" spans="1:21" x14ac:dyDescent="0.35">
      <c r="A1588" s="30"/>
      <c r="B1588" s="4"/>
      <c r="C1588" s="4"/>
      <c r="D1588" s="4"/>
      <c r="E1588" s="4"/>
      <c r="F1588" s="4"/>
      <c r="G1588" s="38"/>
      <c r="H1588" s="17"/>
      <c r="K1588" s="8">
        <f>J1711*EXP(10*K$22)</f>
        <v>0.57320824667993453</v>
      </c>
      <c r="L1588" s="87"/>
      <c r="M1588" s="87"/>
      <c r="N1588" s="87"/>
      <c r="O1588" s="87"/>
      <c r="P1588" s="87"/>
      <c r="Q1588" s="87"/>
      <c r="R1588" s="87"/>
      <c r="S1588" s="87"/>
      <c r="T1588" s="87"/>
      <c r="U1588" s="88">
        <f t="shared" si="61"/>
        <v>77.442269340577155</v>
      </c>
    </row>
    <row r="1589" spans="1:21" x14ac:dyDescent="0.35">
      <c r="A1589" s="30"/>
      <c r="B1589" s="4"/>
      <c r="C1589" s="4"/>
      <c r="D1589" s="4"/>
      <c r="E1589" s="4"/>
      <c r="F1589" s="4"/>
      <c r="G1589" s="4"/>
      <c r="H1589" s="17"/>
      <c r="K1589" s="9">
        <f>(J1712+$B$1579)*EXP(10*$K$22)</f>
        <v>0.57253300042774002</v>
      </c>
      <c r="L1589" s="87"/>
      <c r="M1589" s="87"/>
      <c r="N1589" s="87"/>
      <c r="O1589" s="87"/>
      <c r="P1589" s="87"/>
      <c r="Q1589" s="87"/>
      <c r="R1589" s="87"/>
      <c r="S1589" s="87"/>
      <c r="T1589" s="87"/>
      <c r="U1589" s="88">
        <f t="shared" si="61"/>
        <v>77.477306441042458</v>
      </c>
    </row>
    <row r="1590" spans="1:21" x14ac:dyDescent="0.35">
      <c r="A1590" s="30"/>
      <c r="B1590" s="4"/>
      <c r="C1590" s="4"/>
      <c r="D1590" s="4"/>
      <c r="E1590" s="4"/>
      <c r="F1590" s="4"/>
      <c r="G1590" s="38"/>
      <c r="H1590" s="15"/>
      <c r="I1590" s="16"/>
      <c r="J1590" s="16"/>
      <c r="K1590" s="8">
        <f>J1712*EXP(10*K$22)</f>
        <v>0.56993449266012841</v>
      </c>
      <c r="L1590" s="87"/>
      <c r="M1590" s="87"/>
      <c r="N1590" s="87"/>
      <c r="O1590" s="87"/>
      <c r="P1590" s="87"/>
      <c r="Q1590" s="87"/>
      <c r="R1590" s="87"/>
      <c r="S1590" s="87"/>
      <c r="T1590" s="87"/>
      <c r="U1590" s="88">
        <f t="shared" si="61"/>
        <v>77.612449946405135</v>
      </c>
    </row>
    <row r="1591" spans="1:21" x14ac:dyDescent="0.35">
      <c r="A1591" s="30"/>
      <c r="B1591" s="4"/>
      <c r="C1591" s="4"/>
      <c r="D1591" s="4"/>
      <c r="E1591" s="4"/>
      <c r="F1591" s="4"/>
      <c r="G1591" s="4"/>
      <c r="I1591" s="16"/>
      <c r="J1591" s="16"/>
      <c r="K1591" s="9">
        <f>(J1713+$B$1579)*EXP(10*$K$22)</f>
        <v>0.57171514932024159</v>
      </c>
      <c r="L1591" s="87"/>
      <c r="M1591" s="87"/>
      <c r="N1591" s="87"/>
      <c r="O1591" s="87"/>
      <c r="P1591" s="87"/>
      <c r="Q1591" s="87"/>
      <c r="R1591" s="87"/>
      <c r="S1591" s="87"/>
      <c r="T1591" s="87"/>
      <c r="U1591" s="88">
        <f t="shared" si="61"/>
        <v>77.51978779784001</v>
      </c>
    </row>
    <row r="1592" spans="1:21" x14ac:dyDescent="0.35">
      <c r="A1592" s="30"/>
      <c r="B1592" s="4"/>
      <c r="C1592" s="4"/>
      <c r="D1592" s="4"/>
      <c r="E1592" s="4"/>
      <c r="F1592" s="38"/>
      <c r="G1592" s="38"/>
      <c r="J1592" s="16"/>
      <c r="K1592" s="8">
        <f>J1713*EXP(10*K$22)</f>
        <v>0.56911664155263009</v>
      </c>
      <c r="L1592" s="87"/>
      <c r="M1592" s="87"/>
      <c r="N1592" s="87"/>
      <c r="O1592" s="87"/>
      <c r="P1592" s="87"/>
      <c r="Q1592" s="87"/>
      <c r="R1592" s="87"/>
      <c r="S1592" s="87"/>
      <c r="T1592" s="87"/>
      <c r="U1592" s="88">
        <f t="shared" si="61"/>
        <v>77.655087760349417</v>
      </c>
    </row>
    <row r="1593" spans="1:21" x14ac:dyDescent="0.35">
      <c r="A1593" s="30"/>
      <c r="B1593" s="4"/>
      <c r="C1593" s="4"/>
      <c r="D1593" s="4"/>
      <c r="E1593" s="4"/>
      <c r="F1593" s="4"/>
      <c r="G1593" s="4"/>
      <c r="K1593" s="9">
        <f>(J1714+$B$1579)*EXP(10*$K$22)</f>
        <v>0.56844139530043569</v>
      </c>
      <c r="L1593" s="87"/>
      <c r="M1593" s="87"/>
      <c r="N1593" s="87"/>
      <c r="O1593" s="87"/>
      <c r="P1593" s="87"/>
      <c r="Q1593" s="87"/>
      <c r="R1593" s="87"/>
      <c r="S1593" s="87"/>
      <c r="T1593" s="87"/>
      <c r="U1593" s="88">
        <f t="shared" si="61"/>
        <v>77.690328262290265</v>
      </c>
    </row>
    <row r="1594" spans="1:21" x14ac:dyDescent="0.35">
      <c r="A1594" s="30"/>
      <c r="B1594" s="4"/>
      <c r="C1594" s="4"/>
      <c r="D1594" s="4"/>
      <c r="E1594" s="4"/>
      <c r="F1594" s="38"/>
      <c r="G1594" s="38"/>
      <c r="K1594" s="8">
        <f>J1714*EXP(10*K$22)</f>
        <v>0.56584288753282408</v>
      </c>
      <c r="L1594" s="87"/>
      <c r="M1594" s="87"/>
      <c r="N1594" s="87"/>
      <c r="O1594" s="87"/>
      <c r="P1594" s="87"/>
      <c r="Q1594" s="87"/>
      <c r="R1594" s="87"/>
      <c r="S1594" s="87"/>
      <c r="T1594" s="87"/>
      <c r="U1594" s="88">
        <f t="shared" si="61"/>
        <v>77.82625723126759</v>
      </c>
    </row>
    <row r="1595" spans="1:21" x14ac:dyDescent="0.35">
      <c r="A1595" s="30"/>
      <c r="B1595" s="4"/>
      <c r="C1595" s="4"/>
      <c r="D1595" s="4"/>
      <c r="E1595" s="4"/>
      <c r="F1595" s="4"/>
      <c r="G1595" s="4"/>
      <c r="K1595" s="9">
        <f>(J1715+$B$1579)*EXP(10*$K$22)</f>
        <v>0.57708535296581764</v>
      </c>
      <c r="L1595" s="87"/>
      <c r="M1595" s="87"/>
      <c r="N1595" s="87"/>
      <c r="O1595" s="87"/>
      <c r="P1595" s="87"/>
      <c r="Q1595" s="87"/>
      <c r="R1595" s="87"/>
      <c r="S1595" s="87"/>
      <c r="T1595" s="87"/>
      <c r="U1595" s="88">
        <f t="shared" si="61"/>
        <v>77.241739455242978</v>
      </c>
    </row>
    <row r="1596" spans="1:21" x14ac:dyDescent="0.35">
      <c r="A1596" s="30"/>
      <c r="B1596" s="4"/>
      <c r="C1596" s="4"/>
      <c r="D1596" s="4"/>
      <c r="E1596" s="38"/>
      <c r="F1596" s="38"/>
      <c r="G1596" s="38"/>
      <c r="K1596" s="8">
        <f>J1715*EXP(10*K$22)</f>
        <v>0.57448684519820614</v>
      </c>
      <c r="L1596" s="87"/>
      <c r="M1596" s="87"/>
      <c r="N1596" s="87"/>
      <c r="O1596" s="87"/>
      <c r="P1596" s="87"/>
      <c r="Q1596" s="87"/>
      <c r="R1596" s="87"/>
      <c r="S1596" s="87"/>
      <c r="T1596" s="87"/>
      <c r="U1596" s="88">
        <f t="shared" si="61"/>
        <v>77.376017022344442</v>
      </c>
    </row>
    <row r="1597" spans="1:21" x14ac:dyDescent="0.35">
      <c r="A1597" s="30"/>
      <c r="B1597" s="4"/>
      <c r="C1597" s="4"/>
      <c r="D1597" s="38"/>
      <c r="E1597" s="38"/>
      <c r="F1597" s="38"/>
      <c r="G1597" s="38"/>
      <c r="H1597" s="17"/>
      <c r="J1597" s="38"/>
      <c r="K1597" s="9">
        <f>(J1716+$B$1579)*EXP(10*$K$22)</f>
        <v>0.57381159894601164</v>
      </c>
      <c r="L1597" s="87"/>
      <c r="M1597" s="87"/>
      <c r="N1597" s="87"/>
      <c r="O1597" s="87"/>
      <c r="P1597" s="87"/>
      <c r="Q1597" s="87"/>
      <c r="R1597" s="87"/>
      <c r="S1597" s="87"/>
      <c r="T1597" s="87"/>
      <c r="U1597" s="88">
        <f t="shared" si="61"/>
        <v>77.410990922289344</v>
      </c>
    </row>
    <row r="1598" spans="1:21" x14ac:dyDescent="0.35">
      <c r="A1598" s="30"/>
      <c r="B1598" s="4"/>
      <c r="C1598" s="4"/>
      <c r="D1598" s="4"/>
      <c r="E1598" s="4"/>
      <c r="F1598" s="4"/>
      <c r="G1598" s="4"/>
      <c r="H1598" s="19"/>
      <c r="I1598" s="16"/>
      <c r="J1598" s="4"/>
      <c r="K1598" s="8">
        <f>J1716*EXP(10*K$22)</f>
        <v>0.57121309117840002</v>
      </c>
      <c r="L1598" s="87"/>
      <c r="M1598" s="87"/>
      <c r="N1598" s="87"/>
      <c r="O1598" s="87"/>
      <c r="P1598" s="87"/>
      <c r="Q1598" s="87"/>
      <c r="R1598" s="87"/>
      <c r="S1598" s="87"/>
      <c r="T1598" s="87"/>
      <c r="U1598" s="88">
        <f t="shared" si="61"/>
        <v>77.545890371501088</v>
      </c>
    </row>
    <row r="1599" spans="1:21" x14ac:dyDescent="0.35">
      <c r="A1599" s="30"/>
      <c r="B1599" s="4"/>
      <c r="C1599" s="4"/>
      <c r="D1599" s="4"/>
      <c r="E1599" s="4"/>
      <c r="F1599" s="4"/>
      <c r="G1599" s="4"/>
      <c r="H1599" s="17"/>
      <c r="K1599" s="9">
        <f>(J1717+$B$1579)*EXP(10*$K$22)</f>
        <v>0.5729937478385132</v>
      </c>
      <c r="L1599" s="87"/>
      <c r="M1599" s="87"/>
      <c r="N1599" s="87"/>
      <c r="O1599" s="87"/>
      <c r="P1599" s="87"/>
      <c r="Q1599" s="87"/>
      <c r="R1599" s="87"/>
      <c r="S1599" s="87"/>
      <c r="T1599" s="87"/>
      <c r="U1599" s="88">
        <f t="shared" si="61"/>
        <v>77.45339561011329</v>
      </c>
    </row>
    <row r="1600" spans="1:21" x14ac:dyDescent="0.35">
      <c r="A1600" s="30"/>
      <c r="B1600" s="4"/>
      <c r="C1600" s="4"/>
      <c r="D1600" s="4"/>
      <c r="E1600" s="4"/>
      <c r="F1600" s="4"/>
      <c r="G1600" s="38"/>
      <c r="H1600" s="17"/>
      <c r="K1600" s="8">
        <f>J1717*EXP(10*K$22)</f>
        <v>0.5703952400709017</v>
      </c>
      <c r="L1600" s="87"/>
      <c r="M1600" s="87"/>
      <c r="N1600" s="87"/>
      <c r="O1600" s="87"/>
      <c r="P1600" s="87"/>
      <c r="Q1600" s="87"/>
      <c r="R1600" s="87"/>
      <c r="S1600" s="87"/>
      <c r="T1600" s="87"/>
      <c r="U1600" s="88">
        <f t="shared" si="61"/>
        <v>77.588451092720888</v>
      </c>
    </row>
    <row r="1601" spans="1:21" x14ac:dyDescent="0.35">
      <c r="A1601" s="30"/>
      <c r="B1601" s="4"/>
      <c r="C1601" s="4"/>
      <c r="D1601" s="4"/>
      <c r="E1601" s="4"/>
      <c r="F1601" s="4"/>
      <c r="G1601" s="4"/>
      <c r="H1601" s="17"/>
      <c r="K1601" s="9">
        <f>(J1718+$B$1579)*EXP(10*$K$22)</f>
        <v>0.5697199938187073</v>
      </c>
      <c r="L1601" s="87"/>
      <c r="M1601" s="87"/>
      <c r="N1601" s="87"/>
      <c r="O1601" s="87"/>
      <c r="P1601" s="87"/>
      <c r="Q1601" s="87"/>
      <c r="R1601" s="87"/>
      <c r="S1601" s="87"/>
      <c r="T1601" s="87"/>
      <c r="U1601" s="88">
        <f t="shared" si="61"/>
        <v>77.623627843244805</v>
      </c>
    </row>
    <row r="1602" spans="1:21" x14ac:dyDescent="0.35">
      <c r="A1602" s="30"/>
      <c r="B1602" s="4"/>
      <c r="C1602" s="4"/>
      <c r="D1602" s="4"/>
      <c r="E1602" s="4"/>
      <c r="F1602" s="4"/>
      <c r="G1602" s="38"/>
      <c r="H1602" s="17"/>
      <c r="K1602" s="8">
        <f>J1718*EXP(10*K$22)</f>
        <v>0.56712148605109569</v>
      </c>
      <c r="L1602" s="87"/>
      <c r="M1602" s="87"/>
      <c r="N1602" s="87"/>
      <c r="O1602" s="87"/>
      <c r="P1602" s="87"/>
      <c r="Q1602" s="87"/>
      <c r="R1602" s="87"/>
      <c r="S1602" s="87"/>
      <c r="T1602" s="87"/>
      <c r="U1602" s="88">
        <f t="shared" si="61"/>
        <v>77.759310626242481</v>
      </c>
    </row>
    <row r="1603" spans="1:21" x14ac:dyDescent="0.35">
      <c r="A1603" s="30"/>
      <c r="B1603" s="4"/>
      <c r="C1603" s="4"/>
      <c r="D1603" s="4"/>
      <c r="E1603" s="4"/>
      <c r="F1603" s="4"/>
      <c r="G1603" s="4"/>
      <c r="H1603" s="17"/>
      <c r="K1603" s="9">
        <f>(J1719+$B$1579)*EXP(10*$K$22)</f>
        <v>0.58202966259140643</v>
      </c>
      <c r="L1603" s="87"/>
      <c r="M1603" s="87"/>
      <c r="N1603" s="87"/>
      <c r="O1603" s="87"/>
      <c r="P1603" s="87"/>
      <c r="Q1603" s="87"/>
      <c r="R1603" s="87"/>
      <c r="S1603" s="87"/>
      <c r="T1603" s="87"/>
      <c r="U1603" s="88">
        <f t="shared" si="61"/>
        <v>76.987595358721236</v>
      </c>
    </row>
    <row r="1604" spans="1:21" x14ac:dyDescent="0.35">
      <c r="A1604" s="30"/>
      <c r="B1604" s="4"/>
      <c r="C1604" s="4"/>
      <c r="D1604" s="4"/>
      <c r="E1604" s="4"/>
      <c r="F1604" s="4"/>
      <c r="G1604" s="38"/>
      <c r="H1604" s="17"/>
      <c r="K1604" s="8">
        <f>J1719*EXP(10*K$22)</f>
        <v>0.57943115482379481</v>
      </c>
      <c r="L1604" s="87"/>
      <c r="M1604" s="87"/>
      <c r="N1604" s="87"/>
      <c r="O1604" s="87"/>
      <c r="P1604" s="87"/>
      <c r="Q1604" s="87"/>
      <c r="R1604" s="87"/>
      <c r="S1604" s="87"/>
      <c r="T1604" s="87"/>
      <c r="U1604" s="88">
        <f t="shared" si="61"/>
        <v>77.120941825350826</v>
      </c>
    </row>
    <row r="1605" spans="1:21" x14ac:dyDescent="0.35">
      <c r="A1605" s="30"/>
      <c r="B1605" s="4"/>
      <c r="C1605" s="4"/>
      <c r="D1605" s="4"/>
      <c r="E1605" s="4"/>
      <c r="F1605" s="4"/>
      <c r="G1605" s="4"/>
      <c r="H1605" s="17"/>
      <c r="K1605" s="9">
        <f>(J1720+$B$1579)*EXP(10*$K$22)</f>
        <v>0.57875590857160042</v>
      </c>
      <c r="L1605" s="87"/>
      <c r="M1605" s="87"/>
      <c r="N1605" s="87"/>
      <c r="O1605" s="87"/>
      <c r="P1605" s="87"/>
      <c r="Q1605" s="87"/>
      <c r="R1605" s="87"/>
      <c r="S1605" s="87"/>
      <c r="T1605" s="87"/>
      <c r="U1605" s="88">
        <f t="shared" si="61"/>
        <v>77.155672932618074</v>
      </c>
    </row>
    <row r="1606" spans="1:21" x14ac:dyDescent="0.35">
      <c r="A1606" s="30"/>
      <c r="B1606" s="4"/>
      <c r="C1606" s="4"/>
      <c r="D1606" s="4"/>
      <c r="E1606" s="4"/>
      <c r="F1606" s="4"/>
      <c r="G1606" s="38"/>
      <c r="H1606" s="15"/>
      <c r="I1606" s="16"/>
      <c r="J1606" s="16"/>
      <c r="K1606" s="8">
        <f>J1720*EXP(10*K$22)</f>
        <v>0.57615740080398892</v>
      </c>
      <c r="L1606" s="87"/>
      <c r="M1606" s="87"/>
      <c r="N1606" s="87"/>
      <c r="O1606" s="87"/>
      <c r="P1606" s="87"/>
      <c r="Q1606" s="87"/>
      <c r="R1606" s="87"/>
      <c r="S1606" s="87"/>
      <c r="T1606" s="87"/>
      <c r="U1606" s="88">
        <f t="shared" si="61"/>
        <v>77.28963481683013</v>
      </c>
    </row>
    <row r="1607" spans="1:21" x14ac:dyDescent="0.35">
      <c r="A1607" s="30"/>
      <c r="B1607" s="4"/>
      <c r="C1607" s="4"/>
      <c r="D1607" s="4"/>
      <c r="E1607" s="4"/>
      <c r="F1607" s="4"/>
      <c r="G1607" s="4"/>
      <c r="I1607" s="16"/>
      <c r="J1607" s="16"/>
      <c r="K1607" s="9">
        <f>(J1721+$B$1579)*EXP(10*$K$22)</f>
        <v>0.57793805746410198</v>
      </c>
      <c r="L1607" s="87"/>
      <c r="M1607" s="87"/>
      <c r="N1607" s="87"/>
      <c r="O1607" s="87"/>
      <c r="P1607" s="87"/>
      <c r="Q1607" s="87"/>
      <c r="R1607" s="87"/>
      <c r="S1607" s="87"/>
      <c r="T1607" s="87"/>
      <c r="U1607" s="88">
        <f t="shared" si="61"/>
        <v>77.197783088042243</v>
      </c>
    </row>
    <row r="1608" spans="1:21" x14ac:dyDescent="0.35">
      <c r="A1608" s="30"/>
      <c r="B1608" s="4"/>
      <c r="C1608" s="4"/>
      <c r="D1608" s="4"/>
      <c r="E1608" s="4"/>
      <c r="F1608" s="38"/>
      <c r="G1608" s="38"/>
      <c r="J1608" s="16"/>
      <c r="K1608" s="8">
        <f>J1721*EXP(10*K$22)</f>
        <v>0.57533954969649048</v>
      </c>
      <c r="L1608" s="87"/>
      <c r="M1608" s="87"/>
      <c r="N1608" s="87"/>
      <c r="O1608" s="87"/>
      <c r="P1608" s="87"/>
      <c r="Q1608" s="87"/>
      <c r="R1608" s="87"/>
      <c r="S1608" s="87"/>
      <c r="T1608" s="87"/>
      <c r="U1608" s="88">
        <f t="shared" si="61"/>
        <v>77.331899381341017</v>
      </c>
    </row>
    <row r="1609" spans="1:21" x14ac:dyDescent="0.35">
      <c r="A1609" s="30"/>
      <c r="B1609" s="4"/>
      <c r="C1609" s="4"/>
      <c r="D1609" s="4"/>
      <c r="E1609" s="4"/>
      <c r="F1609" s="4"/>
      <c r="G1609" s="4"/>
      <c r="K1609" s="9">
        <f>(J1722+$B$1579)*EXP(10*$K$22)</f>
        <v>0.57466430344429598</v>
      </c>
      <c r="L1609" s="87"/>
      <c r="M1609" s="87"/>
      <c r="N1609" s="87"/>
      <c r="O1609" s="87"/>
      <c r="P1609" s="87"/>
      <c r="Q1609" s="87"/>
      <c r="R1609" s="87"/>
      <c r="S1609" s="87"/>
      <c r="T1609" s="87"/>
      <c r="U1609" s="88">
        <f t="shared" si="61"/>
        <v>77.366831227507447</v>
      </c>
    </row>
    <row r="1610" spans="1:21" x14ac:dyDescent="0.35">
      <c r="A1610" s="30"/>
      <c r="B1610" s="4"/>
      <c r="C1610" s="4"/>
      <c r="D1610" s="4"/>
      <c r="E1610" s="4"/>
      <c r="F1610" s="38"/>
      <c r="G1610" s="38"/>
      <c r="K1610" s="8">
        <f>J1722*EXP(10*K$22)</f>
        <v>0.57206579567668436</v>
      </c>
      <c r="L1610" s="87"/>
      <c r="M1610" s="87"/>
      <c r="N1610" s="87"/>
      <c r="O1610" s="87"/>
      <c r="P1610" s="87"/>
      <c r="Q1610" s="87"/>
      <c r="R1610" s="87"/>
      <c r="S1610" s="87"/>
      <c r="T1610" s="87"/>
      <c r="U1610" s="88">
        <f t="shared" si="61"/>
        <v>77.501568281593038</v>
      </c>
    </row>
    <row r="1611" spans="1:21" x14ac:dyDescent="0.35">
      <c r="A1611" s="30"/>
      <c r="B1611" s="4"/>
      <c r="C1611" s="4"/>
      <c r="D1611" s="4"/>
      <c r="E1611" s="4"/>
      <c r="F1611" s="4"/>
      <c r="G1611" s="4"/>
      <c r="K1611" s="9">
        <f>(J1723+$B$1579)*EXP(10*$K$22)</f>
        <v>0.57848595826143379</v>
      </c>
      <c r="L1611" s="87"/>
      <c r="M1611" s="87"/>
      <c r="N1611" s="87"/>
      <c r="O1611" s="87"/>
      <c r="P1611" s="87"/>
      <c r="Q1611" s="87"/>
      <c r="R1611" s="87"/>
      <c r="S1611" s="87"/>
      <c r="T1611" s="87"/>
      <c r="U1611" s="88">
        <f t="shared" si="61"/>
        <v>77.169566986731553</v>
      </c>
    </row>
    <row r="1612" spans="1:21" x14ac:dyDescent="0.35">
      <c r="A1612" s="30"/>
      <c r="B1612" s="4"/>
      <c r="C1612" s="4"/>
      <c r="D1612" s="4"/>
      <c r="E1612" s="38"/>
      <c r="F1612" s="38"/>
      <c r="G1612" s="38"/>
      <c r="K1612" s="8">
        <f>J1723*EXP(10*K$22)</f>
        <v>0.57588745049382217</v>
      </c>
      <c r="L1612" s="87"/>
      <c r="M1612" s="87"/>
      <c r="N1612" s="87"/>
      <c r="O1612" s="87"/>
      <c r="P1612" s="87"/>
      <c r="Q1612" s="87"/>
      <c r="R1612" s="87"/>
      <c r="S1612" s="87"/>
      <c r="T1612" s="87"/>
      <c r="U1612" s="88">
        <f t="shared" si="61"/>
        <v>77.303579807669792</v>
      </c>
    </row>
    <row r="1613" spans="1:21" x14ac:dyDescent="0.35">
      <c r="A1613" s="30"/>
      <c r="B1613" s="4"/>
      <c r="C1613" s="4"/>
      <c r="D1613" s="38"/>
      <c r="E1613" s="38"/>
      <c r="F1613" s="38"/>
      <c r="G1613" s="38"/>
      <c r="H1613" s="17"/>
      <c r="J1613" s="38"/>
      <c r="K1613" s="9">
        <f>(J1724+$B$1579)*EXP(10*$K$22)</f>
        <v>0.57521220424162767</v>
      </c>
      <c r="L1613" s="87"/>
      <c r="M1613" s="87"/>
      <c r="N1613" s="87"/>
      <c r="O1613" s="87"/>
      <c r="P1613" s="87"/>
      <c r="Q1613" s="87"/>
      <c r="R1613" s="87"/>
      <c r="S1613" s="87"/>
      <c r="T1613" s="87"/>
      <c r="U1613" s="88">
        <f t="shared" si="61"/>
        <v>77.338484672415646</v>
      </c>
    </row>
    <row r="1614" spans="1:21" x14ac:dyDescent="0.35">
      <c r="A1614" s="30"/>
      <c r="B1614" s="4"/>
      <c r="C1614" s="4"/>
      <c r="D1614" s="4"/>
      <c r="E1614" s="4"/>
      <c r="F1614" s="4"/>
      <c r="G1614" s="4"/>
      <c r="H1614" s="19"/>
      <c r="I1614" s="16"/>
      <c r="J1614" s="4"/>
      <c r="K1614" s="8">
        <f>J1724*EXP(10*K$22)</f>
        <v>0.57261369647401617</v>
      </c>
      <c r="L1614" s="87"/>
      <c r="M1614" s="87"/>
      <c r="N1614" s="87"/>
      <c r="O1614" s="87"/>
      <c r="P1614" s="87"/>
      <c r="Q1614" s="87"/>
      <c r="R1614" s="87"/>
      <c r="S1614" s="87"/>
      <c r="T1614" s="87"/>
      <c r="U1614" s="88">
        <f t="shared" si="61"/>
        <v>77.473117535062414</v>
      </c>
    </row>
    <row r="1615" spans="1:21" x14ac:dyDescent="0.35">
      <c r="A1615" s="30"/>
      <c r="B1615" s="4"/>
      <c r="C1615" s="4"/>
      <c r="D1615" s="4"/>
      <c r="E1615" s="4"/>
      <c r="F1615" s="4"/>
      <c r="G1615" s="4"/>
      <c r="H1615" s="17"/>
      <c r="K1615" s="9">
        <f>(J1725+$B$1579)*EXP(10*$K$22)</f>
        <v>0.57439435313412934</v>
      </c>
      <c r="L1615" s="87"/>
      <c r="M1615" s="87"/>
      <c r="N1615" s="87"/>
      <c r="O1615" s="87"/>
      <c r="P1615" s="87"/>
      <c r="Q1615" s="87"/>
      <c r="R1615" s="87"/>
      <c r="S1615" s="87"/>
      <c r="T1615" s="87"/>
      <c r="U1615" s="88">
        <f t="shared" si="61"/>
        <v>77.380805613303593</v>
      </c>
    </row>
    <row r="1616" spans="1:21" x14ac:dyDescent="0.35">
      <c r="A1616" s="30"/>
      <c r="B1616" s="4"/>
      <c r="C1616" s="4"/>
      <c r="D1616" s="4"/>
      <c r="E1616" s="4"/>
      <c r="F1616" s="4"/>
      <c r="G1616" s="38"/>
      <c r="H1616" s="17"/>
      <c r="K1616" s="8">
        <f>J1725*EXP(10*K$22)</f>
        <v>0.57179584536651784</v>
      </c>
      <c r="L1616" s="87"/>
      <c r="M1616" s="87"/>
      <c r="N1616" s="87"/>
      <c r="O1616" s="87"/>
      <c r="P1616" s="87"/>
      <c r="Q1616" s="87"/>
      <c r="R1616" s="87"/>
      <c r="S1616" s="87"/>
      <c r="T1616" s="87"/>
      <c r="U1616" s="88">
        <f t="shared" si="61"/>
        <v>77.515594046914458</v>
      </c>
    </row>
    <row r="1617" spans="1:21" x14ac:dyDescent="0.35">
      <c r="A1617" s="30"/>
      <c r="B1617" s="4"/>
      <c r="C1617" s="4"/>
      <c r="D1617" s="4"/>
      <c r="E1617" s="4"/>
      <c r="F1617" s="4"/>
      <c r="G1617" s="4"/>
      <c r="H1617" s="17"/>
      <c r="K1617" s="9">
        <f>(J1726+$B$1579)*EXP(10*$K$22)</f>
        <v>0.57112059911432334</v>
      </c>
      <c r="L1617" s="87"/>
      <c r="M1617" s="87"/>
      <c r="N1617" s="87"/>
      <c r="O1617" s="87"/>
      <c r="P1617" s="87"/>
      <c r="Q1617" s="87"/>
      <c r="R1617" s="87"/>
      <c r="S1617" s="87"/>
      <c r="T1617" s="87"/>
      <c r="U1617" s="88">
        <f t="shared" si="61"/>
        <v>77.550701161055912</v>
      </c>
    </row>
    <row r="1618" spans="1:21" x14ac:dyDescent="0.35">
      <c r="A1618" s="30"/>
      <c r="B1618" s="4"/>
      <c r="C1618" s="4"/>
      <c r="D1618" s="4"/>
      <c r="E1618" s="4"/>
      <c r="F1618" s="4"/>
      <c r="G1618" s="38"/>
      <c r="H1618" s="17"/>
      <c r="K1618" s="8">
        <f>J1726*EXP(10*K$22)</f>
        <v>0.56852209134671183</v>
      </c>
      <c r="L1618" s="87"/>
      <c r="M1618" s="87"/>
      <c r="N1618" s="87"/>
      <c r="O1618" s="87"/>
      <c r="P1618" s="87"/>
      <c r="Q1618" s="87"/>
      <c r="R1618" s="87"/>
      <c r="S1618" s="87"/>
      <c r="T1618" s="87"/>
      <c r="U1618" s="88">
        <f t="shared" si="61"/>
        <v>77.686115033254893</v>
      </c>
    </row>
    <row r="1619" spans="1:21" x14ac:dyDescent="0.35">
      <c r="A1619" s="30"/>
      <c r="B1619" s="4"/>
      <c r="C1619" s="4"/>
      <c r="D1619" s="4"/>
      <c r="E1619" s="4"/>
      <c r="F1619" s="4"/>
      <c r="G1619" s="4"/>
      <c r="H1619" s="17"/>
      <c r="K1619" s="9">
        <f>(J1727+$B$1579)*EXP(10*$K$22)</f>
        <v>0.58343026788702246</v>
      </c>
      <c r="L1619" s="87"/>
      <c r="M1619" s="87"/>
      <c r="N1619" s="87"/>
      <c r="O1619" s="87"/>
      <c r="P1619" s="87"/>
      <c r="Q1619" s="87"/>
      <c r="R1619" s="87"/>
      <c r="S1619" s="87"/>
      <c r="T1619" s="87"/>
      <c r="U1619" s="88">
        <f t="shared" si="61"/>
        <v>76.91592264374296</v>
      </c>
    </row>
    <row r="1620" spans="1:21" x14ac:dyDescent="0.35">
      <c r="A1620" s="30"/>
      <c r="B1620" s="4"/>
      <c r="C1620" s="4"/>
      <c r="D1620" s="4"/>
      <c r="E1620" s="4"/>
      <c r="F1620" s="4"/>
      <c r="G1620" s="38"/>
      <c r="H1620" s="17"/>
      <c r="K1620" s="8">
        <f>J1727*EXP(10*K$22)</f>
        <v>0.58083176011941096</v>
      </c>
      <c r="L1620" s="87"/>
      <c r="M1620" s="87"/>
      <c r="N1620" s="87"/>
      <c r="O1620" s="87"/>
      <c r="P1620" s="87"/>
      <c r="Q1620" s="87"/>
      <c r="R1620" s="87"/>
      <c r="S1620" s="87"/>
      <c r="T1620" s="87"/>
      <c r="U1620" s="88">
        <f t="shared" si="61"/>
        <v>77.049007111768375</v>
      </c>
    </row>
    <row r="1621" spans="1:21" x14ac:dyDescent="0.35">
      <c r="A1621" s="30"/>
      <c r="B1621" s="4"/>
      <c r="C1621" s="4"/>
      <c r="D1621" s="4"/>
      <c r="E1621" s="4"/>
      <c r="F1621" s="4"/>
      <c r="G1621" s="4"/>
      <c r="H1621" s="17"/>
      <c r="K1621" s="9">
        <f>(J1728+$B$1579)*EXP(10*$K$22)</f>
        <v>0.58015651386721656</v>
      </c>
      <c r="L1621" s="87"/>
      <c r="M1621" s="87"/>
      <c r="N1621" s="87"/>
      <c r="O1621" s="87"/>
      <c r="P1621" s="87"/>
      <c r="Q1621" s="87"/>
      <c r="R1621" s="87"/>
      <c r="S1621" s="87"/>
      <c r="T1621" s="87"/>
      <c r="U1621" s="88">
        <f t="shared" si="61"/>
        <v>77.08366990111071</v>
      </c>
    </row>
    <row r="1622" spans="1:21" x14ac:dyDescent="0.35">
      <c r="A1622" s="30"/>
      <c r="B1622" s="4"/>
      <c r="C1622" s="4"/>
      <c r="D1622" s="4"/>
      <c r="E1622" s="4"/>
      <c r="F1622" s="4"/>
      <c r="G1622" s="38"/>
      <c r="H1622" s="15"/>
      <c r="I1622" s="16"/>
      <c r="J1622" s="16"/>
      <c r="K1622" s="8">
        <f>J1728*EXP(10*K$22)</f>
        <v>0.57755800609960495</v>
      </c>
      <c r="L1622" s="87"/>
      <c r="M1622" s="87"/>
      <c r="N1622" s="87"/>
      <c r="O1622" s="87"/>
      <c r="P1622" s="87"/>
      <c r="Q1622" s="87"/>
      <c r="R1622" s="87"/>
      <c r="S1622" s="87"/>
      <c r="T1622" s="87"/>
      <c r="U1622" s="88">
        <f t="shared" si="61"/>
        <v>77.217367971768354</v>
      </c>
    </row>
    <row r="1623" spans="1:21" x14ac:dyDescent="0.35">
      <c r="A1623" s="30"/>
      <c r="B1623" s="4"/>
      <c r="C1623" s="4"/>
      <c r="D1623" s="4"/>
      <c r="E1623" s="4"/>
      <c r="F1623" s="4"/>
      <c r="G1623" s="4"/>
      <c r="I1623" s="16"/>
      <c r="J1623" s="16"/>
      <c r="K1623" s="9">
        <f>(J1729+$B$1579)*EXP(10*$K$22)</f>
        <v>0.57933866275971813</v>
      </c>
      <c r="L1623" s="87"/>
      <c r="M1623" s="87"/>
      <c r="N1623" s="87"/>
      <c r="O1623" s="87"/>
      <c r="P1623" s="87"/>
      <c r="Q1623" s="87"/>
      <c r="R1623" s="87"/>
      <c r="S1623" s="87"/>
      <c r="T1623" s="87"/>
      <c r="U1623" s="88">
        <f t="shared" si="61"/>
        <v>77.125697180182897</v>
      </c>
    </row>
    <row r="1624" spans="1:21" x14ac:dyDescent="0.35">
      <c r="A1624" s="30"/>
      <c r="B1624" s="4"/>
      <c r="C1624" s="4"/>
      <c r="D1624" s="4"/>
      <c r="E1624" s="4"/>
      <c r="F1624" s="38"/>
      <c r="G1624" s="38"/>
      <c r="J1624" s="16"/>
      <c r="K1624" s="8">
        <f>J1729*EXP(10*K$22)</f>
        <v>0.57674015499210662</v>
      </c>
      <c r="L1624" s="87"/>
      <c r="M1624" s="87"/>
      <c r="N1624" s="87"/>
      <c r="O1624" s="87"/>
      <c r="P1624" s="87"/>
      <c r="Q1624" s="87"/>
      <c r="R1624" s="87"/>
      <c r="S1624" s="87"/>
      <c r="T1624" s="87"/>
      <c r="U1624" s="88">
        <f t="shared" si="61"/>
        <v>77.259549203899752</v>
      </c>
    </row>
    <row r="1625" spans="1:21" x14ac:dyDescent="0.35">
      <c r="A1625" s="30"/>
      <c r="B1625" s="4"/>
      <c r="C1625" s="4"/>
      <c r="D1625" s="4"/>
      <c r="E1625" s="4"/>
      <c r="F1625" s="4"/>
      <c r="G1625" s="4"/>
      <c r="K1625" s="9">
        <f>(J1730+$B$1579)*EXP(10*$K$22)</f>
        <v>0.57606490873991223</v>
      </c>
      <c r="L1625" s="87"/>
      <c r="M1625" s="87"/>
      <c r="N1625" s="87"/>
      <c r="O1625" s="87"/>
      <c r="P1625" s="87"/>
      <c r="Q1625" s="87"/>
      <c r="R1625" s="87"/>
      <c r="S1625" s="87"/>
      <c r="T1625" s="87"/>
      <c r="U1625" s="88">
        <f t="shared" si="61"/>
        <v>77.294412139283665</v>
      </c>
    </row>
    <row r="1626" spans="1:21" x14ac:dyDescent="0.35">
      <c r="A1626" s="30"/>
      <c r="B1626" s="4"/>
      <c r="C1626" s="4"/>
      <c r="D1626" s="4"/>
      <c r="E1626" s="4"/>
      <c r="F1626" s="38"/>
      <c r="G1626" s="38"/>
      <c r="K1626" s="8">
        <f>J1730*EXP(10*K$22)</f>
        <v>0.57346640097230062</v>
      </c>
      <c r="L1626" s="87"/>
      <c r="M1626" s="87"/>
      <c r="N1626" s="87"/>
      <c r="O1626" s="87"/>
      <c r="P1626" s="87"/>
      <c r="Q1626" s="87"/>
      <c r="R1626" s="87"/>
      <c r="S1626" s="87"/>
      <c r="T1626" s="87"/>
      <c r="U1626" s="88">
        <f t="shared" si="61"/>
        <v>77.428883087806724</v>
      </c>
    </row>
    <row r="1627" spans="1:21" x14ac:dyDescent="0.35">
      <c r="A1627" s="30"/>
      <c r="B1627" s="4"/>
      <c r="C1627" s="4"/>
      <c r="D1627" s="4"/>
      <c r="E1627" s="4"/>
      <c r="F1627" s="4"/>
      <c r="G1627" s="4"/>
      <c r="K1627" s="9">
        <f>(J1731+$B$1579)*EXP(10*$K$22)</f>
        <v>0.58470886640529418</v>
      </c>
      <c r="L1627" s="87"/>
      <c r="M1627" s="87"/>
      <c r="N1627" s="87"/>
      <c r="O1627" s="87"/>
      <c r="P1627" s="87"/>
      <c r="Q1627" s="87"/>
      <c r="R1627" s="87"/>
      <c r="S1627" s="87"/>
      <c r="T1627" s="87"/>
      <c r="U1627" s="88">
        <f t="shared" si="61"/>
        <v>76.850616135749149</v>
      </c>
    </row>
    <row r="1628" spans="1:21" x14ac:dyDescent="0.35">
      <c r="A1628" s="30"/>
      <c r="B1628" s="4"/>
      <c r="C1628" s="4"/>
      <c r="D1628" s="4"/>
      <c r="E1628" s="38"/>
      <c r="F1628" s="38"/>
      <c r="G1628" s="38"/>
      <c r="K1628" s="8">
        <f>J1731*EXP(10*K$22)</f>
        <v>0.58211035863768257</v>
      </c>
      <c r="L1628" s="87"/>
      <c r="M1628" s="87"/>
      <c r="N1628" s="87"/>
      <c r="O1628" s="87"/>
      <c r="P1628" s="87"/>
      <c r="Q1628" s="87"/>
      <c r="R1628" s="87"/>
      <c r="S1628" s="87"/>
      <c r="T1628" s="87"/>
      <c r="U1628" s="88">
        <f t="shared" si="61"/>
        <v>76.983462101489337</v>
      </c>
    </row>
    <row r="1629" spans="1:21" x14ac:dyDescent="0.35">
      <c r="A1629" s="30"/>
      <c r="B1629" s="4"/>
      <c r="C1629" s="4"/>
      <c r="D1629" s="38"/>
      <c r="E1629" s="38"/>
      <c r="F1629" s="38"/>
      <c r="G1629" s="38"/>
      <c r="H1629" s="17"/>
      <c r="J1629" s="38"/>
      <c r="K1629" s="9">
        <f>(J1732+$B$1579)*EXP(10*$K$22)</f>
        <v>0.58143511238548817</v>
      </c>
      <c r="L1629" s="87"/>
      <c r="M1629" s="87"/>
      <c r="N1629" s="87"/>
      <c r="O1629" s="87"/>
      <c r="P1629" s="87"/>
      <c r="Q1629" s="87"/>
      <c r="R1629" s="87"/>
      <c r="S1629" s="87"/>
      <c r="T1629" s="87"/>
      <c r="U1629" s="88">
        <f t="shared" si="61"/>
        <v>77.018062699933921</v>
      </c>
    </row>
    <row r="1630" spans="1:21" x14ac:dyDescent="0.35">
      <c r="A1630" s="30"/>
      <c r="B1630" s="4"/>
      <c r="C1630" s="4"/>
      <c r="D1630" s="4"/>
      <c r="E1630" s="4"/>
      <c r="F1630" s="4"/>
      <c r="G1630" s="4"/>
      <c r="H1630" s="19"/>
      <c r="I1630" s="16"/>
      <c r="J1630" s="4"/>
      <c r="K1630" s="8">
        <f>J1732*EXP(10*K$22)</f>
        <v>0.57883660461787667</v>
      </c>
      <c r="L1630" s="87"/>
      <c r="M1630" s="87"/>
      <c r="N1630" s="87"/>
      <c r="O1630" s="87"/>
      <c r="P1630" s="87"/>
      <c r="Q1630" s="87"/>
      <c r="R1630" s="87"/>
      <c r="S1630" s="87"/>
      <c r="T1630" s="87"/>
      <c r="U1630" s="88">
        <f t="shared" si="61"/>
        <v>77.151520617682507</v>
      </c>
    </row>
    <row r="1631" spans="1:21" x14ac:dyDescent="0.35">
      <c r="A1631" s="30"/>
      <c r="B1631" s="4"/>
      <c r="C1631" s="4"/>
      <c r="D1631" s="4"/>
      <c r="E1631" s="4"/>
      <c r="F1631" s="4"/>
      <c r="G1631" s="4"/>
      <c r="H1631" s="17"/>
      <c r="K1631" s="9">
        <f>(J1733+$B$1579)*EXP(10*$K$22)</f>
        <v>0.58061726127798974</v>
      </c>
      <c r="L1631" s="87"/>
      <c r="M1631" s="87"/>
      <c r="N1631" s="87"/>
      <c r="O1631" s="87"/>
      <c r="P1631" s="87"/>
      <c r="Q1631" s="87"/>
      <c r="R1631" s="87"/>
      <c r="S1631" s="87"/>
      <c r="T1631" s="87"/>
      <c r="U1631" s="88">
        <f t="shared" si="61"/>
        <v>77.060014535451515</v>
      </c>
    </row>
    <row r="1632" spans="1:21" x14ac:dyDescent="0.35">
      <c r="A1632" s="30"/>
      <c r="B1632" s="4"/>
      <c r="C1632" s="4"/>
      <c r="D1632" s="4"/>
      <c r="E1632" s="4"/>
      <c r="F1632" s="4"/>
      <c r="G1632" s="38"/>
      <c r="H1632" s="17"/>
      <c r="K1632" s="8">
        <f>J1733*EXP(10*K$22)</f>
        <v>0.57801875351037812</v>
      </c>
      <c r="L1632" s="87"/>
      <c r="M1632" s="87"/>
      <c r="N1632" s="87"/>
      <c r="O1632" s="87"/>
      <c r="P1632" s="87"/>
      <c r="Q1632" s="87"/>
      <c r="R1632" s="87"/>
      <c r="S1632" s="87"/>
      <c r="T1632" s="87"/>
      <c r="U1632" s="88">
        <f t="shared" si="61"/>
        <v>77.193625991523049</v>
      </c>
    </row>
    <row r="1633" spans="1:21" x14ac:dyDescent="0.35">
      <c r="A1633" s="30"/>
      <c r="B1633" s="4"/>
      <c r="C1633" s="4"/>
      <c r="D1633" s="4"/>
      <c r="E1633" s="4"/>
      <c r="F1633" s="4"/>
      <c r="G1633" s="4"/>
      <c r="H1633" s="17"/>
      <c r="K1633" s="9">
        <f>(J1734+$B$1579)*EXP(10*$K$22)</f>
        <v>0.57734350725818362</v>
      </c>
      <c r="L1633" s="87"/>
      <c r="M1633" s="87"/>
      <c r="N1633" s="87"/>
      <c r="O1633" s="87"/>
      <c r="P1633" s="87"/>
      <c r="Q1633" s="87"/>
      <c r="R1633" s="87"/>
      <c r="S1633" s="87"/>
      <c r="T1633" s="87"/>
      <c r="U1633" s="88">
        <f t="shared" si="61"/>
        <v>77.228426196832118</v>
      </c>
    </row>
    <row r="1634" spans="1:21" x14ac:dyDescent="0.35">
      <c r="A1634" s="30"/>
      <c r="B1634" s="4"/>
      <c r="C1634" s="4"/>
      <c r="D1634" s="4"/>
      <c r="E1634" s="4"/>
      <c r="F1634" s="4"/>
      <c r="G1634" s="38"/>
      <c r="H1634" s="17"/>
      <c r="K1634" s="8">
        <f>J1734*EXP(10*K$22)</f>
        <v>0.57474499949057212</v>
      </c>
      <c r="L1634" s="87"/>
      <c r="M1634" s="87"/>
      <c r="N1634" s="87"/>
      <c r="O1634" s="87"/>
      <c r="P1634" s="87"/>
      <c r="Q1634" s="87"/>
      <c r="R1634" s="87"/>
      <c r="S1634" s="87"/>
      <c r="T1634" s="87"/>
      <c r="U1634" s="88">
        <f t="shared" si="61"/>
        <v>77.362654907977827</v>
      </c>
    </row>
    <row r="1635" spans="1:21" x14ac:dyDescent="0.35">
      <c r="A1635" s="30"/>
      <c r="B1635" s="4"/>
      <c r="C1635" s="4"/>
      <c r="D1635" s="4"/>
      <c r="E1635" s="4"/>
      <c r="F1635" s="4"/>
      <c r="G1635" s="4"/>
      <c r="H1635" s="17"/>
      <c r="K1635" s="9">
        <f>(J1735+$B$1579)*EXP(10*$K$22)</f>
        <v>0.58965317603088296</v>
      </c>
      <c r="L1635" s="87"/>
      <c r="M1635" s="87"/>
      <c r="N1635" s="87"/>
      <c r="O1635" s="87"/>
      <c r="P1635" s="87"/>
      <c r="Q1635" s="87"/>
      <c r="R1635" s="87"/>
      <c r="S1635" s="87"/>
      <c r="T1635" s="87"/>
      <c r="U1635" s="88">
        <f t="shared" si="61"/>
        <v>76.599174477689516</v>
      </c>
    </row>
    <row r="1636" spans="1:21" x14ac:dyDescent="0.35">
      <c r="A1636" s="30"/>
      <c r="B1636" s="4"/>
      <c r="C1636" s="4"/>
      <c r="D1636" s="4"/>
      <c r="E1636" s="4"/>
      <c r="F1636" s="4"/>
      <c r="G1636" s="38"/>
      <c r="H1636" s="17"/>
      <c r="K1636" s="8">
        <f>J1735*EXP(10*K$22)</f>
        <v>0.58705466826327146</v>
      </c>
      <c r="L1636" s="87"/>
      <c r="M1636" s="87"/>
      <c r="N1636" s="87"/>
      <c r="O1636" s="87"/>
      <c r="P1636" s="87"/>
      <c r="Q1636" s="87"/>
      <c r="R1636" s="87"/>
      <c r="S1636" s="87"/>
      <c r="T1636" s="87"/>
      <c r="U1636" s="88">
        <f t="shared" si="61"/>
        <v>76.731104168105702</v>
      </c>
    </row>
    <row r="1637" spans="1:21" x14ac:dyDescent="0.35">
      <c r="A1637" s="30"/>
      <c r="B1637" s="4"/>
      <c r="C1637" s="4"/>
      <c r="D1637" s="4"/>
      <c r="E1637" s="4"/>
      <c r="F1637" s="4"/>
      <c r="G1637" s="4"/>
      <c r="H1637" s="17"/>
      <c r="K1637" s="9">
        <f>(J1736+$B$1579)*EXP(10*$K$22)</f>
        <v>0.58637942201107696</v>
      </c>
      <c r="L1637" s="87"/>
      <c r="M1637" s="87"/>
      <c r="N1637" s="87"/>
      <c r="O1637" s="87"/>
      <c r="P1637" s="87"/>
      <c r="Q1637" s="87"/>
      <c r="R1637" s="87"/>
      <c r="S1637" s="87"/>
      <c r="T1637" s="87"/>
      <c r="U1637" s="88">
        <f t="shared" si="61"/>
        <v>76.765465844067336</v>
      </c>
    </row>
    <row r="1638" spans="1:21" x14ac:dyDescent="0.35">
      <c r="A1638" s="30"/>
      <c r="B1638" s="4"/>
      <c r="C1638" s="4"/>
      <c r="D1638" s="4"/>
      <c r="E1638" s="4"/>
      <c r="F1638" s="4"/>
      <c r="G1638" s="38"/>
      <c r="H1638" s="15"/>
      <c r="I1638" s="16"/>
      <c r="J1638" s="16"/>
      <c r="K1638" s="8">
        <f>J1736*EXP(10*K$22)</f>
        <v>0.58378091424346534</v>
      </c>
      <c r="L1638" s="87"/>
      <c r="M1638" s="87"/>
      <c r="N1638" s="87"/>
      <c r="O1638" s="87"/>
      <c r="P1638" s="87"/>
      <c r="Q1638" s="87"/>
      <c r="R1638" s="87"/>
      <c r="S1638" s="87"/>
      <c r="T1638" s="87"/>
      <c r="U1638" s="88">
        <f t="shared" si="61"/>
        <v>76.898001158994006</v>
      </c>
    </row>
    <row r="1639" spans="1:21" x14ac:dyDescent="0.35">
      <c r="A1639" s="30"/>
      <c r="B1639" s="4"/>
      <c r="C1639" s="4"/>
      <c r="D1639" s="4"/>
      <c r="E1639" s="4"/>
      <c r="F1639" s="4"/>
      <c r="G1639" s="4"/>
      <c r="I1639" s="16"/>
      <c r="J1639" s="16"/>
      <c r="K1639" s="9">
        <f>(J1737+$B$1579)*EXP(10*$K$22)</f>
        <v>0.58556157090357852</v>
      </c>
      <c r="L1639" s="87"/>
      <c r="M1639" s="87"/>
      <c r="N1639" s="87"/>
      <c r="O1639" s="87"/>
      <c r="P1639" s="87"/>
      <c r="Q1639" s="87"/>
      <c r="R1639" s="87"/>
      <c r="S1639" s="87"/>
      <c r="T1639" s="87"/>
      <c r="U1639" s="88">
        <f t="shared" si="61"/>
        <v>76.80712784457225</v>
      </c>
    </row>
    <row r="1640" spans="1:21" x14ac:dyDescent="0.35">
      <c r="A1640" s="30"/>
      <c r="B1640" s="4"/>
      <c r="C1640" s="4"/>
      <c r="D1640" s="4"/>
      <c r="E1640" s="4"/>
      <c r="F1640" s="38"/>
      <c r="G1640" s="38"/>
      <c r="J1640" s="16"/>
      <c r="K1640" s="8">
        <f>J1737*EXP(10*K$22)</f>
        <v>0.58296306313596702</v>
      </c>
      <c r="L1640" s="87"/>
      <c r="M1640" s="87"/>
      <c r="N1640" s="87"/>
      <c r="O1640" s="87"/>
      <c r="P1640" s="87"/>
      <c r="Q1640" s="87"/>
      <c r="R1640" s="87"/>
      <c r="S1640" s="87"/>
      <c r="T1640" s="87"/>
      <c r="U1640" s="88">
        <f t="shared" si="61"/>
        <v>76.939815107992473</v>
      </c>
    </row>
    <row r="1641" spans="1:21" x14ac:dyDescent="0.35">
      <c r="A1641" s="30"/>
      <c r="B1641" s="4"/>
      <c r="C1641" s="4"/>
      <c r="D1641" s="4"/>
      <c r="E1641" s="4"/>
      <c r="F1641" s="4"/>
      <c r="G1641" s="4"/>
      <c r="K1641" s="9">
        <f>(J1738+$B$1579)*EXP(10*$K$22)</f>
        <v>0.58228781688377251</v>
      </c>
      <c r="L1641" s="87"/>
      <c r="M1641" s="87"/>
      <c r="N1641" s="87"/>
      <c r="O1641" s="87"/>
      <c r="P1641" s="87"/>
      <c r="Q1641" s="87"/>
      <c r="R1641" s="87"/>
      <c r="S1641" s="87"/>
      <c r="T1641" s="87"/>
      <c r="U1641" s="88">
        <f t="shared" si="61"/>
        <v>76.97437432396417</v>
      </c>
    </row>
    <row r="1642" spans="1:21" x14ac:dyDescent="0.35">
      <c r="A1642" s="30"/>
      <c r="B1642" s="4"/>
      <c r="C1642" s="4"/>
      <c r="D1642" s="4"/>
      <c r="E1642" s="4"/>
      <c r="F1642" s="38"/>
      <c r="G1642" s="38"/>
      <c r="K1642" s="8">
        <f>J1738*EXP(10*K$22)</f>
        <v>0.5796893091161609</v>
      </c>
      <c r="L1642" s="87"/>
      <c r="M1642" s="87"/>
      <c r="N1642" s="87"/>
      <c r="O1642" s="87"/>
      <c r="P1642" s="87"/>
      <c r="Q1642" s="87"/>
      <c r="R1642" s="87"/>
      <c r="S1642" s="87"/>
      <c r="T1642" s="87"/>
      <c r="U1642" s="88">
        <f t="shared" si="61"/>
        <v>77.107672441871983</v>
      </c>
    </row>
    <row r="1643" spans="1:21" x14ac:dyDescent="0.35">
      <c r="A1643" s="30"/>
      <c r="B1643" s="4"/>
      <c r="C1643" s="4"/>
      <c r="D1643" s="4"/>
      <c r="E1643" s="4"/>
      <c r="F1643" s="4"/>
      <c r="G1643" s="4"/>
      <c r="K1643" s="9">
        <f>(J1739+$B$1579)*EXP(10*$K$22)</f>
        <v>0.5805054938201043</v>
      </c>
      <c r="L1643" s="87"/>
      <c r="M1643" s="87"/>
      <c r="N1643" s="87"/>
      <c r="O1643" s="87"/>
      <c r="P1643" s="87"/>
      <c r="Q1643" s="87"/>
      <c r="R1643" s="87"/>
      <c r="S1643" s="87"/>
      <c r="T1643" s="87"/>
      <c r="U1643" s="88">
        <f t="shared" ref="U1643:U1706" si="62">MIN($B$8,((100+$B$7)/(1+K1643+$D$8/10000)))+$B$7</f>
        <v>77.065751413831919</v>
      </c>
    </row>
    <row r="1644" spans="1:21" x14ac:dyDescent="0.35">
      <c r="A1644" s="30"/>
      <c r="B1644" s="4"/>
      <c r="C1644" s="4"/>
      <c r="D1644" s="4"/>
      <c r="E1644" s="38"/>
      <c r="F1644" s="38"/>
      <c r="G1644" s="38"/>
      <c r="K1644" s="8">
        <f>J1739*EXP(10*K$22)</f>
        <v>0.57790698605249269</v>
      </c>
      <c r="L1644" s="87"/>
      <c r="M1644" s="87"/>
      <c r="N1644" s="87"/>
      <c r="O1644" s="87"/>
      <c r="P1644" s="87"/>
      <c r="Q1644" s="87"/>
      <c r="R1644" s="87"/>
      <c r="S1644" s="87"/>
      <c r="T1644" s="87"/>
      <c r="U1644" s="88">
        <f t="shared" si="62"/>
        <v>77.199383873013815</v>
      </c>
    </row>
    <row r="1645" spans="1:21" x14ac:dyDescent="0.35">
      <c r="A1645" s="30"/>
      <c r="B1645" s="4"/>
      <c r="C1645" s="4"/>
      <c r="D1645" s="38"/>
      <c r="E1645" s="38"/>
      <c r="F1645" s="38"/>
      <c r="G1645" s="38"/>
      <c r="H1645" s="17"/>
      <c r="J1645" s="38"/>
      <c r="K1645" s="9">
        <f>(J1740+$B$1579)*EXP(10*$K$22)</f>
        <v>0.57723173980029818</v>
      </c>
      <c r="L1645" s="87"/>
      <c r="M1645" s="87"/>
      <c r="N1645" s="87"/>
      <c r="O1645" s="87"/>
      <c r="P1645" s="87"/>
      <c r="Q1645" s="87"/>
      <c r="R1645" s="87"/>
      <c r="S1645" s="87"/>
      <c r="T1645" s="87"/>
      <c r="U1645" s="88">
        <f t="shared" si="62"/>
        <v>77.234189555056105</v>
      </c>
    </row>
    <row r="1646" spans="1:21" x14ac:dyDescent="0.35">
      <c r="A1646" s="30"/>
      <c r="B1646" s="4"/>
      <c r="C1646" s="4"/>
      <c r="D1646" s="4"/>
      <c r="E1646" s="4"/>
      <c r="F1646" s="4"/>
      <c r="G1646" s="4"/>
      <c r="H1646" s="19"/>
      <c r="I1646" s="16"/>
      <c r="J1646" s="4"/>
      <c r="K1646" s="8">
        <f>J1740*EXP(10*K$22)</f>
        <v>0.57463323203268668</v>
      </c>
      <c r="L1646" s="87"/>
      <c r="M1646" s="87"/>
      <c r="N1646" s="87"/>
      <c r="O1646" s="87"/>
      <c r="P1646" s="87"/>
      <c r="Q1646" s="87"/>
      <c r="R1646" s="87"/>
      <c r="S1646" s="87"/>
      <c r="T1646" s="87"/>
      <c r="U1646" s="88">
        <f t="shared" si="62"/>
        <v>77.368439415030423</v>
      </c>
    </row>
    <row r="1647" spans="1:21" x14ac:dyDescent="0.35">
      <c r="A1647" s="30"/>
      <c r="B1647" s="4"/>
      <c r="C1647" s="4"/>
      <c r="D1647" s="4"/>
      <c r="E1647" s="4"/>
      <c r="F1647" s="4"/>
      <c r="G1647" s="4"/>
      <c r="H1647" s="17"/>
      <c r="K1647" s="9">
        <f>(J1741+$B$1579)*EXP(10*$K$22)</f>
        <v>0.57641388869279975</v>
      </c>
      <c r="L1647" s="87"/>
      <c r="M1647" s="87"/>
      <c r="N1647" s="87"/>
      <c r="O1647" s="87"/>
      <c r="P1647" s="87"/>
      <c r="Q1647" s="87"/>
      <c r="R1647" s="87"/>
      <c r="S1647" s="87"/>
      <c r="T1647" s="87"/>
      <c r="U1647" s="88">
        <f t="shared" si="62"/>
        <v>77.276390177152578</v>
      </c>
    </row>
    <row r="1648" spans="1:21" x14ac:dyDescent="0.35">
      <c r="A1648" s="30"/>
      <c r="B1648" s="4"/>
      <c r="C1648" s="4"/>
      <c r="D1648" s="4"/>
      <c r="E1648" s="4"/>
      <c r="F1648" s="4"/>
      <c r="G1648" s="38"/>
      <c r="H1648" s="17"/>
      <c r="K1648" s="8">
        <f>J1741*EXP(10*K$22)</f>
        <v>0.57381538092518825</v>
      </c>
      <c r="L1648" s="87"/>
      <c r="M1648" s="87"/>
      <c r="N1648" s="87"/>
      <c r="O1648" s="87"/>
      <c r="P1648" s="87"/>
      <c r="Q1648" s="87"/>
      <c r="R1648" s="87"/>
      <c r="S1648" s="87"/>
      <c r="T1648" s="87"/>
      <c r="U1648" s="88">
        <f t="shared" si="62"/>
        <v>77.410794944521271</v>
      </c>
    </row>
    <row r="1649" spans="1:21" x14ac:dyDescent="0.35">
      <c r="A1649" s="30"/>
      <c r="B1649" s="4"/>
      <c r="C1649" s="4"/>
      <c r="D1649" s="4"/>
      <c r="E1649" s="4"/>
      <c r="F1649" s="4"/>
      <c r="G1649" s="4"/>
      <c r="H1649" s="17"/>
      <c r="K1649" s="9">
        <f>(J1742+$B$1579)*EXP(10*$K$22)</f>
        <v>0.57314013467299385</v>
      </c>
      <c r="L1649" s="87"/>
      <c r="M1649" s="87"/>
      <c r="N1649" s="87"/>
      <c r="O1649" s="87"/>
      <c r="P1649" s="87"/>
      <c r="Q1649" s="87"/>
      <c r="R1649" s="87"/>
      <c r="S1649" s="87"/>
      <c r="T1649" s="87"/>
      <c r="U1649" s="88">
        <f t="shared" si="62"/>
        <v>77.445802013286595</v>
      </c>
    </row>
    <row r="1650" spans="1:21" x14ac:dyDescent="0.35">
      <c r="A1650" s="30"/>
      <c r="B1650" s="4"/>
      <c r="C1650" s="4"/>
      <c r="D1650" s="4"/>
      <c r="E1650" s="4"/>
      <c r="F1650" s="4"/>
      <c r="G1650" s="38"/>
      <c r="H1650" s="17"/>
      <c r="K1650" s="8">
        <f>J1742*EXP(10*K$22)</f>
        <v>0.57054162690538224</v>
      </c>
      <c r="L1650" s="87"/>
      <c r="M1650" s="87"/>
      <c r="N1650" s="87"/>
      <c r="O1650" s="87"/>
      <c r="P1650" s="87"/>
      <c r="Q1650" s="87"/>
      <c r="R1650" s="87"/>
      <c r="S1650" s="87"/>
      <c r="T1650" s="87"/>
      <c r="U1650" s="88">
        <f t="shared" si="62"/>
        <v>77.580829547655938</v>
      </c>
    </row>
    <row r="1651" spans="1:21" x14ac:dyDescent="0.35">
      <c r="A1651" s="30"/>
      <c r="B1651" s="4"/>
      <c r="C1651" s="4"/>
      <c r="D1651" s="4"/>
      <c r="E1651" s="4"/>
      <c r="F1651" s="4"/>
      <c r="G1651" s="4"/>
      <c r="H1651" s="17"/>
      <c r="K1651" s="9">
        <f>(J1743+$B$1579)*EXP(10*$K$22)</f>
        <v>0.58544980344569308</v>
      </c>
      <c r="L1651" s="87"/>
      <c r="M1651" s="87"/>
      <c r="N1651" s="87"/>
      <c r="O1651" s="87"/>
      <c r="P1651" s="87"/>
      <c r="Q1651" s="87"/>
      <c r="R1651" s="87"/>
      <c r="S1651" s="87"/>
      <c r="T1651" s="87"/>
      <c r="U1651" s="88">
        <f t="shared" si="62"/>
        <v>76.812825075385319</v>
      </c>
    </row>
    <row r="1652" spans="1:21" x14ac:dyDescent="0.35">
      <c r="A1652" s="30"/>
      <c r="B1652" s="4"/>
      <c r="C1652" s="4"/>
      <c r="D1652" s="4"/>
      <c r="E1652" s="4"/>
      <c r="F1652" s="4"/>
      <c r="G1652" s="38"/>
      <c r="H1652" s="17"/>
      <c r="K1652" s="8">
        <f>J1743*EXP(10*K$22)</f>
        <v>0.58285129567808147</v>
      </c>
      <c r="L1652" s="87"/>
      <c r="M1652" s="87"/>
      <c r="N1652" s="87"/>
      <c r="O1652" s="87"/>
      <c r="P1652" s="87"/>
      <c r="Q1652" s="87"/>
      <c r="R1652" s="87"/>
      <c r="S1652" s="87"/>
      <c r="T1652" s="87"/>
      <c r="U1652" s="88">
        <f t="shared" si="62"/>
        <v>76.945533124366349</v>
      </c>
    </row>
    <row r="1653" spans="1:21" x14ac:dyDescent="0.35">
      <c r="A1653" s="30"/>
      <c r="B1653" s="4"/>
      <c r="C1653" s="4"/>
      <c r="D1653" s="4"/>
      <c r="E1653" s="4"/>
      <c r="F1653" s="4"/>
      <c r="G1653" s="4"/>
      <c r="H1653" s="17"/>
      <c r="K1653" s="9">
        <f>(J1744+$B$1579)*EXP(10*$K$22)</f>
        <v>0.58217604942588708</v>
      </c>
      <c r="L1653" s="87"/>
      <c r="M1653" s="87"/>
      <c r="N1653" s="87"/>
      <c r="O1653" s="87"/>
      <c r="P1653" s="87"/>
      <c r="Q1653" s="87"/>
      <c r="R1653" s="87"/>
      <c r="S1653" s="87"/>
      <c r="T1653" s="87"/>
      <c r="U1653" s="88">
        <f t="shared" si="62"/>
        <v>76.980097760278568</v>
      </c>
    </row>
    <row r="1654" spans="1:21" x14ac:dyDescent="0.35">
      <c r="A1654" s="30"/>
      <c r="B1654" s="4"/>
      <c r="C1654" s="4"/>
      <c r="D1654" s="4"/>
      <c r="E1654" s="4"/>
      <c r="F1654" s="4"/>
      <c r="G1654" s="38"/>
      <c r="H1654" s="15"/>
      <c r="I1654" s="16"/>
      <c r="J1654" s="16"/>
      <c r="K1654" s="8">
        <f>J1744*EXP(10*K$22)</f>
        <v>0.57957754165827546</v>
      </c>
      <c r="L1654" s="87"/>
      <c r="M1654" s="87"/>
      <c r="N1654" s="87"/>
      <c r="O1654" s="87"/>
      <c r="P1654" s="87"/>
      <c r="Q1654" s="87"/>
      <c r="R1654" s="87"/>
      <c r="S1654" s="87"/>
      <c r="T1654" s="87"/>
      <c r="U1654" s="88">
        <f t="shared" si="62"/>
        <v>77.113416807454144</v>
      </c>
    </row>
    <row r="1655" spans="1:21" x14ac:dyDescent="0.35">
      <c r="A1655" s="30"/>
      <c r="B1655" s="4"/>
      <c r="C1655" s="4"/>
      <c r="D1655" s="4"/>
      <c r="E1655" s="4"/>
      <c r="F1655" s="4"/>
      <c r="G1655" s="4"/>
      <c r="I1655" s="16"/>
      <c r="J1655" s="16"/>
      <c r="K1655" s="9">
        <f>(J1745+$B$1579)*EXP(10*$K$22)</f>
        <v>0.58135819831838864</v>
      </c>
      <c r="L1655" s="87"/>
      <c r="M1655" s="87"/>
      <c r="N1655" s="87"/>
      <c r="O1655" s="87"/>
      <c r="P1655" s="87"/>
      <c r="Q1655" s="87"/>
      <c r="R1655" s="87"/>
      <c r="S1655" s="87"/>
      <c r="T1655" s="87"/>
      <c r="U1655" s="88">
        <f t="shared" si="62"/>
        <v>77.022005969826068</v>
      </c>
    </row>
    <row r="1656" spans="1:21" x14ac:dyDescent="0.35">
      <c r="A1656" s="30"/>
      <c r="B1656" s="4"/>
      <c r="C1656" s="4"/>
      <c r="D1656" s="4"/>
      <c r="E1656" s="4"/>
      <c r="F1656" s="38"/>
      <c r="G1656" s="38"/>
      <c r="J1656" s="16"/>
      <c r="K1656" s="8">
        <f>J1745*EXP(10*K$22)</f>
        <v>0.57875969055077703</v>
      </c>
      <c r="L1656" s="87"/>
      <c r="M1656" s="87"/>
      <c r="N1656" s="87"/>
      <c r="O1656" s="87"/>
      <c r="P1656" s="87"/>
      <c r="Q1656" s="87"/>
      <c r="R1656" s="87"/>
      <c r="S1656" s="87"/>
      <c r="T1656" s="87"/>
      <c r="U1656" s="88">
        <f t="shared" si="62"/>
        <v>77.155478315669981</v>
      </c>
    </row>
    <row r="1657" spans="1:21" x14ac:dyDescent="0.35">
      <c r="A1657" s="30"/>
      <c r="B1657" s="4"/>
      <c r="C1657" s="4"/>
      <c r="D1657" s="4"/>
      <c r="E1657" s="4"/>
      <c r="F1657" s="4"/>
      <c r="G1657" s="4"/>
      <c r="K1657" s="9">
        <f>(J1746+$B$1579)*EXP(10*$K$22)</f>
        <v>0.57808444429858252</v>
      </c>
      <c r="L1657" s="87"/>
      <c r="M1657" s="87"/>
      <c r="N1657" s="87"/>
      <c r="O1657" s="87"/>
      <c r="P1657" s="87"/>
      <c r="Q1657" s="87"/>
      <c r="R1657" s="87"/>
      <c r="S1657" s="87"/>
      <c r="T1657" s="87"/>
      <c r="U1657" s="88">
        <f t="shared" si="62"/>
        <v>77.190242246884225</v>
      </c>
    </row>
    <row r="1658" spans="1:21" x14ac:dyDescent="0.35">
      <c r="A1658" s="30"/>
      <c r="B1658" s="4"/>
      <c r="C1658" s="4"/>
      <c r="D1658" s="4"/>
      <c r="E1658" s="4"/>
      <c r="F1658" s="38"/>
      <c r="G1658" s="38"/>
      <c r="K1658" s="8">
        <f>J1746*EXP(10*K$22)</f>
        <v>0.57548593653097102</v>
      </c>
      <c r="L1658" s="87"/>
      <c r="M1658" s="87"/>
      <c r="N1658" s="87"/>
      <c r="O1658" s="87"/>
      <c r="P1658" s="87"/>
      <c r="Q1658" s="87"/>
      <c r="R1658" s="87"/>
      <c r="S1658" s="87"/>
      <c r="T1658" s="87"/>
      <c r="U1658" s="88">
        <f t="shared" si="62"/>
        <v>77.324330882954683</v>
      </c>
    </row>
    <row r="1659" spans="1:21" x14ac:dyDescent="0.35">
      <c r="A1659" s="30"/>
      <c r="B1659" s="4"/>
      <c r="C1659" s="4"/>
      <c r="D1659" s="4"/>
      <c r="E1659" s="4"/>
      <c r="F1659" s="4"/>
      <c r="G1659" s="4"/>
      <c r="K1659" s="9">
        <f>(J1747+$B$1579)*EXP(10*$K$22)</f>
        <v>0.58672840196396481</v>
      </c>
      <c r="L1659" s="87"/>
      <c r="M1659" s="87"/>
      <c r="N1659" s="87"/>
      <c r="O1659" s="87"/>
      <c r="P1659" s="87"/>
      <c r="Q1659" s="87"/>
      <c r="R1659" s="87"/>
      <c r="S1659" s="87"/>
      <c r="T1659" s="87"/>
      <c r="U1659" s="88">
        <f t="shared" si="62"/>
        <v>76.747703031233158</v>
      </c>
    </row>
    <row r="1660" spans="1:21" x14ac:dyDescent="0.35">
      <c r="A1660" s="30"/>
      <c r="B1660" s="4"/>
      <c r="C1660" s="4"/>
      <c r="D1660" s="4"/>
      <c r="E1660" s="38"/>
      <c r="F1660" s="38"/>
      <c r="G1660" s="38"/>
      <c r="K1660" s="8">
        <f>J1747*EXP(10*K$22)</f>
        <v>0.58412989419635319</v>
      </c>
      <c r="L1660" s="87"/>
      <c r="M1660" s="87"/>
      <c r="N1660" s="87"/>
      <c r="O1660" s="87"/>
      <c r="P1660" s="87"/>
      <c r="Q1660" s="87"/>
      <c r="R1660" s="87"/>
      <c r="S1660" s="87"/>
      <c r="T1660" s="87"/>
      <c r="U1660" s="88">
        <f t="shared" si="62"/>
        <v>76.880173588639195</v>
      </c>
    </row>
    <row r="1661" spans="1:21" x14ac:dyDescent="0.35">
      <c r="A1661" s="30"/>
      <c r="B1661" s="4"/>
      <c r="C1661" s="4"/>
      <c r="D1661" s="38"/>
      <c r="E1661" s="38"/>
      <c r="F1661" s="38"/>
      <c r="G1661" s="38"/>
      <c r="H1661" s="17"/>
      <c r="J1661" s="38"/>
      <c r="K1661" s="9">
        <f>(J1748+$B$1579)*EXP(10*$K$22)</f>
        <v>0.5834546479441588</v>
      </c>
      <c r="L1661" s="87"/>
      <c r="M1661" s="87"/>
      <c r="N1661" s="87"/>
      <c r="O1661" s="87"/>
      <c r="P1661" s="87"/>
      <c r="Q1661" s="87"/>
      <c r="R1661" s="87"/>
      <c r="S1661" s="87"/>
      <c r="T1661" s="87"/>
      <c r="U1661" s="88">
        <f t="shared" si="62"/>
        <v>76.914676297504215</v>
      </c>
    </row>
    <row r="1662" spans="1:21" x14ac:dyDescent="0.35">
      <c r="A1662" s="30"/>
      <c r="B1662" s="4"/>
      <c r="C1662" s="4"/>
      <c r="D1662" s="4"/>
      <c r="E1662" s="4"/>
      <c r="F1662" s="4"/>
      <c r="G1662" s="4"/>
      <c r="H1662" s="19"/>
      <c r="I1662" s="16"/>
      <c r="J1662" s="4"/>
      <c r="K1662" s="8">
        <f>J1748*EXP(10*K$22)</f>
        <v>0.58085614017654719</v>
      </c>
      <c r="L1662" s="87"/>
      <c r="M1662" s="87"/>
      <c r="N1662" s="87"/>
      <c r="O1662" s="87"/>
      <c r="P1662" s="87"/>
      <c r="Q1662" s="87"/>
      <c r="R1662" s="87"/>
      <c r="S1662" s="87"/>
      <c r="T1662" s="87"/>
      <c r="U1662" s="88">
        <f t="shared" si="62"/>
        <v>77.047756211811659</v>
      </c>
    </row>
    <row r="1663" spans="1:21" x14ac:dyDescent="0.35">
      <c r="A1663" s="30"/>
      <c r="B1663" s="4"/>
      <c r="C1663" s="4"/>
      <c r="D1663" s="4"/>
      <c r="E1663" s="4"/>
      <c r="F1663" s="4"/>
      <c r="G1663" s="4"/>
      <c r="H1663" s="17"/>
      <c r="K1663" s="9">
        <f>(J1749+$B$1579)*EXP(10*$K$22)</f>
        <v>0.58263679683666025</v>
      </c>
      <c r="L1663" s="87"/>
      <c r="M1663" s="87"/>
      <c r="N1663" s="87"/>
      <c r="O1663" s="87"/>
      <c r="P1663" s="87"/>
      <c r="Q1663" s="87"/>
      <c r="R1663" s="87"/>
      <c r="S1663" s="87"/>
      <c r="T1663" s="87"/>
      <c r="U1663" s="88">
        <f t="shared" si="62"/>
        <v>76.956509383740737</v>
      </c>
    </row>
    <row r="1664" spans="1:21" x14ac:dyDescent="0.35">
      <c r="A1664" s="30"/>
      <c r="B1664" s="4"/>
      <c r="C1664" s="4"/>
      <c r="D1664" s="4"/>
      <c r="E1664" s="4"/>
      <c r="F1664" s="4"/>
      <c r="G1664" s="38"/>
      <c r="H1664" s="17"/>
      <c r="K1664" s="8">
        <f>J1749*EXP(10*K$22)</f>
        <v>0.58003828906904875</v>
      </c>
      <c r="L1664" s="87"/>
      <c r="M1664" s="87"/>
      <c r="N1664" s="87"/>
      <c r="O1664" s="87"/>
      <c r="P1664" s="87"/>
      <c r="Q1664" s="87"/>
      <c r="R1664" s="87"/>
      <c r="S1664" s="87"/>
      <c r="T1664" s="87"/>
      <c r="U1664" s="88">
        <f t="shared" si="62"/>
        <v>77.089742184327974</v>
      </c>
    </row>
    <row r="1665" spans="1:21" x14ac:dyDescent="0.35">
      <c r="A1665" s="30"/>
      <c r="B1665" s="4"/>
      <c r="C1665" s="4"/>
      <c r="D1665" s="4"/>
      <c r="E1665" s="4"/>
      <c r="F1665" s="4"/>
      <c r="G1665" s="4"/>
      <c r="H1665" s="17"/>
      <c r="K1665" s="9">
        <f>(J1750+$B$1579)*EXP(10*$K$22)</f>
        <v>0.57936304281685425</v>
      </c>
      <c r="L1665" s="87"/>
      <c r="M1665" s="87"/>
      <c r="N1665" s="87"/>
      <c r="O1665" s="87"/>
      <c r="P1665" s="87"/>
      <c r="Q1665" s="87"/>
      <c r="R1665" s="87"/>
      <c r="S1665" s="87"/>
      <c r="T1665" s="87"/>
      <c r="U1665" s="88">
        <f t="shared" si="62"/>
        <v>77.124443652370147</v>
      </c>
    </row>
    <row r="1666" spans="1:21" x14ac:dyDescent="0.35">
      <c r="A1666" s="30"/>
      <c r="B1666" s="4"/>
      <c r="C1666" s="4"/>
      <c r="D1666" s="4"/>
      <c r="E1666" s="4"/>
      <c r="F1666" s="4"/>
      <c r="G1666" s="38"/>
      <c r="H1666" s="17"/>
      <c r="K1666" s="8">
        <f>J1750*EXP(10*K$22)</f>
        <v>0.57676453504924274</v>
      </c>
      <c r="L1666" s="87"/>
      <c r="M1666" s="87"/>
      <c r="N1666" s="87"/>
      <c r="O1666" s="87"/>
      <c r="P1666" s="87"/>
      <c r="Q1666" s="87"/>
      <c r="R1666" s="87"/>
      <c r="S1666" s="87"/>
      <c r="T1666" s="87"/>
      <c r="U1666" s="88">
        <f t="shared" si="62"/>
        <v>77.258291082917737</v>
      </c>
    </row>
    <row r="1667" spans="1:21" x14ac:dyDescent="0.35">
      <c r="A1667" s="30"/>
      <c r="B1667" s="4"/>
      <c r="C1667" s="4"/>
      <c r="D1667" s="4"/>
      <c r="E1667" s="4"/>
      <c r="F1667" s="4"/>
      <c r="G1667" s="4"/>
      <c r="H1667" s="17"/>
      <c r="K1667" s="9">
        <f>(J1751+$B$1579)*EXP(10*$K$22)</f>
        <v>0.59167271158955337</v>
      </c>
      <c r="L1667" s="87"/>
      <c r="M1667" s="87"/>
      <c r="N1667" s="87"/>
      <c r="O1667" s="87"/>
      <c r="P1667" s="87"/>
      <c r="Q1667" s="87"/>
      <c r="R1667" s="87"/>
      <c r="S1667" s="87"/>
      <c r="T1667" s="87"/>
      <c r="U1667" s="88">
        <f t="shared" si="62"/>
        <v>76.496970051705318</v>
      </c>
    </row>
    <row r="1668" spans="1:21" x14ac:dyDescent="0.35">
      <c r="A1668" s="30"/>
      <c r="B1668" s="4"/>
      <c r="C1668" s="4"/>
      <c r="D1668" s="4"/>
      <c r="E1668" s="4"/>
      <c r="F1668" s="4"/>
      <c r="G1668" s="38"/>
      <c r="H1668" s="17"/>
      <c r="K1668" s="8">
        <f>J1751*EXP(10*K$22)</f>
        <v>0.58907420382194187</v>
      </c>
      <c r="L1668" s="87"/>
      <c r="M1668" s="87"/>
      <c r="N1668" s="87"/>
      <c r="O1668" s="87"/>
      <c r="P1668" s="87"/>
      <c r="Q1668" s="87"/>
      <c r="R1668" s="87"/>
      <c r="S1668" s="87"/>
      <c r="T1668" s="87"/>
      <c r="U1668" s="88">
        <f t="shared" si="62"/>
        <v>76.628528208304473</v>
      </c>
    </row>
    <row r="1669" spans="1:21" x14ac:dyDescent="0.35">
      <c r="A1669" s="30"/>
      <c r="B1669" s="4"/>
      <c r="C1669" s="4"/>
      <c r="D1669" s="4"/>
      <c r="E1669" s="4"/>
      <c r="F1669" s="4"/>
      <c r="G1669" s="4"/>
      <c r="H1669" s="17"/>
      <c r="K1669" s="9">
        <f>(J1752+$B$1579)*EXP(10*$K$22)</f>
        <v>0.58839895756974736</v>
      </c>
      <c r="L1669" s="87"/>
      <c r="M1669" s="87"/>
      <c r="N1669" s="87"/>
      <c r="O1669" s="87"/>
      <c r="P1669" s="87"/>
      <c r="Q1669" s="87"/>
      <c r="R1669" s="87"/>
      <c r="S1669" s="87"/>
      <c r="T1669" s="87"/>
      <c r="U1669" s="88">
        <f t="shared" si="62"/>
        <v>76.66279300613698</v>
      </c>
    </row>
    <row r="1670" spans="1:21" x14ac:dyDescent="0.35">
      <c r="A1670" s="30"/>
      <c r="B1670" s="4"/>
      <c r="C1670" s="4"/>
      <c r="D1670" s="4"/>
      <c r="E1670" s="4"/>
      <c r="F1670" s="4"/>
      <c r="G1670" s="38"/>
      <c r="H1670" s="15"/>
      <c r="I1670" s="16"/>
      <c r="J1670" s="16"/>
      <c r="K1670" s="8">
        <f>J1752*EXP(10*K$22)</f>
        <v>0.58580044980213586</v>
      </c>
      <c r="L1670" s="87"/>
      <c r="M1670" s="87"/>
      <c r="N1670" s="87"/>
      <c r="O1670" s="87"/>
      <c r="P1670" s="87"/>
      <c r="Q1670" s="87"/>
      <c r="R1670" s="87"/>
      <c r="S1670" s="87"/>
      <c r="T1670" s="87"/>
      <c r="U1670" s="88">
        <f t="shared" si="62"/>
        <v>76.794954227830161</v>
      </c>
    </row>
    <row r="1671" spans="1:21" x14ac:dyDescent="0.35">
      <c r="A1671" s="30"/>
      <c r="B1671" s="4"/>
      <c r="C1671" s="4"/>
      <c r="D1671" s="4"/>
      <c r="E1671" s="4"/>
      <c r="F1671" s="4"/>
      <c r="G1671" s="4"/>
      <c r="I1671" s="16"/>
      <c r="J1671" s="16"/>
      <c r="K1671" s="9">
        <f>(J1753+$B$1579)*EXP(10*$K$22)</f>
        <v>0.58758110646224904</v>
      </c>
      <c r="L1671" s="87"/>
      <c r="M1671" s="87"/>
      <c r="N1671" s="87"/>
      <c r="O1671" s="87"/>
      <c r="P1671" s="87"/>
      <c r="Q1671" s="87"/>
      <c r="R1671" s="87"/>
      <c r="S1671" s="87"/>
      <c r="T1671" s="87"/>
      <c r="U1671" s="88">
        <f t="shared" si="62"/>
        <v>76.70433748498391</v>
      </c>
    </row>
    <row r="1672" spans="1:21" x14ac:dyDescent="0.35">
      <c r="A1672" s="30"/>
      <c r="B1672" s="4"/>
      <c r="C1672" s="4"/>
      <c r="D1672" s="4"/>
      <c r="E1672" s="4"/>
      <c r="F1672" s="38"/>
      <c r="G1672" s="38"/>
      <c r="J1672" s="16"/>
      <c r="K1672" s="8">
        <f>J1753*EXP(10*K$22)</f>
        <v>0.58498259869463742</v>
      </c>
      <c r="L1672" s="87"/>
      <c r="M1672" s="87"/>
      <c r="N1672" s="87"/>
      <c r="O1672" s="87"/>
      <c r="P1672" s="87"/>
      <c r="Q1672" s="87"/>
      <c r="R1672" s="87"/>
      <c r="S1672" s="87"/>
      <c r="T1672" s="87"/>
      <c r="U1672" s="88">
        <f t="shared" si="62"/>
        <v>76.836650012107853</v>
      </c>
    </row>
    <row r="1673" spans="1:21" x14ac:dyDescent="0.35">
      <c r="A1673" s="30"/>
      <c r="B1673" s="4"/>
      <c r="C1673" s="4"/>
      <c r="D1673" s="4"/>
      <c r="E1673" s="4"/>
      <c r="F1673" s="4"/>
      <c r="G1673" s="4"/>
      <c r="K1673" s="9">
        <f>(J1754+$B$1579)*EXP(10*$K$22)</f>
        <v>0.58430735244244303</v>
      </c>
      <c r="L1673" s="87"/>
      <c r="M1673" s="87"/>
      <c r="N1673" s="87"/>
      <c r="O1673" s="87"/>
      <c r="P1673" s="87"/>
      <c r="Q1673" s="87"/>
      <c r="R1673" s="87"/>
      <c r="S1673" s="87"/>
      <c r="T1673" s="87"/>
      <c r="U1673" s="88">
        <f t="shared" si="62"/>
        <v>76.871111513937947</v>
      </c>
    </row>
    <row r="1674" spans="1:21" x14ac:dyDescent="0.35">
      <c r="A1674" s="30"/>
      <c r="B1674" s="4"/>
      <c r="C1674" s="4"/>
      <c r="D1674" s="4"/>
      <c r="E1674" s="4"/>
      <c r="F1674" s="38"/>
      <c r="G1674" s="38"/>
      <c r="K1674" s="8">
        <f>J1754*EXP(10*K$22)</f>
        <v>0.58170884467483142</v>
      </c>
      <c r="L1674" s="87"/>
      <c r="M1674" s="87"/>
      <c r="N1674" s="87"/>
      <c r="O1674" s="87"/>
      <c r="P1674" s="87"/>
      <c r="Q1674" s="87"/>
      <c r="R1674" s="87"/>
      <c r="S1674" s="87"/>
      <c r="T1674" s="87"/>
      <c r="U1674" s="88">
        <f t="shared" si="62"/>
        <v>77.004032306641918</v>
      </c>
    </row>
    <row r="1675" spans="1:21" x14ac:dyDescent="0.35">
      <c r="A1675" s="30"/>
      <c r="B1675" s="4"/>
      <c r="C1675" s="4"/>
      <c r="D1675" s="4"/>
      <c r="E1675" s="4"/>
      <c r="F1675" s="4"/>
      <c r="G1675" s="4"/>
      <c r="K1675" s="9">
        <f>(J1755+$B$1579)*EXP(10*$K$22)</f>
        <v>0.58812900725958084</v>
      </c>
      <c r="L1675" s="87"/>
      <c r="M1675" s="87"/>
      <c r="N1675" s="87"/>
      <c r="O1675" s="87"/>
      <c r="P1675" s="87"/>
      <c r="Q1675" s="87"/>
      <c r="R1675" s="87"/>
      <c r="S1675" s="87"/>
      <c r="T1675" s="87"/>
      <c r="U1675" s="88">
        <f t="shared" si="62"/>
        <v>76.676500453458786</v>
      </c>
    </row>
    <row r="1676" spans="1:21" x14ac:dyDescent="0.35">
      <c r="A1676" s="30"/>
      <c r="B1676" s="4"/>
      <c r="C1676" s="4"/>
      <c r="D1676" s="4"/>
      <c r="E1676" s="38"/>
      <c r="F1676" s="38"/>
      <c r="G1676" s="38"/>
      <c r="K1676" s="8">
        <f>J1755*EXP(10*K$22)</f>
        <v>0.58553049949196923</v>
      </c>
      <c r="L1676" s="87"/>
      <c r="M1676" s="87"/>
      <c r="N1676" s="87"/>
      <c r="O1676" s="87"/>
      <c r="P1676" s="87"/>
      <c r="Q1676" s="87"/>
      <c r="R1676" s="87"/>
      <c r="S1676" s="87"/>
      <c r="T1676" s="87"/>
      <c r="U1676" s="88">
        <f t="shared" si="62"/>
        <v>76.808711588233876</v>
      </c>
    </row>
    <row r="1677" spans="1:21" x14ac:dyDescent="0.35">
      <c r="A1677" s="30"/>
      <c r="B1677" s="4"/>
      <c r="C1677" s="4"/>
      <c r="D1677" s="38"/>
      <c r="E1677" s="38"/>
      <c r="F1677" s="38"/>
      <c r="G1677" s="38"/>
      <c r="H1677" s="17"/>
      <c r="J1677" s="38"/>
      <c r="K1677" s="9">
        <f>(J1756+$B$1579)*EXP(10*$K$22)</f>
        <v>0.58485525323977483</v>
      </c>
      <c r="L1677" s="87"/>
      <c r="M1677" s="87"/>
      <c r="N1677" s="87"/>
      <c r="O1677" s="87"/>
      <c r="P1677" s="87"/>
      <c r="Q1677" s="87"/>
      <c r="R1677" s="87"/>
      <c r="S1677" s="87"/>
      <c r="T1677" s="87"/>
      <c r="U1677" s="88">
        <f t="shared" si="62"/>
        <v>76.843146651643664</v>
      </c>
    </row>
    <row r="1678" spans="1:21" x14ac:dyDescent="0.35">
      <c r="A1678" s="30"/>
      <c r="B1678" s="4"/>
      <c r="C1678" s="4"/>
      <c r="D1678" s="4"/>
      <c r="E1678" s="4"/>
      <c r="F1678" s="4"/>
      <c r="G1678" s="4"/>
      <c r="H1678" s="19"/>
      <c r="I1678" s="16"/>
      <c r="J1678" s="4"/>
      <c r="K1678" s="8">
        <f>J1756*EXP(10*K$22)</f>
        <v>0.58225674547216322</v>
      </c>
      <c r="L1678" s="87"/>
      <c r="M1678" s="87"/>
      <c r="N1678" s="87"/>
      <c r="O1678" s="87"/>
      <c r="P1678" s="87"/>
      <c r="Q1678" s="87"/>
      <c r="R1678" s="87"/>
      <c r="S1678" s="87"/>
      <c r="T1678" s="87"/>
      <c r="U1678" s="88">
        <f t="shared" si="62"/>
        <v>76.975965352150794</v>
      </c>
    </row>
    <row r="1679" spans="1:21" x14ac:dyDescent="0.35">
      <c r="A1679" s="30"/>
      <c r="B1679" s="4"/>
      <c r="C1679" s="4"/>
      <c r="D1679" s="4"/>
      <c r="E1679" s="4"/>
      <c r="F1679" s="4"/>
      <c r="G1679" s="4"/>
      <c r="H1679" s="17"/>
      <c r="K1679" s="9">
        <f>(J1757+$B$1579)*EXP(10*$K$22)</f>
        <v>0.58403740213227628</v>
      </c>
      <c r="L1679" s="87"/>
      <c r="M1679" s="87"/>
      <c r="N1679" s="87"/>
      <c r="O1679" s="87"/>
      <c r="P1679" s="87"/>
      <c r="Q1679" s="87"/>
      <c r="R1679" s="87"/>
      <c r="S1679" s="87"/>
      <c r="T1679" s="87"/>
      <c r="U1679" s="88">
        <f t="shared" si="62"/>
        <v>76.884897677725448</v>
      </c>
    </row>
    <row r="1680" spans="1:21" x14ac:dyDescent="0.35">
      <c r="A1680" s="30"/>
      <c r="B1680" s="4"/>
      <c r="C1680" s="4"/>
      <c r="D1680" s="4"/>
      <c r="E1680" s="4"/>
      <c r="F1680" s="4"/>
      <c r="G1680" s="38"/>
      <c r="H1680" s="17"/>
      <c r="K1680" s="8">
        <f>J1757*EXP(10*K$22)</f>
        <v>0.58143889436466478</v>
      </c>
      <c r="L1680" s="87"/>
      <c r="M1680" s="87"/>
      <c r="N1680" s="87"/>
      <c r="O1680" s="87"/>
      <c r="P1680" s="87"/>
      <c r="Q1680" s="87"/>
      <c r="R1680" s="87"/>
      <c r="S1680" s="87"/>
      <c r="T1680" s="87"/>
      <c r="U1680" s="88">
        <f t="shared" si="62"/>
        <v>77.017868814468656</v>
      </c>
    </row>
    <row r="1681" spans="1:21" x14ac:dyDescent="0.35">
      <c r="A1681" s="30"/>
      <c r="B1681" s="4"/>
      <c r="C1681" s="4"/>
      <c r="D1681" s="4"/>
      <c r="E1681" s="4"/>
      <c r="F1681" s="4"/>
      <c r="G1681" s="4"/>
      <c r="H1681" s="17"/>
      <c r="K1681" s="9">
        <f>(J1758+$B$1579)*EXP(10*$K$22)</f>
        <v>0.58076364811247028</v>
      </c>
      <c r="L1681" s="87"/>
      <c r="M1681" s="87"/>
      <c r="N1681" s="87"/>
      <c r="O1681" s="87"/>
      <c r="P1681" s="87"/>
      <c r="Q1681" s="87"/>
      <c r="R1681" s="87"/>
      <c r="S1681" s="87"/>
      <c r="T1681" s="87"/>
      <c r="U1681" s="88">
        <f t="shared" si="62"/>
        <v>77.052502051977186</v>
      </c>
    </row>
    <row r="1682" spans="1:21" x14ac:dyDescent="0.35">
      <c r="A1682" s="30"/>
      <c r="B1682" s="4"/>
      <c r="C1682" s="4"/>
      <c r="D1682" s="4"/>
      <c r="E1682" s="4"/>
      <c r="F1682" s="4"/>
      <c r="G1682" s="38"/>
      <c r="H1682" s="17"/>
      <c r="K1682" s="8">
        <f>J1758*EXP(10*K$22)</f>
        <v>0.57816514034485877</v>
      </c>
      <c r="L1682" s="87"/>
      <c r="M1682" s="87"/>
      <c r="N1682" s="87"/>
      <c r="O1682" s="87"/>
      <c r="P1682" s="87"/>
      <c r="Q1682" s="87"/>
      <c r="R1682" s="87"/>
      <c r="S1682" s="87"/>
      <c r="T1682" s="87"/>
      <c r="U1682" s="88">
        <f t="shared" si="62"/>
        <v>77.186086006825377</v>
      </c>
    </row>
    <row r="1683" spans="1:21" x14ac:dyDescent="0.35">
      <c r="A1683" s="30"/>
      <c r="B1683" s="4"/>
      <c r="C1683" s="4"/>
      <c r="D1683" s="4"/>
      <c r="E1683" s="4"/>
      <c r="F1683" s="4"/>
      <c r="G1683" s="38"/>
      <c r="H1683" s="17"/>
      <c r="K1683" s="9">
        <f>(J1759+$B$1579)*EXP(10*$K$22)</f>
        <v>0.59307331688516962</v>
      </c>
      <c r="L1683" s="87"/>
      <c r="M1683" s="87"/>
      <c r="N1683" s="87"/>
      <c r="O1683" s="87"/>
      <c r="P1683" s="87"/>
      <c r="Q1683" s="87"/>
      <c r="R1683" s="87"/>
      <c r="S1683" s="87"/>
      <c r="T1683" s="87"/>
      <c r="U1683" s="88">
        <f t="shared" si="62"/>
        <v>76.426257204633615</v>
      </c>
    </row>
    <row r="1684" spans="1:21" x14ac:dyDescent="0.35">
      <c r="A1684" s="30"/>
      <c r="B1684" s="4"/>
      <c r="C1684" s="4"/>
      <c r="D1684" s="4"/>
      <c r="E1684" s="4"/>
      <c r="F1684" s="4"/>
      <c r="G1684" s="38"/>
      <c r="H1684" s="17"/>
      <c r="K1684" s="8">
        <f>J1759*EXP(10*K$22)</f>
        <v>0.59047480911755801</v>
      </c>
      <c r="L1684" s="87"/>
      <c r="M1684" s="87"/>
      <c r="N1684" s="87"/>
      <c r="O1684" s="87"/>
      <c r="P1684" s="87"/>
      <c r="Q1684" s="87"/>
      <c r="R1684" s="87"/>
      <c r="S1684" s="87"/>
      <c r="T1684" s="87"/>
      <c r="U1684" s="88">
        <f t="shared" si="62"/>
        <v>76.557558612869883</v>
      </c>
    </row>
    <row r="1685" spans="1:21" x14ac:dyDescent="0.35">
      <c r="A1685" s="30"/>
      <c r="B1685" s="4"/>
      <c r="C1685" s="4"/>
      <c r="D1685" s="4"/>
      <c r="E1685" s="4"/>
      <c r="F1685" s="4"/>
      <c r="G1685" s="38"/>
      <c r="H1685" s="17"/>
      <c r="K1685" s="9">
        <f>(J1760+$B$1579)*EXP(10*$K$22)</f>
        <v>0.58979956286536361</v>
      </c>
      <c r="L1685" s="87"/>
      <c r="M1685" s="87"/>
      <c r="N1685" s="87"/>
      <c r="O1685" s="87"/>
      <c r="P1685" s="87"/>
      <c r="Q1685" s="87"/>
      <c r="R1685" s="87"/>
      <c r="S1685" s="87"/>
      <c r="T1685" s="87"/>
      <c r="U1685" s="88">
        <f t="shared" si="62"/>
        <v>76.591756463366352</v>
      </c>
    </row>
    <row r="1686" spans="1:21" x14ac:dyDescent="0.35">
      <c r="A1686" s="30"/>
      <c r="B1686" s="4"/>
      <c r="C1686" s="4"/>
      <c r="D1686" s="4"/>
      <c r="E1686" s="4"/>
      <c r="F1686" s="4"/>
      <c r="G1686" s="38"/>
      <c r="H1686" s="17"/>
      <c r="K1686" s="8">
        <f>J1760*EXP(10*K$22)</f>
        <v>0.58720105509775211</v>
      </c>
      <c r="L1686" s="87"/>
      <c r="M1686" s="87"/>
      <c r="N1686" s="87"/>
      <c r="O1686" s="87"/>
      <c r="P1686" s="87"/>
      <c r="Q1686" s="87"/>
      <c r="R1686" s="87"/>
      <c r="S1686" s="87"/>
      <c r="T1686" s="87"/>
      <c r="U1686" s="88">
        <f t="shared" si="62"/>
        <v>76.723659170132009</v>
      </c>
    </row>
    <row r="1687" spans="1:21" x14ac:dyDescent="0.35">
      <c r="A1687" s="30"/>
      <c r="B1687" s="4"/>
      <c r="C1687" s="4"/>
      <c r="D1687" s="4"/>
      <c r="E1687" s="4"/>
      <c r="F1687" s="4"/>
      <c r="G1687" s="38"/>
      <c r="H1687" s="17"/>
      <c r="K1687" s="9">
        <f>(J1761+$B$1579)*EXP(10*$K$22)</f>
        <v>0.58898171175786518</v>
      </c>
      <c r="L1687" s="87"/>
      <c r="M1687" s="87"/>
      <c r="N1687" s="87"/>
      <c r="O1687" s="87"/>
      <c r="P1687" s="87"/>
      <c r="Q1687" s="87"/>
      <c r="R1687" s="87"/>
      <c r="S1687" s="87"/>
      <c r="T1687" s="87"/>
      <c r="U1687" s="88">
        <f t="shared" si="62"/>
        <v>76.63321972938148</v>
      </c>
    </row>
    <row r="1688" spans="1:21" x14ac:dyDescent="0.35">
      <c r="A1688" s="30"/>
      <c r="B1688" s="4"/>
      <c r="C1688" s="4"/>
      <c r="D1688" s="4"/>
      <c r="E1688" s="4"/>
      <c r="F1688" s="4"/>
      <c r="G1688" s="38"/>
      <c r="H1688" s="17"/>
      <c r="K1688" s="8">
        <f>J1761*EXP(10*K$22)</f>
        <v>0.58638320399025357</v>
      </c>
      <c r="L1688" s="87"/>
      <c r="M1688" s="87"/>
      <c r="N1688" s="87"/>
      <c r="O1688" s="87"/>
      <c r="P1688" s="87"/>
      <c r="Q1688" s="87"/>
      <c r="R1688" s="87"/>
      <c r="S1688" s="87"/>
      <c r="T1688" s="87"/>
      <c r="U1688" s="88">
        <f t="shared" si="62"/>
        <v>76.765273297725059</v>
      </c>
    </row>
    <row r="1689" spans="1:21" x14ac:dyDescent="0.35">
      <c r="A1689" s="30"/>
      <c r="B1689" s="4"/>
      <c r="C1689" s="4"/>
      <c r="D1689" s="4"/>
      <c r="E1689" s="4"/>
      <c r="F1689" s="4"/>
      <c r="G1689" s="38"/>
      <c r="H1689" s="17"/>
      <c r="K1689" s="9">
        <f>(J1762+$B$1579)*EXP(10*$K$22)</f>
        <v>0.58570795773805917</v>
      </c>
      <c r="L1689" s="87"/>
      <c r="M1689" s="87"/>
      <c r="N1689" s="87"/>
      <c r="O1689" s="87"/>
      <c r="P1689" s="87"/>
      <c r="Q1689" s="87"/>
      <c r="R1689" s="87"/>
      <c r="S1689" s="87"/>
      <c r="T1689" s="87"/>
      <c r="U1689" s="88">
        <f t="shared" si="62"/>
        <v>76.799667275189194</v>
      </c>
    </row>
    <row r="1690" spans="1:21" x14ac:dyDescent="0.35">
      <c r="A1690" s="30"/>
      <c r="B1690" s="4"/>
      <c r="C1690" s="4"/>
      <c r="D1690" s="4"/>
      <c r="E1690" s="4"/>
      <c r="F1690" s="4"/>
      <c r="G1690" s="38"/>
      <c r="H1690" s="17"/>
      <c r="K1690" s="8">
        <f>J1762*EXP(10*K$22)</f>
        <v>0.58310944997044756</v>
      </c>
      <c r="L1690" s="87"/>
      <c r="M1690" s="87"/>
      <c r="N1690" s="87"/>
      <c r="O1690" s="87"/>
      <c r="P1690" s="87"/>
      <c r="Q1690" s="87"/>
      <c r="R1690" s="87"/>
      <c r="S1690" s="87"/>
      <c r="T1690" s="87"/>
      <c r="U1690" s="88">
        <f t="shared" si="62"/>
        <v>76.932327322217262</v>
      </c>
    </row>
    <row r="1691" spans="1:21" x14ac:dyDescent="0.35">
      <c r="A1691" s="30"/>
      <c r="B1691" s="4"/>
      <c r="C1691" s="4"/>
      <c r="D1691" s="4"/>
      <c r="E1691" s="4"/>
      <c r="F1691" s="4"/>
      <c r="G1691" s="38"/>
      <c r="H1691" s="17"/>
      <c r="K1691" s="9">
        <f>(J1763+$B$1579)*EXP(10*$K$22)</f>
        <v>0.59435191540344123</v>
      </c>
      <c r="L1691" s="87"/>
      <c r="M1691" s="87"/>
      <c r="N1691" s="87"/>
      <c r="O1691" s="87"/>
      <c r="P1691" s="87"/>
      <c r="Q1691" s="87"/>
      <c r="R1691" s="87"/>
      <c r="S1691" s="87"/>
      <c r="T1691" s="87"/>
      <c r="U1691" s="88">
        <f t="shared" si="62"/>
        <v>76.361824493057682</v>
      </c>
    </row>
    <row r="1692" spans="1:21" x14ac:dyDescent="0.35">
      <c r="A1692" s="30"/>
      <c r="B1692" s="4"/>
      <c r="C1692" s="4"/>
      <c r="D1692" s="4"/>
      <c r="E1692" s="4"/>
      <c r="F1692" s="4"/>
      <c r="G1692" s="38"/>
      <c r="H1692" s="17"/>
      <c r="K1692" s="8">
        <f>J1763*EXP(10*K$22)</f>
        <v>0.59175340763582962</v>
      </c>
      <c r="L1692" s="87"/>
      <c r="M1692" s="87"/>
      <c r="N1692" s="87"/>
      <c r="O1692" s="87"/>
      <c r="P1692" s="87"/>
      <c r="Q1692" s="87"/>
      <c r="R1692" s="87"/>
      <c r="S1692" s="87"/>
      <c r="T1692" s="87"/>
      <c r="U1692" s="88">
        <f t="shared" si="62"/>
        <v>76.492892173971669</v>
      </c>
    </row>
    <row r="1693" spans="1:21" x14ac:dyDescent="0.35">
      <c r="A1693" s="30"/>
      <c r="B1693" s="4"/>
      <c r="C1693" s="4"/>
      <c r="D1693" s="4"/>
      <c r="E1693" s="4"/>
      <c r="F1693" s="4"/>
      <c r="G1693" s="38"/>
      <c r="H1693" s="17"/>
      <c r="K1693" s="9">
        <f>(J1764+$B$1579)*EXP(10*$K$22)</f>
        <v>0.59107816138363523</v>
      </c>
      <c r="L1693" s="87"/>
      <c r="M1693" s="87"/>
      <c r="N1693" s="87"/>
      <c r="O1693" s="87"/>
      <c r="P1693" s="87"/>
      <c r="Q1693" s="87"/>
      <c r="R1693" s="87"/>
      <c r="S1693" s="87"/>
      <c r="T1693" s="87"/>
      <c r="U1693" s="88">
        <f t="shared" si="62"/>
        <v>76.527029080081277</v>
      </c>
    </row>
    <row r="1694" spans="1:21" x14ac:dyDescent="0.35">
      <c r="A1694" s="30"/>
      <c r="B1694" s="4"/>
      <c r="C1694" s="4"/>
      <c r="D1694" s="4"/>
      <c r="E1694" s="4"/>
      <c r="F1694" s="4"/>
      <c r="G1694" s="38"/>
      <c r="H1694" s="17"/>
      <c r="K1694" s="8">
        <f>J1764*EXP(10*K$22)</f>
        <v>0.58847965361602372</v>
      </c>
      <c r="L1694" s="87"/>
      <c r="M1694" s="87"/>
      <c r="N1694" s="87"/>
      <c r="O1694" s="87"/>
      <c r="P1694" s="87"/>
      <c r="Q1694" s="87"/>
      <c r="R1694" s="87"/>
      <c r="S1694" s="87"/>
      <c r="T1694" s="87"/>
      <c r="U1694" s="88">
        <f t="shared" si="62"/>
        <v>76.658696452864916</v>
      </c>
    </row>
    <row r="1695" spans="1:21" x14ac:dyDescent="0.35">
      <c r="A1695" s="30"/>
      <c r="B1695" s="4"/>
      <c r="C1695" s="4"/>
      <c r="D1695" s="4"/>
      <c r="E1695" s="4"/>
      <c r="F1695" s="4"/>
      <c r="G1695" s="38"/>
      <c r="H1695" s="17"/>
      <c r="K1695" s="9">
        <f>(J1765+$B$1579)*EXP(10*$K$22)</f>
        <v>0.59026031027613679</v>
      </c>
      <c r="L1695" s="87"/>
      <c r="M1695" s="87"/>
      <c r="N1695" s="87"/>
      <c r="O1695" s="87"/>
      <c r="P1695" s="87"/>
      <c r="Q1695" s="87"/>
      <c r="R1695" s="87"/>
      <c r="S1695" s="87"/>
      <c r="T1695" s="87"/>
      <c r="U1695" s="88">
        <f t="shared" si="62"/>
        <v>76.56841841546229</v>
      </c>
    </row>
    <row r="1696" spans="1:21" x14ac:dyDescent="0.35">
      <c r="A1696" s="30"/>
      <c r="B1696" s="4"/>
      <c r="C1696" s="4"/>
      <c r="D1696" s="4"/>
      <c r="E1696" s="4"/>
      <c r="F1696" s="4"/>
      <c r="G1696" s="38"/>
      <c r="H1696" s="17"/>
      <c r="K1696" s="8">
        <f>J1765*EXP(10*K$22)</f>
        <v>0.58766180250852529</v>
      </c>
      <c r="L1696" s="87"/>
      <c r="M1696" s="87"/>
      <c r="N1696" s="87"/>
      <c r="O1696" s="87"/>
      <c r="P1696" s="87"/>
      <c r="Q1696" s="87"/>
      <c r="R1696" s="87"/>
      <c r="S1696" s="87"/>
      <c r="T1696" s="87"/>
      <c r="U1696" s="88">
        <f t="shared" si="62"/>
        <v>76.700236246149601</v>
      </c>
    </row>
    <row r="1697" spans="1:21" x14ac:dyDescent="0.35">
      <c r="A1697" s="30"/>
      <c r="B1697" s="4"/>
      <c r="C1697" s="4"/>
      <c r="D1697" s="4"/>
      <c r="E1697" s="4"/>
      <c r="F1697" s="4"/>
      <c r="G1697" s="4"/>
      <c r="H1697" s="17"/>
      <c r="K1697" s="9">
        <f>(J1766+$B$1579)*EXP(10*$K$22)</f>
        <v>0.58698655625633078</v>
      </c>
      <c r="L1697" s="87"/>
      <c r="M1697" s="87"/>
      <c r="N1697" s="87"/>
      <c r="O1697" s="87"/>
      <c r="P1697" s="87"/>
      <c r="Q1697" s="87"/>
      <c r="R1697" s="87"/>
      <c r="S1697" s="87"/>
      <c r="T1697" s="87"/>
      <c r="U1697" s="88">
        <f t="shared" si="62"/>
        <v>76.734568754430981</v>
      </c>
    </row>
    <row r="1698" spans="1:21" x14ac:dyDescent="0.35">
      <c r="A1698" s="30"/>
      <c r="B1698" s="4"/>
      <c r="C1698" s="4"/>
      <c r="D1698" s="4"/>
      <c r="E1698" s="4"/>
      <c r="F1698" s="4"/>
      <c r="G1698" s="38"/>
      <c r="H1698" s="15"/>
      <c r="I1698" s="16"/>
      <c r="J1698" s="16"/>
      <c r="K1698" s="8">
        <f>J1766*EXP(10*K$22)</f>
        <v>0.58438804848871928</v>
      </c>
      <c r="L1698" s="87"/>
      <c r="M1698" s="87"/>
      <c r="N1698" s="87"/>
      <c r="O1698" s="87"/>
      <c r="P1698" s="87"/>
      <c r="Q1698" s="87"/>
      <c r="R1698" s="87"/>
      <c r="S1698" s="87"/>
      <c r="T1698" s="87"/>
      <c r="U1698" s="88">
        <f t="shared" si="62"/>
        <v>76.866991438669743</v>
      </c>
    </row>
    <row r="1699" spans="1:21" x14ac:dyDescent="0.35">
      <c r="A1699" s="30"/>
      <c r="B1699" s="4"/>
      <c r="C1699" s="4"/>
      <c r="D1699" s="4"/>
      <c r="E1699" s="4"/>
      <c r="F1699" s="4"/>
      <c r="G1699" s="4"/>
      <c r="I1699" s="16"/>
      <c r="J1699" s="16"/>
      <c r="K1699" s="9">
        <f>(J1767+$B$1579)*EXP(10*$K$22)</f>
        <v>0.59929622502903002</v>
      </c>
      <c r="L1699" s="87"/>
      <c r="M1699" s="87"/>
      <c r="N1699" s="87"/>
      <c r="O1699" s="87"/>
      <c r="P1699" s="87"/>
      <c r="Q1699" s="87"/>
      <c r="R1699" s="87"/>
      <c r="S1699" s="87"/>
      <c r="T1699" s="87"/>
      <c r="U1699" s="88">
        <f t="shared" si="62"/>
        <v>76.113739869276543</v>
      </c>
    </row>
    <row r="1700" spans="1:21" x14ac:dyDescent="0.35">
      <c r="A1700" s="30"/>
      <c r="B1700" s="4"/>
      <c r="C1700" s="4"/>
      <c r="D1700" s="4"/>
      <c r="E1700" s="4"/>
      <c r="F1700" s="38"/>
      <c r="G1700" s="38"/>
      <c r="J1700" s="16"/>
      <c r="K1700" s="8">
        <f>J1767*EXP(10*K$22)</f>
        <v>0.59669771726141851</v>
      </c>
      <c r="L1700" s="87"/>
      <c r="M1700" s="87"/>
      <c r="N1700" s="87"/>
      <c r="O1700" s="87"/>
      <c r="P1700" s="87"/>
      <c r="Q1700" s="87"/>
      <c r="R1700" s="87"/>
      <c r="S1700" s="87"/>
      <c r="T1700" s="87"/>
      <c r="U1700" s="88">
        <f t="shared" si="62"/>
        <v>76.243909579915993</v>
      </c>
    </row>
    <row r="1701" spans="1:21" x14ac:dyDescent="0.35">
      <c r="A1701" s="30"/>
      <c r="B1701" s="4"/>
      <c r="C1701" s="4"/>
      <c r="D1701" s="4"/>
      <c r="E1701" s="4"/>
      <c r="F1701" s="4"/>
      <c r="G1701" s="4"/>
      <c r="K1701" s="9">
        <f>(J1768+$B$1579)*EXP(10*$K$22)</f>
        <v>0.59602247100922401</v>
      </c>
      <c r="L1701" s="87"/>
      <c r="M1701" s="87"/>
      <c r="N1701" s="87"/>
      <c r="O1701" s="87"/>
      <c r="P1701" s="87"/>
      <c r="Q1701" s="87"/>
      <c r="R1701" s="87"/>
      <c r="S1701" s="87"/>
      <c r="T1701" s="87"/>
      <c r="U1701" s="88">
        <f t="shared" si="62"/>
        <v>76.277812342054645</v>
      </c>
    </row>
    <row r="1702" spans="1:21" x14ac:dyDescent="0.35">
      <c r="A1702" s="30"/>
      <c r="B1702" s="4"/>
      <c r="C1702" s="4"/>
      <c r="D1702" s="4"/>
      <c r="E1702" s="4"/>
      <c r="F1702" s="38"/>
      <c r="G1702" s="38"/>
      <c r="K1702" s="8">
        <f>J1768*EXP(10*K$22)</f>
        <v>0.5934239632416124</v>
      </c>
      <c r="L1702" s="87"/>
      <c r="M1702" s="87"/>
      <c r="N1702" s="87"/>
      <c r="O1702" s="87"/>
      <c r="P1702" s="87"/>
      <c r="Q1702" s="87"/>
      <c r="R1702" s="87"/>
      <c r="S1702" s="87"/>
      <c r="T1702" s="87"/>
      <c r="U1702" s="88">
        <f t="shared" si="62"/>
        <v>76.408575585237074</v>
      </c>
    </row>
    <row r="1703" spans="1:21" x14ac:dyDescent="0.35">
      <c r="A1703" s="30"/>
      <c r="B1703" s="4"/>
      <c r="C1703" s="4"/>
      <c r="D1703" s="4"/>
      <c r="E1703" s="4"/>
      <c r="F1703" s="4"/>
      <c r="G1703" s="4"/>
      <c r="K1703" s="9">
        <f>(J1769+$B$1579)*EXP(10*$K$22)</f>
        <v>0.59520461990172568</v>
      </c>
      <c r="L1703" s="87"/>
      <c r="M1703" s="87"/>
      <c r="N1703" s="87"/>
      <c r="O1703" s="87"/>
      <c r="P1703" s="87"/>
      <c r="Q1703" s="87"/>
      <c r="R1703" s="87"/>
      <c r="S1703" s="87"/>
      <c r="T1703" s="87"/>
      <c r="U1703" s="88">
        <f t="shared" si="62"/>
        <v>76.318917642192361</v>
      </c>
    </row>
    <row r="1704" spans="1:21" x14ac:dyDescent="0.35">
      <c r="A1704" s="30"/>
      <c r="B1704" s="4"/>
      <c r="C1704" s="4"/>
      <c r="D1704" s="4"/>
      <c r="E1704" s="38"/>
      <c r="F1704" s="38"/>
      <c r="G1704" s="38"/>
      <c r="K1704" s="8">
        <f>J1769*EXP(10*K$22)</f>
        <v>0.59260611213411407</v>
      </c>
      <c r="L1704" s="87"/>
      <c r="M1704" s="87"/>
      <c r="N1704" s="87"/>
      <c r="O1704" s="87"/>
      <c r="P1704" s="87"/>
      <c r="Q1704" s="87"/>
      <c r="R1704" s="87"/>
      <c r="S1704" s="87"/>
      <c r="T1704" s="87"/>
      <c r="U1704" s="88">
        <f t="shared" si="62"/>
        <v>76.449829795762895</v>
      </c>
    </row>
    <row r="1705" spans="1:21" x14ac:dyDescent="0.35">
      <c r="A1705" s="30"/>
      <c r="B1705" s="4"/>
      <c r="C1705" s="4"/>
      <c r="D1705" s="38"/>
      <c r="E1705" s="38"/>
      <c r="F1705" s="38"/>
      <c r="G1705" s="38"/>
      <c r="H1705" s="17"/>
      <c r="J1705" s="38"/>
      <c r="K1705" s="9">
        <f>(J1770+$B$1579)*EXP(10*$K$22)</f>
        <v>0.59193086588191968</v>
      </c>
      <c r="L1705" s="87"/>
      <c r="M1705" s="87"/>
      <c r="N1705" s="87"/>
      <c r="O1705" s="87"/>
      <c r="P1705" s="87"/>
      <c r="Q1705" s="87"/>
      <c r="R1705" s="87"/>
      <c r="S1705" s="87"/>
      <c r="T1705" s="87"/>
      <c r="U1705" s="88">
        <f t="shared" si="62"/>
        <v>76.483926148228946</v>
      </c>
    </row>
    <row r="1706" spans="1:21" x14ac:dyDescent="0.35">
      <c r="A1706" s="30"/>
      <c r="B1706" s="4"/>
      <c r="C1706" s="4"/>
      <c r="D1706" s="4"/>
      <c r="E1706" s="4"/>
      <c r="F1706" s="4"/>
      <c r="G1706" s="4"/>
      <c r="H1706" s="19"/>
      <c r="I1706" s="16"/>
      <c r="J1706" s="4"/>
      <c r="K1706" s="8">
        <f>J1770*EXP(10*K$22)</f>
        <v>0.58933235811430806</v>
      </c>
      <c r="L1706" s="87"/>
      <c r="M1706" s="87"/>
      <c r="N1706" s="87"/>
      <c r="O1706" s="87"/>
      <c r="P1706" s="87"/>
      <c r="Q1706" s="87"/>
      <c r="R1706" s="87"/>
      <c r="S1706" s="87"/>
      <c r="T1706" s="87"/>
      <c r="U1706" s="88">
        <f t="shared" si="62"/>
        <v>76.61543692535902</v>
      </c>
    </row>
    <row r="1707" spans="1:21" x14ac:dyDescent="0.35">
      <c r="A1707" s="30"/>
      <c r="B1707" s="4"/>
      <c r="C1707" s="4"/>
      <c r="D1707" s="4"/>
      <c r="E1707" s="4"/>
      <c r="F1707" s="4"/>
      <c r="G1707" s="4"/>
      <c r="H1707" s="15"/>
      <c r="J1707" s="9">
        <f>(I1771+$B$1579)*EXP(10*$J$22)</f>
        <v>0.39554438492018151</v>
      </c>
      <c r="K1707" s="9">
        <f>(J1771+$B$1579)*EXP(10*$K$22)</f>
        <v>0.59258170313383496</v>
      </c>
      <c r="L1707" s="87"/>
      <c r="M1707" s="87"/>
      <c r="N1707" s="87"/>
      <c r="O1707" s="87"/>
      <c r="P1707" s="87"/>
      <c r="Q1707" s="87"/>
      <c r="R1707" s="87"/>
      <c r="S1707" s="87"/>
      <c r="T1707" s="88">
        <f>MIN($B$8,AVERAGE(U1579:U1580)/(1+J1707+$D$8/10000))+$B$7</f>
        <v>70.20070373515648</v>
      </c>
      <c r="U1707" s="88">
        <f t="shared" ref="U1707:U1770" si="63">MIN($B$8,((100+$B$7)/(1+K1707+$D$8/10000)))+$B$7</f>
        <v>76.451061761918098</v>
      </c>
    </row>
    <row r="1708" spans="1:21" x14ac:dyDescent="0.35">
      <c r="A1708" s="30"/>
      <c r="B1708" s="4"/>
      <c r="C1708" s="4"/>
      <c r="D1708" s="4"/>
      <c r="E1708" s="4"/>
      <c r="F1708" s="4"/>
      <c r="G1708" s="4"/>
      <c r="H1708" s="17"/>
      <c r="I1708" s="16"/>
      <c r="J1708" s="8">
        <f>I1771*EXP(10*J$22)</f>
        <v>0.39289868051733812</v>
      </c>
      <c r="K1708" s="8">
        <f>J1771*EXP(10*K$22)</f>
        <v>0.58998319536622346</v>
      </c>
      <c r="L1708" s="87"/>
      <c r="M1708" s="87"/>
      <c r="N1708" s="87"/>
      <c r="O1708" s="87"/>
      <c r="P1708" s="87"/>
      <c r="Q1708" s="87"/>
      <c r="R1708" s="87"/>
      <c r="S1708" s="87"/>
      <c r="T1708" s="88">
        <f>MIN($B$8,AVERAGE(U1581:U1582)/(1+J1708+$D$8/10000))+$B$7</f>
        <v>70.497728859813961</v>
      </c>
      <c r="U1708" s="88">
        <f t="shared" si="63"/>
        <v>76.582453203392276</v>
      </c>
    </row>
    <row r="1709" spans="1:21" x14ac:dyDescent="0.35">
      <c r="A1709" s="30"/>
      <c r="B1709" s="4"/>
      <c r="C1709" s="4"/>
      <c r="D1709" s="39"/>
      <c r="E1709" s="4"/>
      <c r="F1709" s="4"/>
      <c r="G1709" s="4"/>
      <c r="H1709" s="17"/>
      <c r="J1709" s="9">
        <f>(I1772+$B$1579)*EXP(10*$J$22)</f>
        <v>0.39223772912548394</v>
      </c>
      <c r="K1709" s="9">
        <f>(J1772+$B$1579)*EXP(10*$K$22)</f>
        <v>0.58930794911402895</v>
      </c>
      <c r="L1709" s="87"/>
      <c r="M1709" s="87"/>
      <c r="N1709" s="87"/>
      <c r="O1709" s="87"/>
      <c r="P1709" s="87"/>
      <c r="Q1709" s="87"/>
      <c r="R1709" s="87"/>
      <c r="S1709" s="87"/>
      <c r="T1709" s="88">
        <f>MIN($B$8,AVERAGE(U1583:U1584)/(1+J1709+$D$8/10000))+$B$7</f>
        <v>70.572249962432764</v>
      </c>
      <c r="U1709" s="88">
        <f t="shared" si="63"/>
        <v>76.616674530100312</v>
      </c>
    </row>
    <row r="1710" spans="1:21" x14ac:dyDescent="0.35">
      <c r="A1710" s="30"/>
      <c r="B1710" s="4"/>
      <c r="C1710" s="4"/>
      <c r="D1710" s="4"/>
      <c r="E1710" s="4"/>
      <c r="F1710" s="4"/>
      <c r="G1710" s="4"/>
      <c r="H1710" s="17"/>
      <c r="J1710" s="8">
        <f>I1772*EXP(10*J$22)</f>
        <v>0.3895920247226406</v>
      </c>
      <c r="K1710" s="8">
        <f>J1772*EXP(10*K$22)</f>
        <v>0.58670944134641745</v>
      </c>
      <c r="L1710" s="87"/>
      <c r="M1710" s="87"/>
      <c r="N1710" s="87"/>
      <c r="O1710" s="87"/>
      <c r="P1710" s="87"/>
      <c r="Q1710" s="87"/>
      <c r="R1710" s="87"/>
      <c r="S1710" s="87"/>
      <c r="T1710" s="88">
        <f>MIN($B$8,AVERAGE(U1585:U1586)/(1+J1710+$D$8/10000))+$B$7</f>
        <v>70.871830650645478</v>
      </c>
      <c r="U1710" s="88">
        <f t="shared" si="63"/>
        <v>76.748667889382844</v>
      </c>
    </row>
    <row r="1711" spans="1:21" x14ac:dyDescent="0.35">
      <c r="A1711" s="30"/>
      <c r="B1711" s="4"/>
      <c r="C1711" s="4"/>
      <c r="D1711" s="4"/>
      <c r="E1711" s="4"/>
      <c r="F1711" s="4"/>
      <c r="G1711" s="4"/>
      <c r="H1711" s="17"/>
      <c r="J1711" s="9">
        <f>(I1773+$B$1579)*EXP(10*$J$22)</f>
        <v>0.46324176245749188</v>
      </c>
      <c r="K1711" s="9">
        <f>(J1773+$B$1579)*EXP(10*$K$22)</f>
        <v>0.58849009800653052</v>
      </c>
      <c r="L1711" s="87"/>
      <c r="M1711" s="87"/>
      <c r="N1711" s="87"/>
      <c r="O1711" s="87"/>
      <c r="P1711" s="87"/>
      <c r="Q1711" s="87"/>
      <c r="R1711" s="87"/>
      <c r="S1711" s="87"/>
      <c r="T1711" s="88">
        <f>MIN($B$8,AVERAGE(U1587:U1588)/(1+J1711+$D$8/10000))+$B$7</f>
        <v>63.240726250402894</v>
      </c>
      <c r="U1711" s="88">
        <f t="shared" si="63"/>
        <v>76.658166274749334</v>
      </c>
    </row>
    <row r="1712" spans="1:21" x14ac:dyDescent="0.35">
      <c r="A1712" s="30"/>
      <c r="B1712" s="4"/>
      <c r="C1712" s="4"/>
      <c r="D1712" s="4"/>
      <c r="E1712" s="4"/>
      <c r="F1712" s="4"/>
      <c r="G1712" s="4"/>
      <c r="H1712" s="15"/>
      <c r="I1712" s="16"/>
      <c r="J1712" s="8">
        <f>I1773*EXP(10*J$22)</f>
        <v>0.46059605805464848</v>
      </c>
      <c r="K1712" s="8">
        <f>J1773*EXP(10*K$22)</f>
        <v>0.58589159023891901</v>
      </c>
      <c r="L1712" s="87"/>
      <c r="M1712" s="87"/>
      <c r="N1712" s="87"/>
      <c r="O1712" s="87"/>
      <c r="P1712" s="87"/>
      <c r="Q1712" s="87"/>
      <c r="R1712" s="87"/>
      <c r="S1712" s="87"/>
      <c r="T1712" s="88">
        <f>MIN($B$8,AVERAGE(U1589:U1590)/(1+J1712+$D$8/10000))+$B$7</f>
        <v>63.491290712590768</v>
      </c>
      <c r="U1712" s="88">
        <f t="shared" si="63"/>
        <v>76.790310651204592</v>
      </c>
    </row>
    <row r="1713" spans="1:21" x14ac:dyDescent="0.35">
      <c r="A1713" s="30"/>
      <c r="B1713" s="4"/>
      <c r="C1713" s="4"/>
      <c r="D1713" s="4"/>
      <c r="E1713" s="4"/>
      <c r="F1713" s="4"/>
      <c r="G1713" s="4"/>
      <c r="I1713" s="16"/>
      <c r="J1713" s="9">
        <f>(I1774+$B$1579)*EXP(10*$J$22)</f>
        <v>0.45993510666279436</v>
      </c>
      <c r="K1713" s="9">
        <f>(J1774+$B$1579)*EXP(10*$K$22)</f>
        <v>0.58521634398672451</v>
      </c>
      <c r="L1713" s="87"/>
      <c r="M1713" s="87"/>
      <c r="N1713" s="87"/>
      <c r="O1713" s="87"/>
      <c r="P1713" s="87"/>
      <c r="Q1713" s="87"/>
      <c r="R1713" s="87"/>
      <c r="S1713" s="87"/>
      <c r="T1713" s="88">
        <f>MIN($B$8,AVERAGE(U1591:U1592)/(1+J1713+$D$8/10000))+$B$7</f>
        <v>63.55414004926579</v>
      </c>
      <c r="U1713" s="88">
        <f t="shared" si="63"/>
        <v>76.824728307160953</v>
      </c>
    </row>
    <row r="1714" spans="1:21" x14ac:dyDescent="0.35">
      <c r="A1714" s="30"/>
      <c r="B1714" s="4"/>
      <c r="C1714" s="4"/>
      <c r="D1714" s="4"/>
      <c r="E1714" s="4"/>
      <c r="F1714" s="4"/>
      <c r="G1714" s="4"/>
      <c r="J1714" s="8">
        <f>I1774*EXP(10*J$22)</f>
        <v>0.45728940225995102</v>
      </c>
      <c r="K1714" s="8">
        <f>J1774*EXP(10*K$22)</f>
        <v>0.58261783621911289</v>
      </c>
      <c r="L1714" s="87"/>
      <c r="M1714" s="87"/>
      <c r="N1714" s="87"/>
      <c r="O1714" s="87"/>
      <c r="P1714" s="87"/>
      <c r="Q1714" s="87"/>
      <c r="R1714" s="87"/>
      <c r="S1714" s="87"/>
      <c r="T1714" s="88">
        <f>MIN($B$8,AVERAGE(U1593:U1594)/(1+J1714+$D$8/10000))+$B$7</f>
        <v>63.806738013522512</v>
      </c>
      <c r="U1714" s="88">
        <f t="shared" si="63"/>
        <v>76.957479788704461</v>
      </c>
    </row>
    <row r="1715" spans="1:21" x14ac:dyDescent="0.35">
      <c r="A1715" s="30"/>
      <c r="B1715" s="4"/>
      <c r="C1715" s="4"/>
      <c r="D1715" s="4"/>
      <c r="E1715" s="4"/>
      <c r="F1715" s="4"/>
      <c r="G1715" s="4"/>
      <c r="J1715" s="9">
        <f>(I1775+$B$1579)*EXP(10*$J$22)</f>
        <v>0.464275069697069</v>
      </c>
      <c r="K1715" s="9">
        <f>(J1775+$B$1579)*EXP(10*$K$22)</f>
        <v>0.59752601275942352</v>
      </c>
      <c r="L1715" s="87"/>
      <c r="M1715" s="87"/>
      <c r="N1715" s="87"/>
      <c r="O1715" s="87"/>
      <c r="P1715" s="87"/>
      <c r="Q1715" s="87"/>
      <c r="R1715" s="87"/>
      <c r="S1715" s="87"/>
      <c r="T1715" s="88">
        <f>MIN($B$8,AVERAGE(U1595:U1596)/(1+J1715+$D$8/10000))+$B$7</f>
        <v>63.143304007343311</v>
      </c>
      <c r="U1715" s="88">
        <f t="shared" si="63"/>
        <v>76.202365931826691</v>
      </c>
    </row>
    <row r="1716" spans="1:21" x14ac:dyDescent="0.35">
      <c r="A1716" s="30"/>
      <c r="B1716" s="4"/>
      <c r="C1716" s="4"/>
      <c r="D1716" s="4"/>
      <c r="E1716" s="4"/>
      <c r="F1716" s="4"/>
      <c r="G1716" s="4"/>
      <c r="J1716" s="8">
        <f>I1775*EXP(10*J$22)</f>
        <v>0.4616293652942256</v>
      </c>
      <c r="K1716" s="8">
        <f>J1775*EXP(10*K$22)</f>
        <v>0.59492750499181202</v>
      </c>
      <c r="L1716" s="87"/>
      <c r="M1716" s="87"/>
      <c r="N1716" s="87"/>
      <c r="O1716" s="87"/>
      <c r="P1716" s="87"/>
      <c r="Q1716" s="87"/>
      <c r="R1716" s="87"/>
      <c r="S1716" s="87"/>
      <c r="T1716" s="88">
        <f>MIN($B$8,AVERAGE(U1597:U1598)/(1+J1716+$D$8/10000))+$B$7</f>
        <v>63.39323751945269</v>
      </c>
      <c r="U1716" s="88">
        <f t="shared" si="63"/>
        <v>76.332856079474311</v>
      </c>
    </row>
    <row r="1717" spans="1:21" x14ac:dyDescent="0.35">
      <c r="A1717" s="30"/>
      <c r="B1717" s="4"/>
      <c r="C1717" s="4"/>
      <c r="D1717" s="4"/>
      <c r="E1717" s="4"/>
      <c r="F1717" s="4"/>
      <c r="G1717" s="4"/>
      <c r="J1717" s="9">
        <f>(I1776+$B$1579)*EXP(10*$J$22)</f>
        <v>0.46096841390237148</v>
      </c>
      <c r="K1717" s="9">
        <f>(J1776+$B$1579)*EXP(10*$K$22)</f>
        <v>0.59425225873961762</v>
      </c>
      <c r="L1717" s="87"/>
      <c r="M1717" s="87"/>
      <c r="N1717" s="87"/>
      <c r="O1717" s="87"/>
      <c r="P1717" s="87"/>
      <c r="Q1717" s="87"/>
      <c r="R1717" s="87"/>
      <c r="S1717" s="87"/>
      <c r="T1717" s="88">
        <f>MIN($B$8,AVERAGE(U1599:U1600)/(1+J1717+$D$8/10000))+$B$7</f>
        <v>63.455928376429682</v>
      </c>
      <c r="U1717" s="88">
        <f t="shared" si="63"/>
        <v>76.366842394612888</v>
      </c>
    </row>
    <row r="1718" spans="1:21" x14ac:dyDescent="0.35">
      <c r="A1718" s="30"/>
      <c r="B1718" s="4"/>
      <c r="C1718" s="4"/>
      <c r="D1718" s="4"/>
      <c r="E1718" s="4"/>
      <c r="F1718" s="4"/>
      <c r="G1718" s="4"/>
      <c r="J1718" s="8">
        <f>I1776*EXP(10*J$22)</f>
        <v>0.45832270949952814</v>
      </c>
      <c r="K1718" s="8">
        <f>J1776*EXP(10*K$22)</f>
        <v>0.59165375097200601</v>
      </c>
      <c r="L1718" s="87"/>
      <c r="M1718" s="87"/>
      <c r="N1718" s="87"/>
      <c r="O1718" s="87"/>
      <c r="P1718" s="87"/>
      <c r="Q1718" s="87"/>
      <c r="R1718" s="87"/>
      <c r="S1718" s="87"/>
      <c r="T1718" s="88">
        <f>MIN($B$8,AVERAGE(U1601:U1602)/(1+J1718+$D$8/10000))+$B$7</f>
        <v>63.707888514550433</v>
      </c>
      <c r="U1718" s="88">
        <f t="shared" si="63"/>
        <v>76.497928270292903</v>
      </c>
    </row>
    <row r="1719" spans="1:21" x14ac:dyDescent="0.35">
      <c r="A1719" s="30"/>
      <c r="B1719" s="4"/>
      <c r="C1719" s="4"/>
      <c r="D1719" s="4"/>
      <c r="E1719" s="4"/>
      <c r="F1719" s="4"/>
      <c r="G1719" s="4"/>
      <c r="H1719" s="17"/>
      <c r="J1719" s="9">
        <f>(I1777+$B$1579)*EXP(10*$J$22)</f>
        <v>0.46827084386528711</v>
      </c>
      <c r="K1719" s="9">
        <f>(J1777+$B$1579)*EXP(10*$K$22)</f>
        <v>0.59343440763211919</v>
      </c>
      <c r="L1719" s="87"/>
      <c r="M1719" s="87"/>
      <c r="N1719" s="87"/>
      <c r="O1719" s="87"/>
      <c r="P1719" s="87"/>
      <c r="Q1719" s="87"/>
      <c r="R1719" s="87"/>
      <c r="S1719" s="87"/>
      <c r="T1719" s="88">
        <f>MIN($B$8,AVERAGE(U1603:U1604)/(1+J1719+$D$8/10000))+$B$7</f>
        <v>62.768872125802652</v>
      </c>
      <c r="U1719" s="88">
        <f t="shared" si="63"/>
        <v>76.408049051004184</v>
      </c>
    </row>
    <row r="1720" spans="1:21" x14ac:dyDescent="0.35">
      <c r="A1720" s="30"/>
      <c r="B1720" s="4"/>
      <c r="C1720" s="4"/>
      <c r="D1720" s="4"/>
      <c r="E1720" s="4"/>
      <c r="F1720" s="4"/>
      <c r="G1720" s="4"/>
      <c r="H1720" s="17"/>
      <c r="J1720" s="8">
        <f>I1777*EXP(10*J$22)</f>
        <v>0.46562513946244377</v>
      </c>
      <c r="K1720" s="8">
        <f>J1777*EXP(10*K$22)</f>
        <v>0.59083589986450769</v>
      </c>
      <c r="L1720" s="87"/>
      <c r="M1720" s="87"/>
      <c r="N1720" s="87"/>
      <c r="O1720" s="87"/>
      <c r="P1720" s="87"/>
      <c r="Q1720" s="87"/>
      <c r="R1720" s="87"/>
      <c r="S1720" s="87"/>
      <c r="T1720" s="88">
        <f>MIN($B$8,AVERAGE(U1605:U1606)/(1+J1720+$D$8/10000))+$B$7</f>
        <v>63.016385728760696</v>
      </c>
      <c r="U1720" s="88">
        <f t="shared" si="63"/>
        <v>76.539284388680073</v>
      </c>
    </row>
    <row r="1721" spans="1:21" x14ac:dyDescent="0.35">
      <c r="A1721" s="30"/>
      <c r="B1721" s="4"/>
      <c r="C1721" s="4"/>
      <c r="D1721" s="4"/>
      <c r="E1721" s="4"/>
      <c r="F1721" s="4"/>
      <c r="G1721" s="4"/>
      <c r="H1721" s="17"/>
      <c r="J1721" s="9">
        <f>(I1778+$B$1579)*EXP(10*$J$22)</f>
        <v>0.46496418807058959</v>
      </c>
      <c r="K1721" s="9">
        <f>(J1778+$B$1579)*EXP(10*$K$22)</f>
        <v>0.59016065361231318</v>
      </c>
      <c r="L1721" s="87"/>
      <c r="M1721" s="87"/>
      <c r="N1721" s="87"/>
      <c r="O1721" s="87"/>
      <c r="P1721" s="87"/>
      <c r="Q1721" s="87"/>
      <c r="R1721" s="87"/>
      <c r="S1721" s="87"/>
      <c r="T1721" s="88">
        <f>MIN($B$8,AVERAGE(U1607:U1608)/(1+J1721+$D$8/10000))+$B$7</f>
        <v>63.078468768795723</v>
      </c>
      <c r="U1721" s="88">
        <f t="shared" si="63"/>
        <v>76.573465011262613</v>
      </c>
    </row>
    <row r="1722" spans="1:21" x14ac:dyDescent="0.35">
      <c r="A1722" s="30"/>
      <c r="B1722" s="4"/>
      <c r="C1722" s="4"/>
      <c r="D1722" s="4"/>
      <c r="E1722" s="4"/>
      <c r="F1722" s="4"/>
      <c r="G1722" s="4"/>
      <c r="H1722" s="17"/>
      <c r="J1722" s="8">
        <f>I1778*EXP(10*J$22)</f>
        <v>0.46231848366774619</v>
      </c>
      <c r="K1722" s="8">
        <f>J1778*EXP(10*K$22)</f>
        <v>0.58756214584470168</v>
      </c>
      <c r="L1722" s="87"/>
      <c r="M1722" s="87"/>
      <c r="N1722" s="87"/>
      <c r="O1722" s="87"/>
      <c r="P1722" s="87"/>
      <c r="Q1722" s="87"/>
      <c r="R1722" s="87"/>
      <c r="S1722" s="87"/>
      <c r="T1722" s="88">
        <f>MIN($B$8,AVERAGE(U1609:U1610)/(1+J1722+$D$8/10000))+$B$7</f>
        <v>63.327982681053285</v>
      </c>
      <c r="U1722" s="88">
        <f t="shared" si="63"/>
        <v>76.70530119314796</v>
      </c>
    </row>
    <row r="1723" spans="1:21" x14ac:dyDescent="0.35">
      <c r="A1723" s="30"/>
      <c r="B1723" s="4"/>
      <c r="C1723" s="4"/>
      <c r="D1723" s="4"/>
      <c r="E1723" s="4"/>
      <c r="F1723" s="4"/>
      <c r="G1723" s="4"/>
      <c r="H1723" s="17"/>
      <c r="J1723" s="9">
        <f>(I1779+$B$1579)*EXP(10*$J$22)</f>
        <v>0.46540697746253906</v>
      </c>
      <c r="K1723" s="9">
        <f>(J1779+$B$1579)*EXP(10*$K$22)</f>
        <v>0.59880461127769535</v>
      </c>
      <c r="L1723" s="87"/>
      <c r="M1723" s="87"/>
      <c r="N1723" s="87"/>
      <c r="O1723" s="87"/>
      <c r="P1723" s="87"/>
      <c r="Q1723" s="87"/>
      <c r="R1723" s="87"/>
      <c r="S1723" s="87"/>
      <c r="T1723" s="88">
        <f>MIN($B$8,AVERAGE(U1611:U1612)/(1+J1723+$D$8/10000))+$B$7</f>
        <v>63.036866602211724</v>
      </c>
      <c r="U1723" s="88">
        <f t="shared" si="63"/>
        <v>76.138330790072786</v>
      </c>
    </row>
    <row r="1724" spans="1:21" x14ac:dyDescent="0.35">
      <c r="A1724" s="30"/>
      <c r="B1724" s="4"/>
      <c r="C1724" s="4"/>
      <c r="D1724" s="4"/>
      <c r="E1724" s="4"/>
      <c r="F1724" s="4"/>
      <c r="G1724" s="4"/>
      <c r="H1724" s="17"/>
      <c r="J1724" s="8">
        <f>I1779*EXP(10*J$22)</f>
        <v>0.46276127305969567</v>
      </c>
      <c r="K1724" s="8">
        <f>J1779*EXP(10*K$22)</f>
        <v>0.59620610351008374</v>
      </c>
      <c r="L1724" s="87"/>
      <c r="M1724" s="87"/>
      <c r="N1724" s="87"/>
      <c r="O1724" s="87"/>
      <c r="P1724" s="87"/>
      <c r="Q1724" s="87"/>
      <c r="R1724" s="87"/>
      <c r="S1724" s="87"/>
      <c r="T1724" s="88">
        <f>MIN($B$8,AVERAGE(U1613:U1614)/(1+J1724+$D$8/10000))+$B$7</f>
        <v>63.286111401377184</v>
      </c>
      <c r="U1724" s="88">
        <f t="shared" si="63"/>
        <v>76.268589372258504</v>
      </c>
    </row>
    <row r="1725" spans="1:21" x14ac:dyDescent="0.35">
      <c r="A1725" s="30"/>
      <c r="B1725" s="4"/>
      <c r="C1725" s="4"/>
      <c r="D1725" s="4"/>
      <c r="E1725" s="4"/>
      <c r="F1725" s="4"/>
      <c r="G1725" s="4"/>
      <c r="H1725" s="17"/>
      <c r="J1725" s="9">
        <f>(I1780+$B$1579)*EXP(10*$J$22)</f>
        <v>0.4621003216678416</v>
      </c>
      <c r="K1725" s="9">
        <f>(J1780+$B$1579)*EXP(10*$K$22)</f>
        <v>0.59553085725788935</v>
      </c>
      <c r="L1725" s="87"/>
      <c r="M1725" s="87"/>
      <c r="N1725" s="87"/>
      <c r="O1725" s="87"/>
      <c r="P1725" s="87"/>
      <c r="Q1725" s="87"/>
      <c r="R1725" s="87"/>
      <c r="S1725" s="87"/>
      <c r="T1725" s="88">
        <f>MIN($B$8,AVERAGE(U1615:U1616)/(1+J1725+$D$8/10000))+$B$7</f>
        <v>63.348629270836518</v>
      </c>
      <c r="U1725" s="88">
        <f t="shared" si="63"/>
        <v>76.302515307354241</v>
      </c>
    </row>
    <row r="1726" spans="1:21" x14ac:dyDescent="0.35">
      <c r="A1726" s="30"/>
      <c r="B1726" s="4"/>
      <c r="C1726" s="4"/>
      <c r="D1726" s="4"/>
      <c r="E1726" s="4"/>
      <c r="F1726" s="4"/>
      <c r="G1726" s="4"/>
      <c r="H1726" s="17"/>
      <c r="J1726" s="8">
        <f>I1780*EXP(10*J$22)</f>
        <v>0.4594546172649982</v>
      </c>
      <c r="K1726" s="8">
        <f>J1780*EXP(10*K$22)</f>
        <v>0.59293234949027773</v>
      </c>
      <c r="L1726" s="87"/>
      <c r="M1726" s="87"/>
      <c r="N1726" s="87"/>
      <c r="O1726" s="87"/>
      <c r="P1726" s="87"/>
      <c r="Q1726" s="87"/>
      <c r="R1726" s="87"/>
      <c r="S1726" s="87"/>
      <c r="T1726" s="88">
        <f>MIN($B$8,AVERAGE(U1617:U1618)/(1+J1726+$D$8/10000))+$B$7</f>
        <v>63.599893197259227</v>
      </c>
      <c r="U1726" s="88">
        <f t="shared" si="63"/>
        <v>76.433368030718782</v>
      </c>
    </row>
    <row r="1727" spans="1:21" x14ac:dyDescent="0.35">
      <c r="A1727" s="30"/>
      <c r="B1727" s="4"/>
      <c r="C1727" s="4"/>
      <c r="D1727" s="4"/>
      <c r="E1727" s="4"/>
      <c r="F1727" s="4"/>
      <c r="G1727" s="4"/>
      <c r="H1727" s="17"/>
      <c r="J1727" s="9">
        <f>(I1781+$B$1579)*EXP(10*$J$22)</f>
        <v>0.46940275163075718</v>
      </c>
      <c r="K1727" s="9">
        <f>(J1781+$B$1579)*EXP(10*$K$22)</f>
        <v>0.59471300615039091</v>
      </c>
      <c r="L1727" s="87"/>
      <c r="M1727" s="87"/>
      <c r="N1727" s="87"/>
      <c r="O1727" s="87"/>
      <c r="P1727" s="87"/>
      <c r="Q1727" s="87"/>
      <c r="R1727" s="87"/>
      <c r="S1727" s="87"/>
      <c r="T1727" s="88">
        <f>MIN($B$8,AVERAGE(U1619:U1620)/(1+J1727+$D$8/10000))+$B$7</f>
        <v>62.663463660347887</v>
      </c>
      <c r="U1727" s="88">
        <f t="shared" si="63"/>
        <v>76.343648718062383</v>
      </c>
    </row>
    <row r="1728" spans="1:21" x14ac:dyDescent="0.35">
      <c r="A1728" s="30"/>
      <c r="B1728" s="4"/>
      <c r="C1728" s="4"/>
      <c r="D1728" s="4"/>
      <c r="E1728" s="4"/>
      <c r="F1728" s="4"/>
      <c r="G1728" s="4"/>
      <c r="H1728" s="17"/>
      <c r="J1728" s="8">
        <f>I1781*EXP(10*J$22)</f>
        <v>0.46675704722791383</v>
      </c>
      <c r="K1728" s="8">
        <f>J1781*EXP(10*K$22)</f>
        <v>0.59211449838277941</v>
      </c>
      <c r="L1728" s="87"/>
      <c r="M1728" s="87"/>
      <c r="N1728" s="87"/>
      <c r="O1728" s="87"/>
      <c r="P1728" s="87"/>
      <c r="Q1728" s="87"/>
      <c r="R1728" s="87"/>
      <c r="S1728" s="87"/>
      <c r="T1728" s="88">
        <f>MIN($B$8,AVERAGE(U1621:U1622)/(1+J1728+$D$8/10000))+$B$7</f>
        <v>62.910297477242821</v>
      </c>
      <c r="U1728" s="88">
        <f t="shared" si="63"/>
        <v>76.474650504731926</v>
      </c>
    </row>
    <row r="1729" spans="1:21" x14ac:dyDescent="0.35">
      <c r="A1729" s="30"/>
      <c r="B1729" s="4"/>
      <c r="C1729" s="4"/>
      <c r="D1729" s="4"/>
      <c r="E1729" s="4"/>
      <c r="F1729" s="4"/>
      <c r="G1729" s="4"/>
      <c r="H1729" s="17"/>
      <c r="J1729" s="9">
        <f>(I1782+$B$1579)*EXP(10*$J$22)</f>
        <v>0.46609609583605971</v>
      </c>
      <c r="K1729" s="9">
        <f>(J1782+$B$1579)*EXP(10*$K$22)</f>
        <v>0.5914392521305849</v>
      </c>
      <c r="L1729" s="87"/>
      <c r="M1729" s="87"/>
      <c r="N1729" s="87"/>
      <c r="O1729" s="87"/>
      <c r="P1729" s="87"/>
      <c r="Q1729" s="87"/>
      <c r="R1729" s="87"/>
      <c r="S1729" s="87"/>
      <c r="T1729" s="88">
        <f>MIN($B$8,AVERAGE(U1623:U1624)/(1+J1729+$D$8/10000))+$B$7</f>
        <v>62.972209775026322</v>
      </c>
      <c r="U1729" s="88">
        <f t="shared" si="63"/>
        <v>76.50877022895439</v>
      </c>
    </row>
    <row r="1730" spans="1:21" x14ac:dyDescent="0.35">
      <c r="A1730" s="30"/>
      <c r="B1730" s="4"/>
      <c r="C1730" s="4"/>
      <c r="D1730" s="4"/>
      <c r="E1730" s="4"/>
      <c r="F1730" s="4"/>
      <c r="G1730" s="4"/>
      <c r="H1730" s="17"/>
      <c r="J1730" s="8">
        <f>I1782*EXP(10*J$22)</f>
        <v>0.46345039143321637</v>
      </c>
      <c r="K1730" s="8">
        <f>J1782*EXP(10*K$22)</f>
        <v>0.5888407443629734</v>
      </c>
      <c r="L1730" s="87"/>
      <c r="M1730" s="87"/>
      <c r="N1730" s="87"/>
      <c r="O1730" s="87"/>
      <c r="P1730" s="87"/>
      <c r="Q1730" s="87"/>
      <c r="R1730" s="87"/>
      <c r="S1730" s="87"/>
      <c r="T1730" s="88">
        <f>MIN($B$8,AVERAGE(U1625:U1626)/(1+J1730+$D$8/10000))+$B$7</f>
        <v>63.22103652433124</v>
      </c>
      <c r="U1730" s="88">
        <f t="shared" si="63"/>
        <v>76.640371254791319</v>
      </c>
    </row>
    <row r="1731" spans="1:21" x14ac:dyDescent="0.35">
      <c r="A1731" s="30"/>
      <c r="B1731" s="4"/>
      <c r="C1731" s="4"/>
      <c r="D1731" s="4"/>
      <c r="E1731" s="4"/>
      <c r="F1731" s="4"/>
      <c r="G1731" s="4"/>
      <c r="H1731" s="17"/>
      <c r="J1731" s="9">
        <f>(I1783+$B$1579)*EXP(10*$J$22)</f>
        <v>0.47043605887033429</v>
      </c>
      <c r="K1731" s="9">
        <f>(J1783+$B$1579)*EXP(10*$K$22)</f>
        <v>0.60374892090328414</v>
      </c>
      <c r="L1731" s="87"/>
      <c r="M1731" s="87"/>
      <c r="N1731" s="87"/>
      <c r="O1731" s="87"/>
      <c r="P1731" s="87"/>
      <c r="Q1731" s="87"/>
      <c r="R1731" s="87"/>
      <c r="S1731" s="87"/>
      <c r="T1731" s="88">
        <f>MIN($B$8,AVERAGE(U1627:U1628)/(1+J1731+$D$8/10000))+$B$7</f>
        <v>62.567489732576831</v>
      </c>
      <c r="U1731" s="88">
        <f t="shared" si="63"/>
        <v>75.891773636598984</v>
      </c>
    </row>
    <row r="1732" spans="1:21" x14ac:dyDescent="0.35">
      <c r="A1732" s="30"/>
      <c r="B1732" s="4"/>
      <c r="C1732" s="4"/>
      <c r="D1732" s="4"/>
      <c r="E1732" s="4"/>
      <c r="F1732" s="4"/>
      <c r="G1732" s="4"/>
      <c r="H1732" s="17"/>
      <c r="J1732" s="8">
        <f>I1783*EXP(10*J$22)</f>
        <v>0.46779035446749095</v>
      </c>
      <c r="K1732" s="8">
        <f>J1783*EXP(10*K$22)</f>
        <v>0.60115041313567252</v>
      </c>
      <c r="L1732" s="87"/>
      <c r="M1732" s="87"/>
      <c r="N1732" s="87"/>
      <c r="O1732" s="87"/>
      <c r="P1732" s="87"/>
      <c r="Q1732" s="87"/>
      <c r="R1732" s="87"/>
      <c r="S1732" s="87"/>
      <c r="T1732" s="88">
        <f>MIN($B$8,AVERAGE(U1629:U1630)/(1+J1732+$D$8/10000))+$B$7</f>
        <v>62.813705164773253</v>
      </c>
      <c r="U1732" s="88">
        <f t="shared" si="63"/>
        <v>76.021142536458527</v>
      </c>
    </row>
    <row r="1733" spans="1:21" x14ac:dyDescent="0.35">
      <c r="A1733" s="30"/>
      <c r="B1733" s="4"/>
      <c r="C1733" s="4"/>
      <c r="D1733" s="4"/>
      <c r="E1733" s="4"/>
      <c r="F1733" s="4"/>
      <c r="G1733" s="4"/>
      <c r="H1733" s="17"/>
      <c r="J1733" s="9">
        <f>(I1784+$B$1579)*EXP(10*$J$22)</f>
        <v>0.46712940307563677</v>
      </c>
      <c r="K1733" s="9">
        <f>(J1784+$B$1579)*EXP(10*$K$22)</f>
        <v>0.60047516688347813</v>
      </c>
      <c r="L1733" s="87"/>
      <c r="M1733" s="87"/>
      <c r="N1733" s="87"/>
      <c r="O1733" s="87"/>
      <c r="P1733" s="87"/>
      <c r="Q1733" s="87"/>
      <c r="R1733" s="87"/>
      <c r="S1733" s="87"/>
      <c r="T1733" s="88">
        <f>MIN($B$8,AVERAGE(U1631:U1632)/(1+J1733+$D$8/10000))+$B$7</f>
        <v>62.875462143271008</v>
      </c>
      <c r="U1733" s="88">
        <f t="shared" si="63"/>
        <v>76.05483649109415</v>
      </c>
    </row>
    <row r="1734" spans="1:21" x14ac:dyDescent="0.35">
      <c r="A1734" s="30"/>
      <c r="B1734" s="4"/>
      <c r="C1734" s="4"/>
      <c r="D1734" s="4"/>
      <c r="E1734" s="4"/>
      <c r="F1734" s="4"/>
      <c r="G1734" s="4"/>
      <c r="H1734" s="17"/>
      <c r="J1734" s="8">
        <f>I1784*EXP(10*J$22)</f>
        <v>0.46448369867279338</v>
      </c>
      <c r="K1734" s="8">
        <f>J1784*EXP(10*K$22)</f>
        <v>0.59787665911586663</v>
      </c>
      <c r="L1734" s="87"/>
      <c r="M1734" s="87"/>
      <c r="N1734" s="87"/>
      <c r="O1734" s="87"/>
      <c r="P1734" s="87"/>
      <c r="Q1734" s="87"/>
      <c r="R1734" s="87"/>
      <c r="S1734" s="87"/>
      <c r="T1734" s="88">
        <f>MIN($B$8,AVERAGE(U1633:U1634)/(1+J1734+$D$8/10000))+$B$7</f>
        <v>63.123663803356571</v>
      </c>
      <c r="U1734" s="88">
        <f t="shared" si="63"/>
        <v>76.184793448572691</v>
      </c>
    </row>
    <row r="1735" spans="1:21" x14ac:dyDescent="0.35">
      <c r="A1735" s="30"/>
      <c r="B1735" s="4"/>
      <c r="C1735" s="4"/>
      <c r="D1735" s="4"/>
      <c r="E1735" s="4"/>
      <c r="F1735" s="4"/>
      <c r="G1735" s="4"/>
      <c r="H1735" s="17"/>
      <c r="J1735" s="9">
        <f>(I1785+$B$1579)*EXP(10*$J$22)</f>
        <v>0.47443183303855246</v>
      </c>
      <c r="K1735" s="9">
        <f>(J1785+$B$1579)*EXP(10*$K$22)</f>
        <v>0.59965731577597969</v>
      </c>
      <c r="L1735" s="87"/>
      <c r="M1735" s="87"/>
      <c r="N1735" s="87"/>
      <c r="O1735" s="87"/>
      <c r="P1735" s="87"/>
      <c r="Q1735" s="87"/>
      <c r="R1735" s="87"/>
      <c r="S1735" s="87"/>
      <c r="T1735" s="88">
        <f>MIN($B$8,AVERAGE(U1635:U1636)/(1+J1735+$D$8/10000))+$B$7</f>
        <v>62.198612800878038</v>
      </c>
      <c r="U1735" s="88">
        <f t="shared" si="63"/>
        <v>76.09568849242568</v>
      </c>
    </row>
    <row r="1736" spans="1:21" x14ac:dyDescent="0.35">
      <c r="A1736" s="30"/>
      <c r="B1736" s="4"/>
      <c r="C1736" s="4"/>
      <c r="D1736" s="4"/>
      <c r="E1736" s="4"/>
      <c r="F1736" s="4"/>
      <c r="G1736" s="4"/>
      <c r="H1736" s="17"/>
      <c r="J1736" s="8">
        <f>I1785*EXP(10*J$22)</f>
        <v>0.47178612863570907</v>
      </c>
      <c r="K1736" s="8">
        <f>J1785*EXP(10*K$22)</f>
        <v>0.59705880800836808</v>
      </c>
      <c r="L1736" s="87"/>
      <c r="M1736" s="87"/>
      <c r="N1736" s="87"/>
      <c r="O1736" s="87"/>
      <c r="P1736" s="87"/>
      <c r="Q1736" s="87"/>
      <c r="R1736" s="87"/>
      <c r="S1736" s="87"/>
      <c r="T1736" s="88">
        <f>MIN($B$8,AVERAGE(U1637:U1638)/(1+J1736+$D$8/10000))+$B$7</f>
        <v>62.442456417301443</v>
      </c>
      <c r="U1736" s="88">
        <f t="shared" si="63"/>
        <v>76.225792984756794</v>
      </c>
    </row>
    <row r="1737" spans="1:21" x14ac:dyDescent="0.35">
      <c r="A1737" s="30"/>
      <c r="B1737" s="4"/>
      <c r="C1737" s="4"/>
      <c r="D1737" s="4"/>
      <c r="E1737" s="4"/>
      <c r="F1737" s="4"/>
      <c r="G1737" s="4"/>
      <c r="H1737" s="17"/>
      <c r="J1737" s="9">
        <f>(I1786+$B$1579)*EXP(10*$J$22)</f>
        <v>0.47112517724385494</v>
      </c>
      <c r="K1737" s="9">
        <f>(J1786+$B$1579)*EXP(10*$K$22)</f>
        <v>0.59638356175617369</v>
      </c>
      <c r="L1737" s="87"/>
      <c r="M1737" s="87"/>
      <c r="N1737" s="87"/>
      <c r="O1737" s="87"/>
      <c r="P1737" s="87"/>
      <c r="Q1737" s="87"/>
      <c r="R1737" s="87"/>
      <c r="S1737" s="87"/>
      <c r="T1737" s="88">
        <f>MIN($B$8,AVERAGE(U1639:U1640)/(1+J1737+$D$8/10000))+$B$7</f>
        <v>62.503617675010666</v>
      </c>
      <c r="U1737" s="88">
        <f t="shared" si="63"/>
        <v>76.25967874145779</v>
      </c>
    </row>
    <row r="1738" spans="1:21" x14ac:dyDescent="0.35">
      <c r="A1738" s="30"/>
      <c r="B1738" s="4"/>
      <c r="C1738" s="4"/>
      <c r="D1738" s="4"/>
      <c r="E1738" s="4"/>
      <c r="F1738" s="4"/>
      <c r="G1738" s="4"/>
      <c r="H1738" s="17"/>
      <c r="J1738" s="8">
        <f>I1786*EXP(10*J$22)</f>
        <v>0.46847947284101155</v>
      </c>
      <c r="K1738" s="8">
        <f>J1786*EXP(10*K$22)</f>
        <v>0.59378505398856207</v>
      </c>
      <c r="L1738" s="87"/>
      <c r="M1738" s="87"/>
      <c r="N1738" s="87"/>
      <c r="O1738" s="87"/>
      <c r="P1738" s="87"/>
      <c r="Q1738" s="87"/>
      <c r="R1738" s="87"/>
      <c r="S1738" s="87"/>
      <c r="T1738" s="88">
        <f>MIN($B$8,AVERAGE(U1641:U1642)/(1+J1738+$D$8/10000))+$B$7</f>
        <v>62.749421857783098</v>
      </c>
      <c r="U1738" s="88">
        <f t="shared" si="63"/>
        <v>76.39037631981769</v>
      </c>
    </row>
    <row r="1739" spans="1:21" x14ac:dyDescent="0.35">
      <c r="A1739" s="30"/>
      <c r="B1739" s="4"/>
      <c r="C1739" s="4"/>
      <c r="D1739" s="4"/>
      <c r="E1739" s="4"/>
      <c r="F1739" s="4"/>
      <c r="G1739" s="4"/>
      <c r="H1739" s="17"/>
      <c r="J1739" s="9">
        <f>(I1787+$B$1579)*EXP(10*$J$22)</f>
        <v>0.46703907751860557</v>
      </c>
      <c r="K1739" s="9">
        <f>(J1787+$B$1579)*EXP(10*$K$22)</f>
        <v>0.60020521657331138</v>
      </c>
      <c r="L1739" s="87"/>
      <c r="M1739" s="87"/>
      <c r="N1739" s="87"/>
      <c r="O1739" s="87"/>
      <c r="P1739" s="87"/>
      <c r="Q1739" s="87"/>
      <c r="R1739" s="87"/>
      <c r="S1739" s="87"/>
      <c r="T1739" s="88">
        <f>MIN($B$8,AVERAGE(U1643:U1644)/(1+J1739+$D$8/10000))+$B$7</f>
        <v>62.883909553124923</v>
      </c>
      <c r="U1739" s="88">
        <f t="shared" si="63"/>
        <v>76.06831550122223</v>
      </c>
    </row>
    <row r="1740" spans="1:21" x14ac:dyDescent="0.35">
      <c r="A1740" s="30"/>
      <c r="B1740" s="4"/>
      <c r="C1740" s="4"/>
      <c r="D1740" s="4"/>
      <c r="E1740" s="4"/>
      <c r="F1740" s="4"/>
      <c r="G1740" s="4"/>
      <c r="H1740" s="17"/>
      <c r="J1740" s="8">
        <f>I1787*EXP(10*J$22)</f>
        <v>0.46439337311576218</v>
      </c>
      <c r="K1740" s="8">
        <f>J1787*EXP(10*K$22)</f>
        <v>0.59760670880569988</v>
      </c>
      <c r="L1740" s="87"/>
      <c r="M1740" s="87"/>
      <c r="N1740" s="87"/>
      <c r="O1740" s="87"/>
      <c r="P1740" s="87"/>
      <c r="Q1740" s="87"/>
      <c r="R1740" s="87"/>
      <c r="S1740" s="87"/>
      <c r="T1740" s="88">
        <f>MIN($B$8,AVERAGE(U1645:U1646)/(1+J1740+$D$8/10000))+$B$7</f>
        <v>63.132165770698144</v>
      </c>
      <c r="U1740" s="88">
        <f t="shared" si="63"/>
        <v>76.198321128167677</v>
      </c>
    </row>
    <row r="1741" spans="1:21" x14ac:dyDescent="0.35">
      <c r="A1741" s="30"/>
      <c r="B1741" s="4"/>
      <c r="C1741" s="4"/>
      <c r="D1741" s="4"/>
      <c r="E1741" s="4"/>
      <c r="F1741" s="4"/>
      <c r="G1741" s="4"/>
      <c r="H1741" s="17"/>
      <c r="J1741" s="9">
        <f>(I1788+$B$1579)*EXP(10*$J$22)</f>
        <v>0.46373242172390799</v>
      </c>
      <c r="K1741" s="9">
        <f>(J1788+$B$1579)*EXP(10*$K$22)</f>
        <v>0.59693146255350538</v>
      </c>
      <c r="L1741" s="87"/>
      <c r="M1741" s="87"/>
      <c r="N1741" s="87"/>
      <c r="O1741" s="87"/>
      <c r="P1741" s="87"/>
      <c r="Q1741" s="87"/>
      <c r="R1741" s="87"/>
      <c r="S1741" s="87"/>
      <c r="T1741" s="88">
        <f>MIN($B$8,AVERAGE(U1647:U1648)/(1+J1741+$D$8/10000))+$B$7</f>
        <v>63.194435334653029</v>
      </c>
      <c r="U1741" s="88">
        <f t="shared" si="63"/>
        <v>76.232181106105244</v>
      </c>
    </row>
    <row r="1742" spans="1:21" x14ac:dyDescent="0.35">
      <c r="A1742" s="30"/>
      <c r="B1742" s="4"/>
      <c r="C1742" s="4"/>
      <c r="D1742" s="4"/>
      <c r="E1742" s="4"/>
      <c r="F1742" s="4"/>
      <c r="G1742" s="4"/>
      <c r="H1742" s="17"/>
      <c r="J1742" s="8">
        <f>I1788*EXP(10*J$22)</f>
        <v>0.46108671732106465</v>
      </c>
      <c r="K1742" s="8">
        <f>J1788*EXP(10*K$22)</f>
        <v>0.59433295478589387</v>
      </c>
      <c r="L1742" s="87"/>
      <c r="M1742" s="87"/>
      <c r="N1742" s="87"/>
      <c r="O1742" s="87"/>
      <c r="P1742" s="87"/>
      <c r="Q1742" s="87"/>
      <c r="R1742" s="87"/>
      <c r="S1742" s="87"/>
      <c r="T1742" s="88">
        <f>MIN($B$8,AVERAGE(U1649:U1650)/(1+J1742+$D$8/10000))+$B$7</f>
        <v>63.444699928169214</v>
      </c>
      <c r="U1742" s="88">
        <f t="shared" si="63"/>
        <v>76.362779142416457</v>
      </c>
    </row>
    <row r="1743" spans="1:21" x14ac:dyDescent="0.35">
      <c r="A1743" s="30"/>
      <c r="B1743" s="4"/>
      <c r="C1743" s="4"/>
      <c r="D1743" s="4"/>
      <c r="E1743" s="4"/>
      <c r="F1743" s="4"/>
      <c r="G1743" s="4"/>
      <c r="H1743" s="17"/>
      <c r="J1743" s="9">
        <f>(I1789+$B$1579)*EXP(10*$J$22)</f>
        <v>0.47103485168682369</v>
      </c>
      <c r="K1743" s="9">
        <f>(J1789+$B$1579)*EXP(10*$K$22)</f>
        <v>0.59611361144600705</v>
      </c>
      <c r="L1743" s="87"/>
      <c r="M1743" s="87"/>
      <c r="N1743" s="87"/>
      <c r="O1743" s="87"/>
      <c r="P1743" s="87"/>
      <c r="Q1743" s="87"/>
      <c r="R1743" s="87"/>
      <c r="S1743" s="87"/>
      <c r="T1743" s="88">
        <f>MIN($B$8,AVERAGE(U1651:U1652)/(1+J1743+$D$8/10000))+$B$7</f>
        <v>62.511983574135101</v>
      </c>
      <c r="U1743" s="88">
        <f t="shared" si="63"/>
        <v>76.273234505772024</v>
      </c>
    </row>
    <row r="1744" spans="1:21" x14ac:dyDescent="0.35">
      <c r="A1744" s="30"/>
      <c r="B1744" s="4"/>
      <c r="C1744" s="4"/>
      <c r="D1744" s="4"/>
      <c r="E1744" s="4"/>
      <c r="F1744" s="4"/>
      <c r="G1744" s="4"/>
      <c r="H1744" s="17"/>
      <c r="J1744" s="8">
        <f>I1789*EXP(10*J$22)</f>
        <v>0.46838914728398034</v>
      </c>
      <c r="K1744" s="8">
        <f>J1789*EXP(10*K$22)</f>
        <v>0.59351510367839555</v>
      </c>
      <c r="L1744" s="87"/>
      <c r="M1744" s="87"/>
      <c r="N1744" s="87"/>
      <c r="O1744" s="87"/>
      <c r="P1744" s="87"/>
      <c r="Q1744" s="87"/>
      <c r="R1744" s="87"/>
      <c r="S1744" s="87"/>
      <c r="T1744" s="88">
        <f>MIN($B$8,AVERAGE(U1653:U1654)/(1+J1744+$D$8/10000))+$B$7</f>
        <v>62.757841608543828</v>
      </c>
      <c r="U1744" s="88">
        <f t="shared" si="63"/>
        <v>76.403981170279138</v>
      </c>
    </row>
    <row r="1745" spans="1:21" x14ac:dyDescent="0.35">
      <c r="A1745" s="30"/>
      <c r="B1745" s="4"/>
      <c r="C1745" s="4"/>
      <c r="D1745" s="4"/>
      <c r="E1745" s="4"/>
      <c r="F1745" s="4"/>
      <c r="G1745" s="4"/>
      <c r="H1745" s="17"/>
      <c r="J1745" s="9">
        <f>(I1790+$B$1579)*EXP(10*$J$22)</f>
        <v>0.46772819589212616</v>
      </c>
      <c r="K1745" s="9">
        <f>(J1790+$B$1579)*EXP(10*$K$22)</f>
        <v>0.59283985742620104</v>
      </c>
      <c r="L1745" s="87"/>
      <c r="M1745" s="87"/>
      <c r="N1745" s="87"/>
      <c r="O1745" s="87"/>
      <c r="P1745" s="87"/>
      <c r="Q1745" s="87"/>
      <c r="R1745" s="87"/>
      <c r="S1745" s="87"/>
      <c r="T1745" s="88">
        <f>MIN($B$8,AVERAGE(U1655:U1656)/(1+J1745+$D$8/10000))+$B$7</f>
        <v>62.819508819996202</v>
      </c>
      <c r="U1745" s="88">
        <f t="shared" si="63"/>
        <v>76.438034371680729</v>
      </c>
    </row>
    <row r="1746" spans="1:21" x14ac:dyDescent="0.35">
      <c r="A1746" s="30"/>
      <c r="B1746" s="4"/>
      <c r="C1746" s="4"/>
      <c r="D1746" s="4"/>
      <c r="E1746" s="4"/>
      <c r="F1746" s="4"/>
      <c r="G1746" s="4"/>
      <c r="H1746" s="17"/>
      <c r="J1746" s="8">
        <f>I1790*EXP(10*J$22)</f>
        <v>0.46508249148928277</v>
      </c>
      <c r="K1746" s="8">
        <f>J1790*EXP(10*K$22)</f>
        <v>0.59024134965858954</v>
      </c>
      <c r="L1746" s="87"/>
      <c r="M1746" s="87"/>
      <c r="N1746" s="87"/>
      <c r="O1746" s="87"/>
      <c r="P1746" s="87"/>
      <c r="Q1746" s="87"/>
      <c r="R1746" s="87"/>
      <c r="S1746" s="87"/>
      <c r="T1746" s="88">
        <f>MIN($B$8,AVERAGE(U1657:U1658)/(1+J1746+$D$8/10000))+$B$7</f>
        <v>63.067349210024794</v>
      </c>
      <c r="U1746" s="88">
        <f t="shared" si="63"/>
        <v>76.56937852371064</v>
      </c>
    </row>
    <row r="1747" spans="1:21" x14ac:dyDescent="0.35">
      <c r="A1747" s="30"/>
      <c r="B1747" s="4"/>
      <c r="C1747" s="4"/>
      <c r="D1747" s="4"/>
      <c r="E1747" s="4"/>
      <c r="F1747" s="4"/>
      <c r="G1747" s="4"/>
      <c r="H1747" s="17"/>
      <c r="J1747" s="9">
        <f>(I1791+$B$1579)*EXP(10*$J$22)</f>
        <v>0.47206815892640092</v>
      </c>
      <c r="K1747" s="9">
        <f>(J1791+$B$1579)*EXP(10*$K$22)</f>
        <v>0.60514952619890017</v>
      </c>
      <c r="L1747" s="87"/>
      <c r="M1747" s="87"/>
      <c r="N1747" s="87"/>
      <c r="O1747" s="87"/>
      <c r="P1747" s="87"/>
      <c r="Q1747" s="87"/>
      <c r="R1747" s="87"/>
      <c r="S1747" s="87"/>
      <c r="T1747" s="88">
        <f>MIN($B$8,AVERAGE(U1659:U1660)/(1+J1747+$D$8/10000))+$B$7</f>
        <v>62.416388473091359</v>
      </c>
      <c r="U1747" s="88">
        <f t="shared" si="63"/>
        <v>75.822235901061006</v>
      </c>
    </row>
    <row r="1748" spans="1:21" x14ac:dyDescent="0.35">
      <c r="A1748" s="30"/>
      <c r="B1748" s="4"/>
      <c r="C1748" s="4"/>
      <c r="D1748" s="4"/>
      <c r="E1748" s="4"/>
      <c r="F1748" s="4"/>
      <c r="G1748" s="4"/>
      <c r="H1748" s="17"/>
      <c r="J1748" s="8">
        <f>I1791*EXP(10*J$22)</f>
        <v>0.46942245452355752</v>
      </c>
      <c r="K1748" s="8">
        <f>J1791*EXP(10*K$22)</f>
        <v>0.60255101843128867</v>
      </c>
      <c r="L1748" s="87"/>
      <c r="M1748" s="87"/>
      <c r="N1748" s="87"/>
      <c r="O1748" s="87"/>
      <c r="P1748" s="87"/>
      <c r="Q1748" s="87"/>
      <c r="R1748" s="87"/>
      <c r="S1748" s="87"/>
      <c r="T1748" s="88">
        <f>MIN($B$8,AVERAGE(U1661:U1662)/(1+J1748+$D$8/10000))+$B$7</f>
        <v>62.661631398777516</v>
      </c>
      <c r="U1748" s="88">
        <f t="shared" si="63"/>
        <v>75.951354431576561</v>
      </c>
    </row>
    <row r="1749" spans="1:21" x14ac:dyDescent="0.35">
      <c r="A1749" s="30"/>
      <c r="B1749" s="4"/>
      <c r="C1749" s="4"/>
      <c r="D1749" s="4"/>
      <c r="E1749" s="4"/>
      <c r="F1749" s="4"/>
      <c r="G1749" s="4"/>
      <c r="H1749" s="17"/>
      <c r="J1749" s="9">
        <f>(I1792+$B$1579)*EXP(10*$J$22)</f>
        <v>0.46876150313170334</v>
      </c>
      <c r="K1749" s="9">
        <f>(J1792+$B$1579)*EXP(10*$K$22)</f>
        <v>0.60187577217909427</v>
      </c>
      <c r="L1749" s="87"/>
      <c r="M1749" s="87"/>
      <c r="N1749" s="87"/>
      <c r="O1749" s="87"/>
      <c r="P1749" s="87"/>
      <c r="Q1749" s="87"/>
      <c r="R1749" s="87"/>
      <c r="S1749" s="87"/>
      <c r="T1749" s="88">
        <f>MIN($B$8,AVERAGE(U1663:U1664)/(1+J1749+$D$8/10000))+$B$7</f>
        <v>62.723144114891184</v>
      </c>
      <c r="U1749" s="88">
        <f t="shared" si="63"/>
        <v>75.984983104077855</v>
      </c>
    </row>
    <row r="1750" spans="1:21" x14ac:dyDescent="0.35">
      <c r="A1750" s="30"/>
      <c r="B1750" s="4"/>
      <c r="C1750" s="4"/>
      <c r="D1750" s="4"/>
      <c r="E1750" s="4"/>
      <c r="F1750" s="4"/>
      <c r="G1750" s="4"/>
      <c r="H1750" s="17"/>
      <c r="J1750" s="8">
        <f>I1792*EXP(10*J$22)</f>
        <v>0.46611579872885994</v>
      </c>
      <c r="K1750" s="8">
        <f>J1792*EXP(10*K$22)</f>
        <v>0.59927726441148266</v>
      </c>
      <c r="L1750" s="87"/>
      <c r="M1750" s="87"/>
      <c r="N1750" s="87"/>
      <c r="O1750" s="87"/>
      <c r="P1750" s="87"/>
      <c r="Q1750" s="87"/>
      <c r="R1750" s="87"/>
      <c r="S1750" s="87"/>
      <c r="T1750" s="88">
        <f>MIN($B$8,AVERAGE(U1665:U1666)/(1+J1750+$D$8/10000))+$B$7</f>
        <v>62.970362736252397</v>
      </c>
      <c r="U1750" s="88">
        <f t="shared" si="63"/>
        <v>76.114687983990834</v>
      </c>
    </row>
    <row r="1751" spans="1:21" x14ac:dyDescent="0.35">
      <c r="A1751" s="30"/>
      <c r="B1751" s="4"/>
      <c r="C1751" s="4"/>
      <c r="D1751" s="4"/>
      <c r="E1751" s="4"/>
      <c r="F1751" s="4"/>
      <c r="G1751" s="4"/>
      <c r="H1751" s="17"/>
      <c r="J1751" s="9">
        <f>(I1793+$B$1579)*EXP(10*$J$22)</f>
        <v>0.47606393309461892</v>
      </c>
      <c r="K1751" s="9">
        <f>(J1793+$B$1579)*EXP(10*$K$22)</f>
        <v>0.60105792107159584</v>
      </c>
      <c r="L1751" s="87"/>
      <c r="M1751" s="87"/>
      <c r="N1751" s="87"/>
      <c r="O1751" s="87"/>
      <c r="P1751" s="87"/>
      <c r="Q1751" s="87"/>
      <c r="R1751" s="87"/>
      <c r="S1751" s="87"/>
      <c r="T1751" s="88">
        <f>MIN($B$8,AVERAGE(U1667:U1668)/(1+J1751+$D$8/10000))+$B$7</f>
        <v>62.048964553035255</v>
      </c>
      <c r="U1751" s="88">
        <f t="shared" si="63"/>
        <v>76.025755913645256</v>
      </c>
    </row>
    <row r="1752" spans="1:21" x14ac:dyDescent="0.35">
      <c r="A1752" s="30"/>
      <c r="B1752" s="4"/>
      <c r="C1752" s="4"/>
      <c r="D1752" s="4"/>
      <c r="E1752" s="4"/>
      <c r="F1752" s="4"/>
      <c r="G1752" s="4"/>
      <c r="H1752" s="17"/>
      <c r="J1752" s="8">
        <f>I1793*EXP(10*J$22)</f>
        <v>0.47341822869177552</v>
      </c>
      <c r="K1752" s="8">
        <f>J1793*EXP(10*K$22)</f>
        <v>0.59845941330398433</v>
      </c>
      <c r="L1752" s="87"/>
      <c r="M1752" s="87"/>
      <c r="N1752" s="87"/>
      <c r="O1752" s="87"/>
      <c r="P1752" s="87"/>
      <c r="Q1752" s="87"/>
      <c r="R1752" s="87"/>
      <c r="S1752" s="87"/>
      <c r="T1752" s="88">
        <f>MIN($B$8,AVERAGE(U1669:U1670)/(1+J1752+$D$8/10000))+$B$7</f>
        <v>62.291848202002392</v>
      </c>
      <c r="U1752" s="88">
        <f t="shared" si="63"/>
        <v>76.155607899237268</v>
      </c>
    </row>
    <row r="1753" spans="1:21" x14ac:dyDescent="0.35">
      <c r="A1753" s="30"/>
      <c r="B1753" s="4"/>
      <c r="C1753" s="4"/>
      <c r="D1753" s="4"/>
      <c r="E1753" s="4"/>
      <c r="F1753" s="4"/>
      <c r="G1753" s="4"/>
      <c r="H1753" s="17"/>
      <c r="J1753" s="9">
        <f>(I1794+$B$1579)*EXP(10*$J$22)</f>
        <v>0.4727572772999214</v>
      </c>
      <c r="K1753" s="9">
        <f>(J1794+$B$1579)*EXP(10*$K$22)</f>
        <v>0.59778416705178983</v>
      </c>
      <c r="L1753" s="87"/>
      <c r="M1753" s="87"/>
      <c r="N1753" s="87"/>
      <c r="O1753" s="87"/>
      <c r="P1753" s="87"/>
      <c r="Q1753" s="87"/>
      <c r="R1753" s="87"/>
      <c r="S1753" s="87"/>
      <c r="T1753" s="88">
        <f>MIN($B$8,AVERAGE(U1671:U1672)/(1+J1753+$D$8/10000))+$B$7</f>
        <v>62.352768351005111</v>
      </c>
      <c r="U1753" s="88">
        <f t="shared" si="63"/>
        <v>76.189427815857854</v>
      </c>
    </row>
    <row r="1754" spans="1:21" x14ac:dyDescent="0.35">
      <c r="A1754" s="30"/>
      <c r="B1754" s="4"/>
      <c r="C1754" s="4"/>
      <c r="D1754" s="4"/>
      <c r="E1754" s="4"/>
      <c r="F1754" s="4"/>
      <c r="G1754" s="4"/>
      <c r="H1754" s="17"/>
      <c r="J1754" s="8">
        <f>I1794*EXP(10*J$22)</f>
        <v>0.47011157289707806</v>
      </c>
      <c r="K1754" s="8">
        <f>J1794*EXP(10*K$22)</f>
        <v>0.59518565928417833</v>
      </c>
      <c r="L1754" s="87"/>
      <c r="M1754" s="87"/>
      <c r="N1754" s="87"/>
      <c r="O1754" s="87"/>
      <c r="P1754" s="87"/>
      <c r="Q1754" s="87"/>
      <c r="R1754" s="87"/>
      <c r="S1754" s="87"/>
      <c r="T1754" s="88">
        <f>MIN($B$8,AVERAGE(U1673:U1674)/(1+J1754+$D$8/10000))+$B$7</f>
        <v>62.597602204369181</v>
      </c>
      <c r="U1754" s="88">
        <f t="shared" si="63"/>
        <v>76.319871159763139</v>
      </c>
    </row>
    <row r="1755" spans="1:21" x14ac:dyDescent="0.35">
      <c r="A1755" s="30"/>
      <c r="B1755" s="4"/>
      <c r="C1755" s="4"/>
      <c r="D1755" s="4"/>
      <c r="E1755" s="4"/>
      <c r="F1755" s="4"/>
      <c r="G1755" s="4"/>
      <c r="H1755" s="17"/>
      <c r="J1755" s="9">
        <f>(I1795+$B$1579)*EXP(10*$J$22)</f>
        <v>0.47320006669187092</v>
      </c>
      <c r="K1755" s="9">
        <f>(J1795+$B$1579)*EXP(10*$K$22)</f>
        <v>0.606428124717172</v>
      </c>
      <c r="L1755" s="87"/>
      <c r="M1755" s="87"/>
      <c r="N1755" s="87"/>
      <c r="O1755" s="87"/>
      <c r="P1755" s="87"/>
      <c r="Q1755" s="87"/>
      <c r="R1755" s="87"/>
      <c r="S1755" s="87"/>
      <c r="T1755" s="88">
        <f>MIN($B$8,AVERAGE(U1675:U1676)/(1+J1755+$D$8/10000))+$B$7</f>
        <v>62.311945513470846</v>
      </c>
      <c r="U1755" s="88">
        <f t="shared" si="63"/>
        <v>75.758872951205561</v>
      </c>
    </row>
    <row r="1756" spans="1:21" x14ac:dyDescent="0.35">
      <c r="A1756" s="30"/>
      <c r="B1756" s="4"/>
      <c r="C1756" s="4"/>
      <c r="D1756" s="4"/>
      <c r="E1756" s="4"/>
      <c r="F1756" s="4"/>
      <c r="G1756" s="4"/>
      <c r="H1756" s="17"/>
      <c r="J1756" s="8">
        <f>I1795*EXP(10*J$22)</f>
        <v>0.47055436228902753</v>
      </c>
      <c r="K1756" s="8">
        <f>J1795*EXP(10*K$22)</f>
        <v>0.60382961694956039</v>
      </c>
      <c r="L1756" s="87"/>
      <c r="M1756" s="87"/>
      <c r="N1756" s="87"/>
      <c r="O1756" s="87"/>
      <c r="P1756" s="87"/>
      <c r="Q1756" s="87"/>
      <c r="R1756" s="87"/>
      <c r="S1756" s="87"/>
      <c r="T1756" s="88">
        <f>MIN($B$8,AVERAGE(U1677:U1678)/(1+J1756+$D$8/10000))+$B$7</f>
        <v>62.556517002516799</v>
      </c>
      <c r="U1756" s="88">
        <f t="shared" si="63"/>
        <v>75.887763556120433</v>
      </c>
    </row>
    <row r="1757" spans="1:21" x14ac:dyDescent="0.35">
      <c r="A1757" s="30"/>
      <c r="B1757" s="4"/>
      <c r="C1757" s="4"/>
      <c r="D1757" s="4"/>
      <c r="E1757" s="4"/>
      <c r="F1757" s="4"/>
      <c r="G1757" s="4"/>
      <c r="H1757" s="17"/>
      <c r="J1757" s="9">
        <f>(I1796+$B$1579)*EXP(10*$J$22)</f>
        <v>0.46989341089717335</v>
      </c>
      <c r="K1757" s="9">
        <f>(J1796+$B$1579)*EXP(10*$K$22)</f>
        <v>0.60315437069736588</v>
      </c>
      <c r="L1757" s="87"/>
      <c r="M1757" s="87"/>
      <c r="N1757" s="87"/>
      <c r="O1757" s="87"/>
      <c r="P1757" s="87"/>
      <c r="Q1757" s="87"/>
      <c r="R1757" s="87"/>
      <c r="S1757" s="87"/>
      <c r="T1757" s="88">
        <f>MIN($B$8,AVERAGE(U1679:U1680)/(1+J1757+$D$8/10000))+$B$7</f>
        <v>62.617861076358516</v>
      </c>
      <c r="U1757" s="88">
        <f t="shared" si="63"/>
        <v>75.921332798730433</v>
      </c>
    </row>
    <row r="1758" spans="1:21" x14ac:dyDescent="0.35">
      <c r="A1758" s="30"/>
      <c r="B1758" s="4"/>
      <c r="C1758" s="4"/>
      <c r="D1758" s="4"/>
      <c r="E1758" s="4"/>
      <c r="F1758" s="4"/>
      <c r="G1758" s="4"/>
      <c r="H1758" s="17"/>
      <c r="J1758" s="8">
        <f>I1796*EXP(10*J$22)</f>
        <v>0.46724770649432995</v>
      </c>
      <c r="K1758" s="8">
        <f>J1796*EXP(10*K$22)</f>
        <v>0.60055586292975438</v>
      </c>
      <c r="L1758" s="87"/>
      <c r="M1758" s="87"/>
      <c r="N1758" s="87"/>
      <c r="O1758" s="87"/>
      <c r="P1758" s="87"/>
      <c r="Q1758" s="87"/>
      <c r="R1758" s="87"/>
      <c r="S1758" s="87"/>
      <c r="T1758" s="88">
        <f>MIN($B$8,AVERAGE(U1681:U1682)/(1+J1758+$D$8/10000))+$B$7</f>
        <v>62.864400997800772</v>
      </c>
      <c r="U1758" s="88">
        <f t="shared" si="63"/>
        <v>76.050808199396428</v>
      </c>
    </row>
    <row r="1759" spans="1:21" x14ac:dyDescent="0.35">
      <c r="A1759" s="30"/>
      <c r="B1759" s="4"/>
      <c r="C1759" s="4"/>
      <c r="D1759" s="4"/>
      <c r="E1759" s="4"/>
      <c r="F1759" s="4"/>
      <c r="G1759" s="4"/>
      <c r="H1759" s="17"/>
      <c r="J1759" s="9">
        <f>(I1797+$B$1579)*EXP(10*$J$22)</f>
        <v>0.47719584086008904</v>
      </c>
      <c r="K1759" s="9">
        <f>(J1797+$B$1579)*EXP(10*$K$22)</f>
        <v>0.60233651958986756</v>
      </c>
      <c r="L1759" s="87"/>
      <c r="M1759" s="87"/>
      <c r="N1759" s="87"/>
      <c r="O1759" s="87"/>
      <c r="P1759" s="87"/>
      <c r="Q1759" s="87"/>
      <c r="R1759" s="87"/>
      <c r="S1759" s="87"/>
      <c r="T1759" s="88">
        <f>MIN($B$8,AVERAGE(U1683:U1684)/(1+J1759+$D$8/10000))+$B$7</f>
        <v>61.94552479209176</v>
      </c>
      <c r="U1759" s="88">
        <f t="shared" si="63"/>
        <v>75.962033515814724</v>
      </c>
    </row>
    <row r="1760" spans="1:21" x14ac:dyDescent="0.35">
      <c r="A1760" s="30"/>
      <c r="B1760" s="4"/>
      <c r="C1760" s="4"/>
      <c r="D1760" s="4"/>
      <c r="E1760" s="4"/>
      <c r="F1760" s="4"/>
      <c r="G1760" s="4"/>
      <c r="H1760" s="17"/>
      <c r="J1760" s="8">
        <f>I1797*EXP(10*J$22)</f>
        <v>0.4745501364572457</v>
      </c>
      <c r="K1760" s="8">
        <f>J1797*EXP(10*K$22)</f>
        <v>0.59973801182225595</v>
      </c>
      <c r="L1760" s="87"/>
      <c r="M1760" s="87"/>
      <c r="N1760" s="87"/>
      <c r="O1760" s="87"/>
      <c r="P1760" s="87"/>
      <c r="Q1760" s="87"/>
      <c r="R1760" s="87"/>
      <c r="S1760" s="87"/>
      <c r="T1760" s="88">
        <f>MIN($B$8,AVERAGE(U1685:U1686)/(1+J1760+$D$8/10000))+$B$7</f>
        <v>62.187745651811625</v>
      </c>
      <c r="U1760" s="88">
        <f t="shared" si="63"/>
        <v>76.091655631823755</v>
      </c>
    </row>
    <row r="1761" spans="1:21" x14ac:dyDescent="0.35">
      <c r="A1761" s="30"/>
      <c r="B1761" s="4"/>
      <c r="C1761" s="4"/>
      <c r="D1761" s="4"/>
      <c r="E1761" s="4"/>
      <c r="F1761" s="4"/>
      <c r="G1761" s="4"/>
      <c r="H1761" s="17"/>
      <c r="J1761" s="9">
        <f>(I1798+$B$1579)*EXP(10*$J$22)</f>
        <v>0.47388918506539152</v>
      </c>
      <c r="K1761" s="9">
        <f>(J1798+$B$1579)*EXP(10*$K$22)</f>
        <v>0.59906276557006155</v>
      </c>
      <c r="L1761" s="87"/>
      <c r="M1761" s="87"/>
      <c r="N1761" s="87"/>
      <c r="O1761" s="87"/>
      <c r="P1761" s="87"/>
      <c r="Q1761" s="87"/>
      <c r="R1761" s="87"/>
      <c r="S1761" s="87"/>
      <c r="T1761" s="88">
        <f>MIN($B$8,AVERAGE(U1687:U1688)/(1+J1761+$D$8/10000))+$B$7</f>
        <v>62.24849933341784</v>
      </c>
      <c r="U1761" s="88">
        <f t="shared" si="63"/>
        <v>76.125415611097566</v>
      </c>
    </row>
    <row r="1762" spans="1:21" x14ac:dyDescent="0.35">
      <c r="A1762" s="30"/>
      <c r="B1762" s="4"/>
      <c r="C1762" s="4"/>
      <c r="D1762" s="4"/>
      <c r="E1762" s="4"/>
      <c r="F1762" s="4"/>
      <c r="G1762" s="4"/>
      <c r="H1762" s="17"/>
      <c r="J1762" s="8">
        <f>I1798*EXP(10*J$22)</f>
        <v>0.47124348066254812</v>
      </c>
      <c r="K1762" s="8">
        <f>J1798*EXP(10*K$22)</f>
        <v>0.59646425780245005</v>
      </c>
      <c r="L1762" s="87"/>
      <c r="M1762" s="87"/>
      <c r="N1762" s="87"/>
      <c r="O1762" s="87"/>
      <c r="P1762" s="87"/>
      <c r="Q1762" s="87"/>
      <c r="R1762" s="87"/>
      <c r="S1762" s="87"/>
      <c r="T1762" s="88">
        <f>MIN($B$8,AVERAGE(U1689:U1690)/(1+J1762+$D$8/10000))+$B$7</f>
        <v>62.49266325153976</v>
      </c>
      <c r="U1762" s="88">
        <f t="shared" si="63"/>
        <v>76.255627514060109</v>
      </c>
    </row>
    <row r="1763" spans="1:21" x14ac:dyDescent="0.35">
      <c r="A1763" s="30"/>
      <c r="B1763" s="4"/>
      <c r="C1763" s="4"/>
      <c r="D1763" s="4"/>
      <c r="E1763" s="4"/>
      <c r="F1763" s="4"/>
      <c r="G1763" s="4"/>
      <c r="H1763" s="17"/>
      <c r="J1763" s="9">
        <f>(I1799+$B$1579)*EXP(10*$J$22)</f>
        <v>0.47822914809966616</v>
      </c>
      <c r="K1763" s="9">
        <f>(J1799+$B$1579)*EXP(10*$K$22)</f>
        <v>0.61137243434276067</v>
      </c>
      <c r="L1763" s="87"/>
      <c r="M1763" s="87"/>
      <c r="N1763" s="87"/>
      <c r="O1763" s="87"/>
      <c r="P1763" s="87"/>
      <c r="Q1763" s="87"/>
      <c r="R1763" s="87"/>
      <c r="S1763" s="87"/>
      <c r="T1763" s="88">
        <f>MIN($B$8,AVERAGE(U1691:U1692)/(1+J1763+$D$8/10000))+$B$7</f>
        <v>61.851341773591741</v>
      </c>
      <c r="U1763" s="88">
        <f t="shared" si="63"/>
        <v>75.514898440576999</v>
      </c>
    </row>
    <row r="1764" spans="1:21" x14ac:dyDescent="0.35">
      <c r="A1764" s="30"/>
      <c r="B1764" s="4"/>
      <c r="C1764" s="4"/>
      <c r="D1764" s="4"/>
      <c r="E1764" s="4"/>
      <c r="F1764" s="4"/>
      <c r="G1764" s="4"/>
      <c r="H1764" s="17"/>
      <c r="J1764" s="8">
        <f>I1799*EXP(10*J$22)</f>
        <v>0.47558344369682282</v>
      </c>
      <c r="K1764" s="8">
        <f>J1799*EXP(10*K$22)</f>
        <v>0.60877392657514917</v>
      </c>
      <c r="L1764" s="87"/>
      <c r="M1764" s="87"/>
      <c r="N1764" s="87"/>
      <c r="O1764" s="87"/>
      <c r="P1764" s="87"/>
      <c r="Q1764" s="87"/>
      <c r="R1764" s="87"/>
      <c r="S1764" s="87"/>
      <c r="T1764" s="88">
        <f>MIN($B$8,AVERAGE(U1693:U1694)/(1+J1764+$D$8/10000))+$B$7</f>
        <v>62.092959696562154</v>
      </c>
      <c r="U1764" s="88">
        <f t="shared" si="63"/>
        <v>75.642913317845299</v>
      </c>
    </row>
    <row r="1765" spans="1:21" x14ac:dyDescent="0.35">
      <c r="A1765" s="30"/>
      <c r="B1765" s="4"/>
      <c r="C1765" s="4"/>
      <c r="D1765" s="4"/>
      <c r="E1765" s="4"/>
      <c r="F1765" s="4"/>
      <c r="G1765" s="4"/>
      <c r="H1765" s="17"/>
      <c r="J1765" s="9">
        <f>(I1800+$B$1579)*EXP(10*$J$22)</f>
        <v>0.47492249230496869</v>
      </c>
      <c r="K1765" s="9">
        <f>(J1800+$B$1579)*EXP(10*$K$22)</f>
        <v>0.60809868032295478</v>
      </c>
      <c r="L1765" s="87"/>
      <c r="M1765" s="87"/>
      <c r="N1765" s="87"/>
      <c r="O1765" s="87"/>
      <c r="P1765" s="87"/>
      <c r="Q1765" s="87"/>
      <c r="R1765" s="87"/>
      <c r="S1765" s="87"/>
      <c r="T1765" s="88">
        <f>MIN($B$8,AVERAGE(U1695:U1696)/(1+J1765+$D$8/10000))+$B$7</f>
        <v>62.153561944159968</v>
      </c>
      <c r="U1765" s="88">
        <f t="shared" si="63"/>
        <v>75.676254222697494</v>
      </c>
    </row>
    <row r="1766" spans="1:21" x14ac:dyDescent="0.35">
      <c r="A1766" s="30"/>
      <c r="B1766" s="4"/>
      <c r="C1766" s="4"/>
      <c r="D1766" s="4"/>
      <c r="E1766" s="4"/>
      <c r="F1766" s="4"/>
      <c r="G1766" s="4"/>
      <c r="H1766" s="17"/>
      <c r="J1766" s="8">
        <f>I1800*EXP(10*J$22)</f>
        <v>0.47227678790212529</v>
      </c>
      <c r="K1766" s="8">
        <f>J1800*EXP(10*K$22)</f>
        <v>0.60550017255534316</v>
      </c>
      <c r="L1766" s="87"/>
      <c r="M1766" s="87"/>
      <c r="N1766" s="87"/>
      <c r="O1766" s="87"/>
      <c r="P1766" s="87"/>
      <c r="Q1766" s="87"/>
      <c r="R1766" s="87"/>
      <c r="S1766" s="87"/>
      <c r="T1766" s="88">
        <f>MIN($B$8,AVERAGE(U1697:U1698)/(1+J1766+$D$8/10000))+$B$7</f>
        <v>62.397116430676306</v>
      </c>
      <c r="U1766" s="88">
        <f t="shared" si="63"/>
        <v>75.804847939193593</v>
      </c>
    </row>
    <row r="1767" spans="1:21" x14ac:dyDescent="0.35">
      <c r="A1767" s="30"/>
      <c r="B1767" s="4"/>
      <c r="C1767" s="4"/>
      <c r="D1767" s="4"/>
      <c r="E1767" s="4"/>
      <c r="F1767" s="4"/>
      <c r="G1767" s="4"/>
      <c r="H1767" s="17"/>
      <c r="J1767" s="9">
        <f>(I1801+$B$1579)*EXP(10*$J$22)</f>
        <v>0.48222492226788433</v>
      </c>
      <c r="K1767" s="9">
        <f>(J1801+$B$1579)*EXP(10*$K$22)</f>
        <v>0.60728082921545634</v>
      </c>
      <c r="L1767" s="87"/>
      <c r="M1767" s="87"/>
      <c r="N1767" s="87"/>
      <c r="O1767" s="87"/>
      <c r="P1767" s="87"/>
      <c r="Q1767" s="87"/>
      <c r="R1767" s="87"/>
      <c r="S1767" s="87"/>
      <c r="T1767" s="88">
        <f>MIN($B$8,AVERAGE(U1699:U1700)/(1+J1767+$D$8/10000))+$B$7</f>
        <v>61.489334118205747</v>
      </c>
      <c r="U1767" s="88">
        <f t="shared" si="63"/>
        <v>75.716677951537534</v>
      </c>
    </row>
    <row r="1768" spans="1:21" x14ac:dyDescent="0.35">
      <c r="A1768" s="30"/>
      <c r="B1768" s="4"/>
      <c r="C1768" s="4"/>
      <c r="D1768" s="4"/>
      <c r="E1768" s="4"/>
      <c r="F1768" s="4"/>
      <c r="G1768" s="4"/>
      <c r="H1768" s="17"/>
      <c r="J1768" s="8">
        <f>I1801*EXP(10*J$22)</f>
        <v>0.47957921786504093</v>
      </c>
      <c r="K1768" s="8">
        <f>J1801*EXP(10*K$22)</f>
        <v>0.60468232144784484</v>
      </c>
      <c r="L1768" s="87"/>
      <c r="M1768" s="87"/>
      <c r="N1768" s="87"/>
      <c r="O1768" s="87"/>
      <c r="P1768" s="87"/>
      <c r="Q1768" s="87"/>
      <c r="R1768" s="87"/>
      <c r="S1768" s="87"/>
      <c r="T1768" s="88">
        <f>MIN($B$8,AVERAGE(U1701:U1702)/(1+J1768+$D$8/10000))+$B$7</f>
        <v>61.728639355161135</v>
      </c>
      <c r="U1768" s="88">
        <f t="shared" si="63"/>
        <v>75.845416886885985</v>
      </c>
    </row>
    <row r="1769" spans="1:21" x14ac:dyDescent="0.35">
      <c r="A1769" s="30"/>
      <c r="B1769" s="4"/>
      <c r="C1769" s="4"/>
      <c r="D1769" s="4"/>
      <c r="E1769" s="4"/>
      <c r="F1769" s="4"/>
      <c r="G1769" s="4"/>
      <c r="H1769" s="17"/>
      <c r="J1769" s="9">
        <f>(I1802+$B$1579)*EXP(10*$J$22)</f>
        <v>0.47891826647318686</v>
      </c>
      <c r="K1769" s="9">
        <f>(J1802+$B$1579)*EXP(10*$K$22)</f>
        <v>0.60400707519565033</v>
      </c>
      <c r="L1769" s="87"/>
      <c r="M1769" s="87"/>
      <c r="N1769" s="87"/>
      <c r="O1769" s="87"/>
      <c r="P1769" s="87"/>
      <c r="Q1769" s="87"/>
      <c r="R1769" s="87"/>
      <c r="S1769" s="87"/>
      <c r="T1769" s="88">
        <f>MIN($B$8,AVERAGE(U1703:U1704)/(1+J1769+$D$8/10000))+$B$7</f>
        <v>61.788660753350037</v>
      </c>
      <c r="U1769" s="88">
        <f t="shared" si="63"/>
        <v>75.878946582892581</v>
      </c>
    </row>
    <row r="1770" spans="1:21" x14ac:dyDescent="0.35">
      <c r="A1770" s="30"/>
      <c r="B1770" s="4"/>
      <c r="C1770" s="4"/>
      <c r="D1770" s="4"/>
      <c r="E1770" s="4"/>
      <c r="F1770" s="4"/>
      <c r="G1770" s="4"/>
      <c r="H1770" s="17"/>
      <c r="J1770" s="8">
        <f>I1802*EXP(10*J$22)</f>
        <v>0.47627256207034346</v>
      </c>
      <c r="K1770" s="8">
        <f>J1802*EXP(10*K$22)</f>
        <v>0.60140856742803872</v>
      </c>
      <c r="L1770" s="87"/>
      <c r="M1770" s="87"/>
      <c r="N1770" s="87"/>
      <c r="O1770" s="87"/>
      <c r="P1770" s="87"/>
      <c r="Q1770" s="87"/>
      <c r="R1770" s="87"/>
      <c r="S1770" s="87"/>
      <c r="T1770" s="88">
        <f>MIN($B$8,AVERAGE(U1705:U1706)/(1+J1770+$D$8/10000))+$B$7</f>
        <v>62.029877693167755</v>
      </c>
      <c r="U1770" s="88">
        <f t="shared" si="63"/>
        <v>76.008269280906433</v>
      </c>
    </row>
    <row r="1771" spans="1:21" x14ac:dyDescent="0.35">
      <c r="A1771" s="30"/>
      <c r="B1771" s="4"/>
      <c r="C1771" s="4"/>
      <c r="D1771" s="4"/>
      <c r="E1771" s="4"/>
      <c r="F1771" s="4"/>
      <c r="G1771" s="4"/>
      <c r="H1771" s="17"/>
      <c r="I1771" s="9">
        <f>(H1803+$B$1579)*EXP(10*$I$22)</f>
        <v>0.31185918887978342</v>
      </c>
      <c r="J1771" s="9">
        <f>(I1803+$B$1579)*EXP(10*$J$22)</f>
        <v>0.47679854018980794</v>
      </c>
      <c r="K1771" s="9">
        <f>(J1803+$B$1579)*EXP(10*$K$22)</f>
        <v>0.59056216757516433</v>
      </c>
      <c r="L1771" s="87"/>
      <c r="M1771" s="87"/>
      <c r="N1771" s="87"/>
      <c r="O1771" s="87"/>
      <c r="P1771" s="87"/>
      <c r="Q1771" s="87"/>
      <c r="R1771" s="87"/>
      <c r="S1771" s="88">
        <f>MIN($B$8,AVERAGE(T1707:T1708)/(1+I1771+$D$8/10000))+$B$7</f>
        <v>64.922696832260584</v>
      </c>
      <c r="T1771" s="88">
        <f>MIN($B$8,AVERAGE(U1707:U1708)/(1+J1771+$D$8/10000))+$B$7</f>
        <v>61.981800090233087</v>
      </c>
      <c r="U1771" s="88">
        <f t="shared" ref="U1771:U1834" si="64">MIN($B$8,((100+$B$7)/(1+K1771+$D$8/10000)))+$B$7</f>
        <v>76.553136697029373</v>
      </c>
    </row>
    <row r="1772" spans="1:21" x14ac:dyDescent="0.35">
      <c r="A1772" s="30"/>
      <c r="B1772" s="4"/>
      <c r="C1772" s="4"/>
      <c r="D1772" s="4"/>
      <c r="E1772" s="4"/>
      <c r="F1772" s="4"/>
      <c r="G1772" s="4"/>
      <c r="H1772" s="17"/>
      <c r="I1772" s="8">
        <f>H1803*EXP(10*I$22)</f>
        <v>0.30923456567493784</v>
      </c>
      <c r="J1772" s="8">
        <f>I1803*EXP(10*J$22)</f>
        <v>0.4741528357869646</v>
      </c>
      <c r="K1772" s="8">
        <f>J1803*EXP(10*K$22)</f>
        <v>0.58796365980755283</v>
      </c>
      <c r="L1772" s="87"/>
      <c r="M1772" s="87"/>
      <c r="N1772" s="87"/>
      <c r="O1772" s="87"/>
      <c r="P1772" s="87"/>
      <c r="Q1772" s="87"/>
      <c r="R1772" s="87"/>
      <c r="S1772" s="88">
        <f>MIN($B$8,AVERAGE(T1709:T1710)/(1+I1772+$D$8/10000))+$B$7</f>
        <v>65.385088136603315</v>
      </c>
      <c r="T1772" s="88">
        <f>MIN($B$8,AVERAGE(U1709:U1710)/(1+J1772+$D$8/10000))+$B$7</f>
        <v>62.22425331290566</v>
      </c>
      <c r="U1772" s="88">
        <f t="shared" si="64"/>
        <v>76.684898965815492</v>
      </c>
    </row>
    <row r="1773" spans="1:21" x14ac:dyDescent="0.35">
      <c r="A1773" s="30"/>
      <c r="B1773" s="4"/>
      <c r="C1773" s="4"/>
      <c r="D1773" s="4"/>
      <c r="E1773" s="4"/>
      <c r="F1773" s="4"/>
      <c r="G1773" s="4"/>
      <c r="H1773" s="17"/>
      <c r="I1773" s="9">
        <f>(H1804+$B$1579)*EXP(10*$I$22)</f>
        <v>0.36559326917823437</v>
      </c>
      <c r="J1773" s="9">
        <f>(I1804+$B$1579)*EXP(10*$J$22)</f>
        <v>0.47349188439511042</v>
      </c>
      <c r="K1773" s="9">
        <f>(J1804+$B$1579)*EXP(10*$K$22)</f>
        <v>0.58728841355535832</v>
      </c>
      <c r="L1773" s="87"/>
      <c r="M1773" s="87"/>
      <c r="N1773" s="87"/>
      <c r="O1773" s="87"/>
      <c r="P1773" s="87"/>
      <c r="Q1773" s="87"/>
      <c r="R1773" s="87"/>
      <c r="S1773" s="88">
        <f>MIN($B$8,AVERAGE(T1711:T1712)/(1+I1773+$D$8/10000))+$B$7</f>
        <v>56.435196085509716</v>
      </c>
      <c r="T1773" s="88">
        <f>MIN($B$8,AVERAGE(U1711:U1712)/(1+J1773+$D$8/10000))+$B$7</f>
        <v>62.285065355134456</v>
      </c>
      <c r="U1773" s="88">
        <f t="shared" si="64"/>
        <v>76.719216986219806</v>
      </c>
    </row>
    <row r="1774" spans="1:21" x14ac:dyDescent="0.35">
      <c r="A1774" s="30"/>
      <c r="B1774" s="4"/>
      <c r="C1774" s="4"/>
      <c r="D1774" s="4"/>
      <c r="E1774" s="4"/>
      <c r="F1774" s="4"/>
      <c r="G1774" s="4"/>
      <c r="H1774" s="17"/>
      <c r="I1774" s="8">
        <f>H1804*EXP(10*I$22)</f>
        <v>0.36296864597338885</v>
      </c>
      <c r="J1774" s="8">
        <f>I1804*EXP(10*J$22)</f>
        <v>0.47084617999226702</v>
      </c>
      <c r="K1774" s="8">
        <f>J1804*EXP(10*K$22)</f>
        <v>0.58468990578774682</v>
      </c>
      <c r="L1774" s="87"/>
      <c r="M1774" s="87"/>
      <c r="N1774" s="87"/>
      <c r="O1774" s="87"/>
      <c r="P1774" s="87"/>
      <c r="Q1774" s="87"/>
      <c r="R1774" s="87"/>
      <c r="S1774" s="88">
        <f>MIN($B$8,AVERAGE(T1713:T1714)/(1+I1774+$D$8/10000))+$B$7</f>
        <v>56.810083043896306</v>
      </c>
      <c r="T1774" s="88">
        <f>MIN($B$8,AVERAGE(U1713:U1714)/(1+J1774+$D$8/10000))+$B$7</f>
        <v>62.529464140713657</v>
      </c>
      <c r="U1774" s="88">
        <f t="shared" si="64"/>
        <v>76.85158372573612</v>
      </c>
    </row>
    <row r="1775" spans="1:21" x14ac:dyDescent="0.35">
      <c r="A1775" s="30"/>
      <c r="B1775" s="4"/>
      <c r="C1775" s="4"/>
      <c r="D1775" s="4"/>
      <c r="E1775" s="4"/>
      <c r="F1775" s="4"/>
      <c r="G1775" s="4"/>
      <c r="H1775" s="17"/>
      <c r="I1775" s="9">
        <f>(H1805+$B$1579)*EXP(10*$I$22)</f>
        <v>0.36641344591482666</v>
      </c>
      <c r="J1775" s="9">
        <f>(I1805+$B$1579)*EXP(10*$J$22)</f>
        <v>0.48079431435802594</v>
      </c>
      <c r="K1775" s="9">
        <f>(J1805+$B$1579)*EXP(10*$K$22)</f>
        <v>0.58647056244786</v>
      </c>
      <c r="L1775" s="87"/>
      <c r="M1775" s="87"/>
      <c r="N1775" s="87"/>
      <c r="O1775" s="87"/>
      <c r="P1775" s="87"/>
      <c r="Q1775" s="87"/>
      <c r="R1775" s="87"/>
      <c r="S1775" s="88">
        <f>MIN($B$8,AVERAGE(T1715:T1716)/(1+I1775+$D$8/10000))+$B$7</f>
        <v>56.318809934204758</v>
      </c>
      <c r="T1775" s="88">
        <f>MIN($B$8,AVERAGE(U1715:U1716)/(1+J1775+$D$8/10000))+$B$7</f>
        <v>61.618544353248744</v>
      </c>
      <c r="U1775" s="88">
        <f t="shared" si="64"/>
        <v>76.760826028676945</v>
      </c>
    </row>
    <row r="1776" spans="1:21" x14ac:dyDescent="0.35">
      <c r="A1776" s="30"/>
      <c r="B1776" s="4"/>
      <c r="C1776" s="4"/>
      <c r="D1776" s="4"/>
      <c r="E1776" s="4"/>
      <c r="F1776" s="4"/>
      <c r="G1776" s="4"/>
      <c r="H1776" s="17"/>
      <c r="I1776" s="8">
        <f>H1805*EXP(10*I$22)</f>
        <v>0.36378882270998114</v>
      </c>
      <c r="J1776" s="8">
        <f>I1805*EXP(10*J$22)</f>
        <v>0.4781486099551826</v>
      </c>
      <c r="K1776" s="8">
        <f>J1805*EXP(10*K$22)</f>
        <v>0.5838720546802485</v>
      </c>
      <c r="L1776" s="87"/>
      <c r="M1776" s="87"/>
      <c r="N1776" s="87"/>
      <c r="O1776" s="87"/>
      <c r="P1776" s="87"/>
      <c r="Q1776" s="87"/>
      <c r="R1776" s="87"/>
      <c r="S1776" s="88">
        <f>MIN($B$8,AVERAGE(T1717:T1718)/(1+I1776+$D$8/10000))+$B$7</f>
        <v>56.692531848144363</v>
      </c>
      <c r="T1776" s="88">
        <f>MIN($B$8,AVERAGE(U1717:U1718)/(1+J1776+$D$8/10000))+$B$7</f>
        <v>61.85867417495804</v>
      </c>
      <c r="U1776" s="88">
        <f t="shared" si="64"/>
        <v>76.893344426794627</v>
      </c>
    </row>
    <row r="1777" spans="1:21" x14ac:dyDescent="0.35">
      <c r="A1777" s="30"/>
      <c r="B1777" s="4"/>
      <c r="C1777" s="4"/>
      <c r="D1777" s="4"/>
      <c r="E1777" s="4"/>
      <c r="F1777" s="4"/>
      <c r="G1777" s="4"/>
      <c r="H1777" s="17"/>
      <c r="I1777" s="9">
        <f>(H1806+$B$1579)*EXP(10*$I$22)</f>
        <v>0.36958504956950555</v>
      </c>
      <c r="J1777" s="9">
        <f>(I1806+$B$1579)*EXP(10*$J$22)</f>
        <v>0.47748765856332848</v>
      </c>
      <c r="K1777" s="9">
        <f>(J1806+$B$1579)*EXP(10*$K$22)</f>
        <v>0.58319680842805399</v>
      </c>
      <c r="L1777" s="87"/>
      <c r="M1777" s="87"/>
      <c r="N1777" s="87"/>
      <c r="O1777" s="87"/>
      <c r="P1777" s="87"/>
      <c r="Q1777" s="87"/>
      <c r="R1777" s="87"/>
      <c r="S1777" s="88">
        <f>MIN($B$8,AVERAGE(T1719:T1720)/(1+I1777+$D$8/10000))+$B$7</f>
        <v>55.872132455229853</v>
      </c>
      <c r="T1777" s="88">
        <f>MIN($B$8,AVERAGE(U1719:U1720)/(1+J1777+$D$8/10000))+$B$7</f>
        <v>61.918902672971626</v>
      </c>
      <c r="U1777" s="88">
        <f t="shared" si="64"/>
        <v>76.927859610335275</v>
      </c>
    </row>
    <row r="1778" spans="1:21" x14ac:dyDescent="0.35">
      <c r="A1778" s="30"/>
      <c r="B1778" s="4"/>
      <c r="C1778" s="4"/>
      <c r="D1778" s="4"/>
      <c r="E1778" s="4"/>
      <c r="F1778" s="4"/>
      <c r="G1778" s="4"/>
      <c r="H1778" s="17"/>
      <c r="I1778" s="8">
        <f>H1806*EXP(10*I$22)</f>
        <v>0.36696042636465998</v>
      </c>
      <c r="J1778" s="8">
        <f>I1806*EXP(10*J$22)</f>
        <v>0.47484195416048508</v>
      </c>
      <c r="K1778" s="8">
        <f>J1806*EXP(10*K$22)</f>
        <v>0.58059830066044238</v>
      </c>
      <c r="L1778" s="87"/>
      <c r="M1778" s="87"/>
      <c r="N1778" s="87"/>
      <c r="O1778" s="87"/>
      <c r="P1778" s="87"/>
      <c r="Q1778" s="87"/>
      <c r="R1778" s="87"/>
      <c r="S1778" s="88">
        <f>MIN($B$8,AVERAGE(T1721:T1722)/(1+I1778+$D$8/10000))+$B$7</f>
        <v>56.241392138598904</v>
      </c>
      <c r="T1778" s="88">
        <f>MIN($B$8,AVERAGE(U1721:U1722)/(1+J1778+$D$8/10000))+$B$7</f>
        <v>62.160953052165539</v>
      </c>
      <c r="U1778" s="88">
        <f t="shared" si="64"/>
        <v>77.060987695860476</v>
      </c>
    </row>
    <row r="1779" spans="1:21" x14ac:dyDescent="0.35">
      <c r="A1779" s="30"/>
      <c r="B1779" s="4"/>
      <c r="C1779" s="4"/>
      <c r="D1779" s="4"/>
      <c r="E1779" s="4"/>
      <c r="F1779" s="4"/>
      <c r="G1779" s="4"/>
      <c r="H1779" s="17"/>
      <c r="I1779" s="9">
        <f>(H1807+$B$1579)*EXP(10*$I$22)</f>
        <v>0.36731188578019203</v>
      </c>
      <c r="J1779" s="9">
        <f>(I1807+$B$1579)*EXP(10*$J$22)</f>
        <v>0.48182762159760317</v>
      </c>
      <c r="K1779" s="9">
        <f>(J1807+$B$1579)*EXP(10*$K$22)</f>
        <v>0.59550647720075323</v>
      </c>
      <c r="L1779" s="87"/>
      <c r="M1779" s="87"/>
      <c r="N1779" s="87"/>
      <c r="O1779" s="87"/>
      <c r="P1779" s="87"/>
      <c r="Q1779" s="87"/>
      <c r="R1779" s="87"/>
      <c r="S1779" s="88">
        <f>MIN($B$8,AVERAGE(T1723:T1724)/(1+I1780+$D$8/10000))+$B$7</f>
        <v>56.305170909320282</v>
      </c>
      <c r="T1779" s="88">
        <f>MIN($B$8,AVERAGE(U1723:U1724)/(1+J1779+$D$8/10000))+$B$7</f>
        <v>61.525173170661574</v>
      </c>
      <c r="U1779" s="88">
        <f t="shared" si="64"/>
        <v>76.303740813667929</v>
      </c>
    </row>
    <row r="1780" spans="1:21" x14ac:dyDescent="0.35">
      <c r="A1780" s="30"/>
      <c r="B1780" s="4"/>
      <c r="C1780" s="4"/>
      <c r="D1780" s="4"/>
      <c r="E1780" s="4"/>
      <c r="F1780" s="4"/>
      <c r="G1780" s="4"/>
      <c r="H1780" s="17"/>
      <c r="I1780" s="8">
        <f>H1807*EXP(10*I$22)</f>
        <v>0.3646872625753465</v>
      </c>
      <c r="J1780" s="8">
        <f>I1807*EXP(10*J$22)</f>
        <v>0.47918191719475978</v>
      </c>
      <c r="K1780" s="8">
        <f>J1807*EXP(10*K$22)</f>
        <v>0.59290796943314161</v>
      </c>
      <c r="L1780" s="87"/>
      <c r="M1780" s="87"/>
      <c r="N1780" s="87"/>
      <c r="O1780" s="87"/>
      <c r="P1780" s="87"/>
      <c r="Q1780" s="87"/>
      <c r="R1780" s="87"/>
      <c r="S1780" s="88">
        <f>MIN($B$8,AVERAGE(T1725:T1726)/(1+I1780+$D$8/10000))+$B$7</f>
        <v>56.564183249311824</v>
      </c>
      <c r="T1780" s="88">
        <f>MIN($B$8,AVERAGE(U1725:U1726)/(1+J1780+$D$8/10000))+$B$7</f>
        <v>61.764707025334069</v>
      </c>
      <c r="U1780" s="88">
        <f t="shared" si="64"/>
        <v>76.434597976914333</v>
      </c>
    </row>
    <row r="1781" spans="1:21" x14ac:dyDescent="0.35">
      <c r="A1781" s="30"/>
      <c r="B1781" s="4"/>
      <c r="C1781" s="4"/>
      <c r="D1781" s="4"/>
      <c r="E1781" s="4"/>
      <c r="F1781" s="4"/>
      <c r="G1781" s="4"/>
      <c r="H1781" s="17"/>
      <c r="I1781" s="9">
        <f>(H1808+$B$1579)*EXP(10*$I$22)</f>
        <v>0.37048348943487092</v>
      </c>
      <c r="J1781" s="9">
        <f>(I1808+$B$1579)*EXP(10*$J$22)</f>
        <v>0.47852096580290565</v>
      </c>
      <c r="K1781" s="9">
        <f>(J1808+$B$1579)*EXP(10*$K$22)</f>
        <v>0.59223272318094711</v>
      </c>
      <c r="L1781" s="87"/>
      <c r="M1781" s="87"/>
      <c r="N1781" s="87"/>
      <c r="O1781" s="87"/>
      <c r="P1781" s="87"/>
      <c r="Q1781" s="87"/>
      <c r="R1781" s="87"/>
      <c r="S1781" s="88">
        <f>MIN($B$8,AVERAGE(T1727:T1728)/(1+I1781+$D$8/10000))+$B$7</f>
        <v>55.746569417325233</v>
      </c>
      <c r="T1781" s="88">
        <f>MIN($B$8,AVERAGE(U1727:U1728)/(1+J1781+$D$8/10000))+$B$7</f>
        <v>61.82478584221991</v>
      </c>
      <c r="U1781" s="88">
        <f t="shared" si="64"/>
        <v>76.468679990712403</v>
      </c>
    </row>
    <row r="1782" spans="1:21" x14ac:dyDescent="0.35">
      <c r="A1782" s="30"/>
      <c r="B1782" s="4"/>
      <c r="C1782" s="4"/>
      <c r="D1782" s="4"/>
      <c r="E1782" s="4"/>
      <c r="F1782" s="4"/>
      <c r="G1782" s="4"/>
      <c r="H1782" s="17"/>
      <c r="I1782" s="8">
        <f>H1808*EXP(10*I$22)</f>
        <v>0.36785886623002539</v>
      </c>
      <c r="J1782" s="8">
        <f>I1808*EXP(10*J$22)</f>
        <v>0.47587526140006231</v>
      </c>
      <c r="K1782" s="8">
        <f>J1808*EXP(10*K$22)</f>
        <v>0.58963421541333561</v>
      </c>
      <c r="L1782" s="87"/>
      <c r="M1782" s="87"/>
      <c r="N1782" s="87"/>
      <c r="O1782" s="87"/>
      <c r="P1782" s="87"/>
      <c r="Q1782" s="87"/>
      <c r="R1782" s="87"/>
      <c r="S1782" s="88">
        <f>MIN($B$8,AVERAGE(T1729:T1730)/(1+I1782+$D$8/10000))+$B$7</f>
        <v>56.114577350542078</v>
      </c>
      <c r="T1782" s="88">
        <f>MIN($B$8,AVERAGE(U1729:U1730)/(1+J1782+$D$8/10000))+$B$7</f>
        <v>62.06623385366823</v>
      </c>
      <c r="U1782" s="88">
        <f t="shared" si="64"/>
        <v>76.600135399944904</v>
      </c>
    </row>
    <row r="1783" spans="1:21" x14ac:dyDescent="0.35">
      <c r="A1783" s="30"/>
      <c r="B1783" s="4"/>
      <c r="C1783" s="4"/>
      <c r="D1783" s="4"/>
      <c r="E1783" s="4"/>
      <c r="F1783" s="4"/>
      <c r="G1783" s="4"/>
      <c r="H1783" s="17"/>
      <c r="I1783" s="9">
        <f>(H1809+$B$1579)*EXP(10*$I$22)</f>
        <v>0.37130366617146321</v>
      </c>
      <c r="J1783" s="9">
        <f>(I1809+$B$1579)*EXP(10*$J$22)</f>
        <v>0.48582339576582129</v>
      </c>
      <c r="K1783" s="9">
        <f>(J1809+$B$1579)*EXP(10*$K$22)</f>
        <v>0.59141487207344867</v>
      </c>
      <c r="L1783" s="87"/>
      <c r="M1783" s="87"/>
      <c r="N1783" s="87"/>
      <c r="O1783" s="87"/>
      <c r="P1783" s="87"/>
      <c r="Q1783" s="87"/>
      <c r="R1783" s="87"/>
      <c r="S1783" s="88">
        <f>MIN($B$8,AVERAGE(T1731:T1732)/(1+I1783+$D$8/10000))+$B$7</f>
        <v>55.632315207717575</v>
      </c>
      <c r="T1783" s="88">
        <f>MIN($B$8,AVERAGE(U1731:U1732)/(1+J1783+$D$8/10000))+$B$7</f>
        <v>61.166279540924187</v>
      </c>
      <c r="U1783" s="88">
        <f t="shared" si="64"/>
        <v>76.510002737220702</v>
      </c>
    </row>
    <row r="1784" spans="1:21" x14ac:dyDescent="0.35">
      <c r="A1784" s="30"/>
      <c r="B1784" s="4"/>
      <c r="C1784" s="4"/>
      <c r="D1784" s="4"/>
      <c r="E1784" s="4"/>
      <c r="F1784" s="4"/>
      <c r="G1784" s="4"/>
      <c r="H1784" s="17"/>
      <c r="I1784" s="8">
        <f>H1809*EXP(10*I$22)</f>
        <v>0.36867904296661763</v>
      </c>
      <c r="J1784" s="8">
        <f>I1809*EXP(10*J$22)</f>
        <v>0.48317769136297795</v>
      </c>
      <c r="K1784" s="8">
        <f>J1809*EXP(10*K$22)</f>
        <v>0.58881636430583717</v>
      </c>
      <c r="L1784" s="87"/>
      <c r="M1784" s="87"/>
      <c r="N1784" s="87"/>
      <c r="O1784" s="87"/>
      <c r="P1784" s="87"/>
      <c r="Q1784" s="87"/>
      <c r="R1784" s="87"/>
      <c r="S1784" s="88">
        <f>MIN($B$8,AVERAGE(T1733:T1734)/(1+I1784+$D$8/10000))+$B$7</f>
        <v>55.99918512506278</v>
      </c>
      <c r="T1784" s="88">
        <f>MIN($B$8,AVERAGE(U1733:U1734)/(1+J1784+$D$8/10000))+$B$7</f>
        <v>61.403527388667051</v>
      </c>
      <c r="U1784" s="88">
        <f t="shared" si="64"/>
        <v>76.641608241079467</v>
      </c>
    </row>
    <row r="1785" spans="1:21" x14ac:dyDescent="0.35">
      <c r="A1785" s="30"/>
      <c r="B1785" s="4"/>
      <c r="C1785" s="4"/>
      <c r="D1785" s="4"/>
      <c r="E1785" s="4"/>
      <c r="F1785" s="4"/>
      <c r="G1785" s="4"/>
      <c r="H1785" s="17"/>
      <c r="I1785" s="9">
        <f>(H1810+$B$1579)*EXP(10*$I$22)</f>
        <v>0.3744752698261421</v>
      </c>
      <c r="J1785" s="9">
        <f>(I1810+$B$1579)*EXP(10*$J$22)</f>
        <v>0.48251673997112376</v>
      </c>
      <c r="K1785" s="9">
        <f>(J1810+$B$1579)*EXP(10*$K$22)</f>
        <v>0.58814111805364278</v>
      </c>
      <c r="L1785" s="87"/>
      <c r="M1785" s="87"/>
      <c r="N1785" s="87"/>
      <c r="O1785" s="87"/>
      <c r="P1785" s="87"/>
      <c r="Q1785" s="87"/>
      <c r="R1785" s="87"/>
      <c r="S1785" s="88">
        <f>MIN($B$8,AVERAGE(T1735:T1736)/(1+I1785+$D$8/10000))+$B$7</f>
        <v>55.193803560751654</v>
      </c>
      <c r="T1785" s="88">
        <f>MIN($B$8,AVERAGE(U1735:U1736)/(1+J1785+$D$8/10000))+$B$7</f>
        <v>61.463032065833517</v>
      </c>
      <c r="U1785" s="88">
        <f t="shared" si="64"/>
        <v>76.67588538477132</v>
      </c>
    </row>
    <row r="1786" spans="1:21" x14ac:dyDescent="0.35">
      <c r="A1786" s="30"/>
      <c r="B1786" s="4"/>
      <c r="C1786" s="4"/>
      <c r="D1786" s="4"/>
      <c r="E1786" s="4"/>
      <c r="F1786" s="4"/>
      <c r="G1786" s="4"/>
      <c r="H1786" s="17"/>
      <c r="I1786" s="8">
        <f>H1810*EXP(10*I$22)</f>
        <v>0.37185064662129652</v>
      </c>
      <c r="J1786" s="8">
        <f>I1810*EXP(10*J$22)</f>
        <v>0.47987103556828037</v>
      </c>
      <c r="K1786" s="8">
        <f>J1810*EXP(10*K$22)</f>
        <v>0.58554261028603116</v>
      </c>
      <c r="L1786" s="87"/>
      <c r="M1786" s="87"/>
      <c r="N1786" s="87"/>
      <c r="O1786" s="87"/>
      <c r="P1786" s="87"/>
      <c r="Q1786" s="87"/>
      <c r="R1786" s="87"/>
      <c r="S1786" s="88">
        <f>MIN($B$8,AVERAGE(T1737:T1738)/(1+I1786+$D$8/10000))+$B$7</f>
        <v>55.556314565484982</v>
      </c>
      <c r="T1786" s="88">
        <f>MIN($B$8,AVERAGE(U1737:U1738)/(1+J1786+$D$8/10000))+$B$7</f>
        <v>61.702169569304033</v>
      </c>
      <c r="U1786" s="88">
        <f t="shared" si="64"/>
        <v>76.80809427968758</v>
      </c>
    </row>
    <row r="1787" spans="1:21" x14ac:dyDescent="0.35">
      <c r="A1787" s="30"/>
      <c r="B1787" s="4"/>
      <c r="C1787" s="4"/>
      <c r="D1787" s="4"/>
      <c r="E1787" s="4"/>
      <c r="F1787" s="4"/>
      <c r="G1787" s="4"/>
      <c r="H1787" s="17"/>
      <c r="I1787" s="9">
        <f>(H1811+$B$1579)*EXP(10*$I$22)</f>
        <v>0.36860734800721034</v>
      </c>
      <c r="J1787" s="9">
        <f>(I1811+$B$1579)*EXP(10*$J$22)</f>
        <v>0.48295952936307324</v>
      </c>
      <c r="K1787" s="9">
        <f>(J1811+$B$1579)*EXP(10*$K$22)</f>
        <v>0.59678507571902484</v>
      </c>
      <c r="L1787" s="87"/>
      <c r="M1787" s="87"/>
      <c r="N1787" s="87"/>
      <c r="O1787" s="87"/>
      <c r="P1787" s="87"/>
      <c r="Q1787" s="87"/>
      <c r="R1787" s="87"/>
      <c r="S1787" s="88">
        <f>MIN($B$8,AVERAGE(T1739:T1740)/(1+I1787+$D$8/10000))+$B$7</f>
        <v>56.009257759177288</v>
      </c>
      <c r="T1787" s="88">
        <f>MIN($B$8,AVERAGE(U1739:U1740)/(1+J1787+$D$8/10000))+$B$7</f>
        <v>61.423157825779676</v>
      </c>
      <c r="U1787" s="88">
        <f t="shared" si="64"/>
        <v>76.239525810068073</v>
      </c>
    </row>
    <row r="1788" spans="1:21" x14ac:dyDescent="0.35">
      <c r="A1788" s="30"/>
      <c r="B1788" s="4"/>
      <c r="C1788" s="4"/>
      <c r="D1788" s="4"/>
      <c r="E1788" s="4"/>
      <c r="F1788" s="4"/>
      <c r="G1788" s="4"/>
      <c r="H1788" s="17"/>
      <c r="I1788" s="8">
        <f>H1811*EXP(10*I$22)</f>
        <v>0.36598272480236477</v>
      </c>
      <c r="J1788" s="8">
        <f>I1811*EXP(10*J$22)</f>
        <v>0.48031382496022984</v>
      </c>
      <c r="K1788" s="8">
        <f>J1811*EXP(10*K$22)</f>
        <v>0.59418656795141334</v>
      </c>
      <c r="L1788" s="87"/>
      <c r="M1788" s="87"/>
      <c r="N1788" s="87"/>
      <c r="O1788" s="87"/>
      <c r="P1788" s="87"/>
      <c r="Q1788" s="87"/>
      <c r="R1788" s="87"/>
      <c r="S1788" s="88">
        <f>MIN($B$8,AVERAGE(T1741:T1742)/(1+I1788+$D$8/10000))+$B$7</f>
        <v>56.379885764631275</v>
      </c>
      <c r="T1788" s="88">
        <f>MIN($B$8,AVERAGE(U1741:U1742)/(1+J1788+$D$8/10000))+$B$7</f>
        <v>61.662041120064387</v>
      </c>
      <c r="U1788" s="88">
        <f t="shared" si="64"/>
        <v>76.370150430651819</v>
      </c>
    </row>
    <row r="1789" spans="1:21" x14ac:dyDescent="0.35">
      <c r="A1789" s="30"/>
      <c r="B1789" s="4"/>
      <c r="C1789" s="4"/>
      <c r="D1789" s="4"/>
      <c r="E1789" s="4"/>
      <c r="F1789" s="4"/>
      <c r="G1789" s="4"/>
      <c r="H1789" s="17"/>
      <c r="I1789" s="9">
        <f>(H1812+$B$1579)*EXP(10*$I$22)</f>
        <v>0.37177895166188923</v>
      </c>
      <c r="J1789" s="9">
        <f>(I1812+$B$1579)*EXP(10*$J$22)</f>
        <v>0.47965287356837577</v>
      </c>
      <c r="K1789" s="9">
        <f>(J1812+$B$1579)*EXP(10*$K$22)</f>
        <v>0.59351132169921883</v>
      </c>
      <c r="L1789" s="87"/>
      <c r="M1789" s="87"/>
      <c r="N1789" s="87"/>
      <c r="O1789" s="87"/>
      <c r="P1789" s="87"/>
      <c r="Q1789" s="87"/>
      <c r="R1789" s="87"/>
      <c r="S1789" s="88">
        <f>MIN($B$8,AVERAGE(T1743:T1744)/(1+I1789+$D$8/10000))+$B$7</f>
        <v>55.566267361151581</v>
      </c>
      <c r="T1789" s="88">
        <f>MIN($B$8,AVERAGE(U1743:U1744)/(1+J1789+$D$8/10000))+$B$7</f>
        <v>61.721956545108327</v>
      </c>
      <c r="U1789" s="88">
        <f t="shared" si="64"/>
        <v>76.404171809314164</v>
      </c>
    </row>
    <row r="1790" spans="1:21" x14ac:dyDescent="0.35">
      <c r="A1790" s="30"/>
      <c r="B1790" s="4"/>
      <c r="C1790" s="4"/>
      <c r="D1790" s="4"/>
      <c r="E1790" s="4"/>
      <c r="F1790" s="4"/>
      <c r="G1790" s="4"/>
      <c r="H1790" s="17"/>
      <c r="I1790" s="8">
        <f>H1812*EXP(10*I$22)</f>
        <v>0.36915432845704366</v>
      </c>
      <c r="J1790" s="8">
        <f>I1812*EXP(10*J$22)</f>
        <v>0.47700716916553237</v>
      </c>
      <c r="K1790" s="8">
        <f>J1812*EXP(10*K$22)</f>
        <v>0.59091281393160733</v>
      </c>
      <c r="L1790" s="87"/>
      <c r="M1790" s="87"/>
      <c r="N1790" s="87"/>
      <c r="O1790" s="87"/>
      <c r="P1790" s="87"/>
      <c r="Q1790" s="87"/>
      <c r="R1790" s="87"/>
      <c r="S1790" s="88">
        <f>MIN($B$8,AVERAGE(T1745:T1746)/(1+I1790+$D$8/10000))+$B$7</f>
        <v>55.932479849756845</v>
      </c>
      <c r="T1790" s="88">
        <f>MIN($B$8,AVERAGE(U1745:U1746)/(1+J1790+$D$8/10000))+$B$7</f>
        <v>61.962747015363348</v>
      </c>
      <c r="U1790" s="88">
        <f t="shared" si="64"/>
        <v>76.535393080085342</v>
      </c>
    </row>
    <row r="1791" spans="1:21" x14ac:dyDescent="0.35">
      <c r="A1791" s="30"/>
      <c r="B1791" s="4"/>
      <c r="C1791" s="4"/>
      <c r="D1791" s="4"/>
      <c r="E1791" s="4"/>
      <c r="F1791" s="4"/>
      <c r="G1791" s="4"/>
      <c r="H1791" s="17"/>
      <c r="I1791" s="9">
        <f>(H1813+$B$1579)*EXP(10*$I$22)</f>
        <v>0.37259912839848158</v>
      </c>
      <c r="J1791" s="9">
        <f>(I1813+$B$1579)*EXP(10*$J$22)</f>
        <v>0.48695530353129135</v>
      </c>
      <c r="K1791" s="9">
        <f>(J1813+$B$1579)*EXP(10*$K$22)</f>
        <v>0.59269347059172039</v>
      </c>
      <c r="L1791" s="87"/>
      <c r="M1791" s="87"/>
      <c r="N1791" s="87"/>
      <c r="O1791" s="87"/>
      <c r="P1791" s="87"/>
      <c r="Q1791" s="87"/>
      <c r="R1791" s="87"/>
      <c r="S1791" s="88">
        <f>MIN($B$8,AVERAGE(T1747:T1748)/(1+I1791+$D$8/10000))+$B$7</f>
        <v>55.452569608523646</v>
      </c>
      <c r="T1791" s="88">
        <f>MIN($B$8,AVERAGE(U1747:U1748)/(1+J1791+$D$8/10000))+$B$7</f>
        <v>61.065236286905375</v>
      </c>
      <c r="U1791" s="88">
        <f t="shared" si="64"/>
        <v>76.445421000530587</v>
      </c>
    </row>
    <row r="1792" spans="1:21" x14ac:dyDescent="0.35">
      <c r="A1792" s="30"/>
      <c r="B1792" s="4"/>
      <c r="C1792" s="4"/>
      <c r="D1792" s="4"/>
      <c r="E1792" s="4"/>
      <c r="F1792" s="4"/>
      <c r="G1792" s="4"/>
      <c r="H1792" s="17"/>
      <c r="I1792" s="8">
        <f>H1813*EXP(10*I$22)</f>
        <v>0.36997450519363601</v>
      </c>
      <c r="J1792" s="8">
        <f>I1813*EXP(10*J$22)</f>
        <v>0.48430959912844801</v>
      </c>
      <c r="K1792" s="8">
        <f>J1813*EXP(10*K$22)</f>
        <v>0.59009496282410889</v>
      </c>
      <c r="L1792" s="87"/>
      <c r="M1792" s="87"/>
      <c r="N1792" s="87"/>
      <c r="O1792" s="87"/>
      <c r="P1792" s="87"/>
      <c r="Q1792" s="87"/>
      <c r="R1792" s="87"/>
      <c r="S1792" s="88">
        <f>MIN($B$8,AVERAGE(T1749:T1750)/(1+I1792+$D$8/10000))+$B$7</f>
        <v>55.817651113930737</v>
      </c>
      <c r="T1792" s="88">
        <f>MIN($B$8,AVERAGE(U1749:U1750)/(1+J1792+$D$8/10000))+$B$7</f>
        <v>61.301841886339936</v>
      </c>
      <c r="U1792" s="88">
        <f t="shared" si="64"/>
        <v>76.576791964986512</v>
      </c>
    </row>
    <row r="1793" spans="1:21" x14ac:dyDescent="0.35">
      <c r="A1793" s="30"/>
      <c r="B1793" s="4"/>
      <c r="C1793" s="4"/>
      <c r="D1793" s="4"/>
      <c r="E1793" s="4"/>
      <c r="F1793" s="4"/>
      <c r="G1793" s="4"/>
      <c r="H1793" s="17"/>
      <c r="I1793" s="9">
        <f>(H1814+$B$1579)*EXP(10*$I$22)</f>
        <v>0.37577073205316036</v>
      </c>
      <c r="J1793" s="9">
        <f>(I1814+$B$1579)*EXP(10*$J$22)</f>
        <v>0.48364864773659388</v>
      </c>
      <c r="K1793" s="9">
        <f>(J1814+$B$1579)*EXP(10*$K$22)</f>
        <v>0.58941971657191439</v>
      </c>
      <c r="L1793" s="87"/>
      <c r="M1793" s="87"/>
      <c r="N1793" s="87"/>
      <c r="O1793" s="87"/>
      <c r="P1793" s="87"/>
      <c r="Q1793" s="87"/>
      <c r="R1793" s="87"/>
      <c r="S1793" s="88">
        <f>MIN($B$8,AVERAGE(T1751:T1752)/(1+I1793+$D$8/10000))+$B$7</f>
        <v>55.016189384031499</v>
      </c>
      <c r="T1793" s="88">
        <f>MIN($B$8,AVERAGE(U1751:U1752)/(1+J1793+$D$8/10000))+$B$7</f>
        <v>61.361185262094075</v>
      </c>
      <c r="U1793" s="88">
        <f t="shared" si="64"/>
        <v>76.611007952299445</v>
      </c>
    </row>
    <row r="1794" spans="1:21" x14ac:dyDescent="0.35">
      <c r="A1794" s="30"/>
      <c r="B1794" s="4"/>
      <c r="C1794" s="4"/>
      <c r="D1794" s="4"/>
      <c r="E1794" s="4"/>
      <c r="F1794" s="4"/>
      <c r="G1794" s="4"/>
      <c r="H1794" s="17"/>
      <c r="I1794" s="8">
        <f>H1814*EXP(10*I$22)</f>
        <v>0.37314610884831484</v>
      </c>
      <c r="J1794" s="8">
        <f>I1814*EXP(10*J$22)</f>
        <v>0.48100294333375054</v>
      </c>
      <c r="K1794" s="8">
        <f>J1814*EXP(10*K$22)</f>
        <v>0.58682120880430289</v>
      </c>
      <c r="L1794" s="87"/>
      <c r="M1794" s="87"/>
      <c r="N1794" s="87"/>
      <c r="O1794" s="87"/>
      <c r="P1794" s="87"/>
      <c r="Q1794" s="87"/>
      <c r="R1794" s="87"/>
      <c r="S1794" s="88">
        <f>MIN($B$8,AVERAGE(T1753:T1754)/(1+I1794+$D$8/10000))+$B$7</f>
        <v>55.376938860503422</v>
      </c>
      <c r="T1794" s="88">
        <f>MIN($B$8,AVERAGE(U1753:U1754)/(1+J1794+$D$8/10000))+$B$7</f>
        <v>61.59967364827893</v>
      </c>
      <c r="U1794" s="88">
        <f t="shared" si="64"/>
        <v>76.742980693697191</v>
      </c>
    </row>
    <row r="1795" spans="1:21" x14ac:dyDescent="0.35">
      <c r="A1795" s="30"/>
      <c r="B1795" s="4"/>
      <c r="C1795" s="4"/>
      <c r="D1795" s="4"/>
      <c r="E1795" s="4"/>
      <c r="F1795" s="4"/>
      <c r="G1795" s="4"/>
      <c r="H1795" s="17"/>
      <c r="I1795" s="9">
        <f>(H1815+$B$1579)*EXP(10*$I$22)</f>
        <v>0.37349756826384689</v>
      </c>
      <c r="J1795" s="9">
        <f>(I1815+$B$1579)*EXP(10*$J$22)</f>
        <v>0.48798861077086858</v>
      </c>
      <c r="K1795" s="9">
        <f>(J1815+$B$1579)*EXP(10*$K$22)</f>
        <v>0.60172938534461362</v>
      </c>
      <c r="L1795" s="87"/>
      <c r="M1795" s="87"/>
      <c r="N1795" s="87"/>
      <c r="O1795" s="87"/>
      <c r="P1795" s="87"/>
      <c r="Q1795" s="87"/>
      <c r="R1795" s="87"/>
      <c r="S1795" s="88">
        <f>MIN($B$8,AVERAGE(T1755:T1756)/(1+I1795+$D$8/10000))+$B$7</f>
        <v>55.328424800989907</v>
      </c>
      <c r="T1795" s="88">
        <f>MIN($B$8,AVERAGE(U1755:U1756)/(1+J1795+$D$8/10000))+$B$7</f>
        <v>60.973233399860646</v>
      </c>
      <c r="U1795" s="88">
        <f t="shared" si="64"/>
        <v>75.992277620407876</v>
      </c>
    </row>
    <row r="1796" spans="1:21" x14ac:dyDescent="0.35">
      <c r="A1796" s="30"/>
      <c r="B1796" s="4"/>
      <c r="C1796" s="4"/>
      <c r="D1796" s="4"/>
      <c r="E1796" s="4"/>
      <c r="F1796" s="4"/>
      <c r="G1796" s="4"/>
      <c r="H1796" s="17"/>
      <c r="I1796" s="8">
        <f>H1815*EXP(10*I$22)</f>
        <v>0.37087294505900131</v>
      </c>
      <c r="J1796" s="8">
        <f>I1815*EXP(10*J$22)</f>
        <v>0.48534290636802518</v>
      </c>
      <c r="K1796" s="8">
        <f>J1815*EXP(10*K$22)</f>
        <v>0.59913087757700201</v>
      </c>
      <c r="L1796" s="87"/>
      <c r="M1796" s="87"/>
      <c r="N1796" s="87"/>
      <c r="O1796" s="87"/>
      <c r="P1796" s="87"/>
      <c r="Q1796" s="87"/>
      <c r="R1796" s="87"/>
      <c r="S1796" s="88">
        <f>MIN($B$8,AVERAGE(T1757:T1758)/(1+I1796+$D$8/10000))+$B$7</f>
        <v>55.692272480339504</v>
      </c>
      <c r="T1796" s="88">
        <f>MIN($B$8,AVERAGE(U1757:U1758)/(1+J1796+$D$8/10000))+$B$7</f>
        <v>61.209254732244695</v>
      </c>
      <c r="U1796" s="88">
        <f t="shared" si="64"/>
        <v>76.12200881233268</v>
      </c>
    </row>
    <row r="1797" spans="1:21" x14ac:dyDescent="0.35">
      <c r="A1797" s="30"/>
      <c r="B1797" s="4"/>
      <c r="C1797" s="4"/>
      <c r="D1797" s="4"/>
      <c r="E1797" s="4"/>
      <c r="F1797" s="4"/>
      <c r="G1797" s="4"/>
      <c r="H1797" s="17"/>
      <c r="I1797" s="9">
        <f>(H1816+$B$1579)*EXP(10*$I$22)</f>
        <v>0.37666917191852578</v>
      </c>
      <c r="J1797" s="9">
        <f>(I1816+$B$1579)*EXP(10*$J$22)</f>
        <v>0.48468195497617106</v>
      </c>
      <c r="K1797" s="9">
        <f>(J1816+$B$1579)*EXP(10*$K$22)</f>
        <v>0.59845563132480761</v>
      </c>
      <c r="L1797" s="87"/>
      <c r="M1797" s="87"/>
      <c r="N1797" s="87"/>
      <c r="O1797" s="87"/>
      <c r="P1797" s="87"/>
      <c r="Q1797" s="87"/>
      <c r="R1797" s="87"/>
      <c r="S1797" s="88">
        <f>MIN($B$8,AVERAGE(T1759:T1760)/(1+I1797+$D$8/10000))+$B$7</f>
        <v>54.893515067917967</v>
      </c>
      <c r="T1797" s="88">
        <f>MIN($B$8,AVERAGE(U1759:U1760)/(1+J1797+$D$8/10000))+$B$7</f>
        <v>61.26845136933558</v>
      </c>
      <c r="U1797" s="88">
        <f t="shared" si="64"/>
        <v>76.155797232584746</v>
      </c>
    </row>
    <row r="1798" spans="1:21" x14ac:dyDescent="0.35">
      <c r="A1798" s="30"/>
      <c r="B1798" s="4"/>
      <c r="C1798" s="4"/>
      <c r="D1798" s="4"/>
      <c r="E1798" s="4"/>
      <c r="F1798" s="4"/>
      <c r="G1798" s="4"/>
      <c r="H1798" s="17"/>
      <c r="I1798" s="8">
        <f>H1816*EXP(10*I$22)</f>
        <v>0.3740445487136802</v>
      </c>
      <c r="J1798" s="8">
        <f>I1816*EXP(10*J$22)</f>
        <v>0.48203625057332772</v>
      </c>
      <c r="K1798" s="8">
        <f>J1816*EXP(10*K$22)</f>
        <v>0.59585712355719611</v>
      </c>
      <c r="L1798" s="87"/>
      <c r="M1798" s="87"/>
      <c r="N1798" s="87"/>
      <c r="O1798" s="87"/>
      <c r="P1798" s="87"/>
      <c r="Q1798" s="87"/>
      <c r="R1798" s="87"/>
      <c r="S1798" s="88">
        <f>MIN($B$8,AVERAGE(T1761:T1762)/(1+I1798+$D$8/10000))+$B$7</f>
        <v>55.253049245246189</v>
      </c>
      <c r="T1798" s="88">
        <f>MIN($B$8,AVERAGE(U1761:U1762)/(1+J1798+$D$8/10000))+$B$7</f>
        <v>61.506349245170256</v>
      </c>
      <c r="U1798" s="88">
        <f t="shared" si="64"/>
        <v>76.286118956918045</v>
      </c>
    </row>
    <row r="1799" spans="1:21" x14ac:dyDescent="0.35">
      <c r="A1799" s="30"/>
      <c r="B1799" s="4"/>
      <c r="C1799" s="4"/>
      <c r="D1799" s="4"/>
      <c r="E1799" s="4"/>
      <c r="F1799" s="4"/>
      <c r="G1799" s="4"/>
      <c r="H1799" s="17"/>
      <c r="I1799" s="9">
        <f>(H1817+$B$1579)*EXP(10*$I$22)</f>
        <v>0.37748934865511807</v>
      </c>
      <c r="J1799" s="9">
        <f>(I1817+$B$1579)*EXP(10*$J$22)</f>
        <v>0.49198438493908669</v>
      </c>
      <c r="K1799" s="9">
        <f>(J1817+$B$1579)*EXP(10*$K$22)</f>
        <v>0.59763778021730918</v>
      </c>
      <c r="L1799" s="87"/>
      <c r="M1799" s="87"/>
      <c r="N1799" s="87"/>
      <c r="O1799" s="87"/>
      <c r="P1799" s="87"/>
      <c r="Q1799" s="87"/>
      <c r="R1799" s="87"/>
      <c r="S1799" s="88">
        <f>MIN($B$8,AVERAGE(T1763:T1764)/(1+I1799+$D$8/10000))+$B$7</f>
        <v>54.781887157559446</v>
      </c>
      <c r="T1799" s="88">
        <f>MIN($B$8,AVERAGE(U1763:U1764)/(1+J1799+$D$8/10000))+$B$7</f>
        <v>60.61958842249301</v>
      </c>
      <c r="U1799" s="88">
        <f t="shared" si="64"/>
        <v>76.1967638274824</v>
      </c>
    </row>
    <row r="1800" spans="1:21" x14ac:dyDescent="0.35">
      <c r="A1800" s="30"/>
      <c r="B1800" s="4"/>
      <c r="C1800" s="4"/>
      <c r="D1800" s="4"/>
      <c r="E1800" s="4"/>
      <c r="F1800" s="4"/>
      <c r="G1800" s="4"/>
      <c r="H1800" s="17"/>
      <c r="I1800" s="8">
        <f>H1817*EXP(10*I$22)</f>
        <v>0.37486472545027255</v>
      </c>
      <c r="J1800" s="8">
        <f>I1817*EXP(10*J$22)</f>
        <v>0.48933868053624335</v>
      </c>
      <c r="K1800" s="8">
        <f>J1817*EXP(10*K$22)</f>
        <v>0.59503927244969756</v>
      </c>
      <c r="L1800" s="87"/>
      <c r="M1800" s="87"/>
      <c r="N1800" s="87"/>
      <c r="O1800" s="87"/>
      <c r="P1800" s="87"/>
      <c r="Q1800" s="87"/>
      <c r="R1800" s="87"/>
      <c r="S1800" s="88">
        <f>MIN($B$8,AVERAGE(T1765:T1766)/(1+I1800+$D$8/10000))+$B$7</f>
        <v>55.140316430075572</v>
      </c>
      <c r="T1800" s="88">
        <f>MIN($B$8,AVERAGE(U1765:U1766)/(1+J1800+$D$8/10000))+$B$7</f>
        <v>60.85336853566988</v>
      </c>
      <c r="U1800" s="88">
        <f t="shared" si="64"/>
        <v>76.32723370843847</v>
      </c>
    </row>
    <row r="1801" spans="1:21" x14ac:dyDescent="0.35">
      <c r="A1801" s="30"/>
      <c r="B1801" s="4"/>
      <c r="C1801" s="4"/>
      <c r="D1801" s="4"/>
      <c r="E1801" s="4"/>
      <c r="F1801" s="4"/>
      <c r="G1801" s="4"/>
      <c r="H1801" s="17"/>
      <c r="I1801" s="9">
        <f>(H1818+$B$1579)*EXP(10*$I$22)</f>
        <v>0.38066095230979696</v>
      </c>
      <c r="J1801" s="9">
        <f>(I1818+$B$1579)*EXP(10*$J$22)</f>
        <v>0.48867772914438923</v>
      </c>
      <c r="K1801" s="9">
        <f>(J1818+$B$1579)*EXP(10*$K$22)</f>
        <v>0.59436402619750306</v>
      </c>
      <c r="L1801" s="87"/>
      <c r="M1801" s="87"/>
      <c r="N1801" s="87"/>
      <c r="O1801" s="87"/>
      <c r="P1801" s="87"/>
      <c r="Q1801" s="87"/>
      <c r="R1801" s="87"/>
      <c r="S1801" s="88">
        <f>MIN($B$8,AVERAGE(T1767:T1768)/(1+I1801+$D$8/10000))+$B$7</f>
        <v>54.35343537519605</v>
      </c>
      <c r="T1801" s="88">
        <f>MIN($B$8,AVERAGE(U1767:U1768)/(1+J1801+$D$8/10000))+$B$7</f>
        <v>60.912002296685436</v>
      </c>
      <c r="U1801" s="88">
        <f t="shared" si="64"/>
        <v>76.361214739086932</v>
      </c>
    </row>
    <row r="1802" spans="1:21" x14ac:dyDescent="0.35">
      <c r="A1802" s="30"/>
      <c r="B1802" s="4"/>
      <c r="C1802" s="4"/>
      <c r="D1802" s="4"/>
      <c r="E1802" s="4"/>
      <c r="F1802" s="4"/>
      <c r="G1802" s="4"/>
      <c r="H1802" s="17"/>
      <c r="I1802" s="8">
        <f>H1818*EXP(10*I$22)</f>
        <v>0.37803632910495144</v>
      </c>
      <c r="J1802" s="8">
        <f>I1818*EXP(10*J$22)</f>
        <v>0.48603202474154583</v>
      </c>
      <c r="K1802" s="8">
        <f>J1818*EXP(10*K$22)</f>
        <v>0.59176551842989156</v>
      </c>
      <c r="L1802" s="87"/>
      <c r="M1802" s="87"/>
      <c r="N1802" s="87"/>
      <c r="O1802" s="87"/>
      <c r="P1802" s="87"/>
      <c r="Q1802" s="87"/>
      <c r="R1802" s="87"/>
      <c r="S1802" s="88">
        <f>MIN($B$8,AVERAGE(T1769:T1770)/(1+I1802+$D$8/10000))+$B$7</f>
        <v>54.707632311681671</v>
      </c>
      <c r="T1802" s="88">
        <f>MIN($B$8,AVERAGE(U1769:U1770)/(1+J1802+$D$8/10000))+$B$7</f>
        <v>61.147635053584587</v>
      </c>
      <c r="U1802" s="88">
        <f t="shared" si="64"/>
        <v>76.492280209136837</v>
      </c>
    </row>
    <row r="1803" spans="1:21" x14ac:dyDescent="0.35">
      <c r="A1803" s="30"/>
      <c r="B1803" s="4"/>
      <c r="C1803" s="4"/>
      <c r="D1803" s="4"/>
      <c r="E1803" s="4"/>
      <c r="F1803" s="4"/>
      <c r="G1803" s="4"/>
      <c r="H1803" s="8">
        <f>G1819*EXP(2*$H$22)</f>
        <v>0.24742316791166979</v>
      </c>
      <c r="I1803" s="9">
        <f>(H1819+$B$1579)*EXP(10*$I$22)</f>
        <v>0.37635381869664142</v>
      </c>
      <c r="J1803" s="9">
        <f>(I1819+$B$1579)*EXP(10*$J$22)</f>
        <v>0.47516644013374137</v>
      </c>
      <c r="K1803" s="9">
        <f>(J1819+$B$1579)*EXP(10*$K$22)</f>
        <v>0.5891615622795483</v>
      </c>
      <c r="L1803" s="87"/>
      <c r="M1803" s="87"/>
      <c r="N1803" s="87"/>
      <c r="O1803" s="87"/>
      <c r="P1803" s="87"/>
      <c r="Q1803" s="87"/>
      <c r="R1803" s="88">
        <f>MIN($B$8,AVERAGE(S1771:S1772)/(1+H1803+$D$8/10000))+$B$7</f>
        <v>63.758140656083057</v>
      </c>
      <c r="S1803" s="88">
        <f>MIN($B$8,AVERAGE(T1771:T1772)/(1+I1803+$D$8/10000))+$B$7</f>
        <v>54.936526787967388</v>
      </c>
      <c r="T1803" s="88">
        <f>MIN($B$8,AVERAGE(U1771:U1772)/(1+J1803+$D$8/10000))+$B$7</f>
        <v>62.131183249871221</v>
      </c>
      <c r="U1803" s="88">
        <f t="shared" si="64"/>
        <v>76.62409763821816</v>
      </c>
    </row>
    <row r="1804" spans="1:21" x14ac:dyDescent="0.35">
      <c r="A1804" s="30"/>
      <c r="B1804" s="4"/>
      <c r="C1804" s="4"/>
      <c r="D1804" s="4"/>
      <c r="E1804" s="4"/>
      <c r="F1804" s="4"/>
      <c r="G1804" s="4"/>
      <c r="H1804" s="9">
        <f>(G1819+$B$1579)*EXP(10*$H$22)</f>
        <v>0.29041660347164638</v>
      </c>
      <c r="I1804" s="8">
        <f>H1819*EXP(10*I$22)</f>
        <v>0.37372919549179584</v>
      </c>
      <c r="J1804" s="8">
        <f>I1819*EXP(10*J$22)</f>
        <v>0.47252073573089798</v>
      </c>
      <c r="K1804" s="8">
        <f>J1819*EXP(10*K$22)</f>
        <v>0.5865630545119368</v>
      </c>
      <c r="L1804" s="87"/>
      <c r="M1804" s="87"/>
      <c r="N1804" s="87"/>
      <c r="O1804" s="87"/>
      <c r="P1804" s="87"/>
      <c r="Q1804" s="87"/>
      <c r="R1804" s="88">
        <f>MIN($B$8,AVERAGE(S1773:S1774)/(1+H1804+$D$8/10000))+$B$7</f>
        <v>53.96321265181146</v>
      </c>
      <c r="S1804" s="88">
        <f>MIN($B$8,AVERAGE(T1773:T1774)/(1+I1804+$D$8/10000))+$B$7</f>
        <v>55.296486944245153</v>
      </c>
      <c r="T1804" s="88">
        <f>MIN($B$8,AVERAGE(U1773:U1774)/(1+J1804+$D$8/10000))+$B$7</f>
        <v>62.374594156854918</v>
      </c>
      <c r="U1804" s="88">
        <f t="shared" si="64"/>
        <v>76.756118008974951</v>
      </c>
    </row>
    <row r="1805" spans="1:21" x14ac:dyDescent="0.35">
      <c r="A1805" s="30"/>
      <c r="B1805" s="4"/>
      <c r="C1805" s="4"/>
      <c r="D1805" s="4"/>
      <c r="E1805" s="4"/>
      <c r="F1805" s="4"/>
      <c r="G1805" s="4"/>
      <c r="H1805" s="8">
        <f>G1820*EXP(10*$H$22)</f>
        <v>0.29107283905763981</v>
      </c>
      <c r="I1805" s="9">
        <f>(H1820+$B$1579)*EXP(10*$I$22)</f>
        <v>0.3795254223513202</v>
      </c>
      <c r="J1805" s="9">
        <f>(I1820+$B$1579)*EXP(10*$J$22)</f>
        <v>0.47185978433904391</v>
      </c>
      <c r="K1805" s="9">
        <f>(J1820+$B$1579)*EXP(10*$K$22)</f>
        <v>0.58588780825974229</v>
      </c>
      <c r="L1805" s="87"/>
      <c r="M1805" s="87"/>
      <c r="N1805" s="87"/>
      <c r="O1805" s="87"/>
      <c r="P1805" s="87"/>
      <c r="Q1805" s="87"/>
      <c r="R1805" s="88">
        <f>MIN($B$8,AVERAGE(S1775:S1776)/(1+H1805+$D$8/10000))+$B$7</f>
        <v>53.831145755224703</v>
      </c>
      <c r="S1805" s="88">
        <f>MIN($B$8,AVERAGE(T1775:T1776)/(1+I1805+$D$8/10000))+$B$7</f>
        <v>54.506250379559681</v>
      </c>
      <c r="T1805" s="88">
        <f>MIN($B$8,AVERAGE(U1775:U1776)/(1+J1805+$D$8/10000))+$B$7</f>
        <v>62.435646733567516</v>
      </c>
      <c r="U1805" s="88">
        <f t="shared" si="64"/>
        <v>76.790503330074003</v>
      </c>
    </row>
    <row r="1806" spans="1:21" x14ac:dyDescent="0.35">
      <c r="A1806" s="30"/>
      <c r="B1806" s="4"/>
      <c r="C1806" s="4"/>
      <c r="D1806" s="4"/>
      <c r="E1806" s="4"/>
      <c r="F1806" s="4"/>
      <c r="G1806" s="4"/>
      <c r="H1806" s="9">
        <f>(G1820+$B$1579)*EXP(10*$H$22)</f>
        <v>0.29361048623782526</v>
      </c>
      <c r="I1806" s="8">
        <f>H1820*EXP(10*I$22)</f>
        <v>0.37690079914647467</v>
      </c>
      <c r="J1806" s="8">
        <f>I1820*EXP(10*J$22)</f>
        <v>0.46921407993620051</v>
      </c>
      <c r="K1806" s="8">
        <f>J1820*EXP(10*K$22)</f>
        <v>0.58328930049213079</v>
      </c>
      <c r="L1806" s="87"/>
      <c r="M1806" s="87"/>
      <c r="N1806" s="87"/>
      <c r="O1806" s="87"/>
      <c r="P1806" s="87"/>
      <c r="Q1806" s="87"/>
      <c r="R1806" s="88">
        <f>MIN($B$8,AVERAGE(S1777:S1778)/(1+H1806+$D$8/10000))+$B$7</f>
        <v>53.324878848103403</v>
      </c>
      <c r="S1806" s="88">
        <f>MIN($B$8,AVERAGE(T1777:T1778)/(1+I1806+$D$8/10000))+$B$7</f>
        <v>54.861955300110928</v>
      </c>
      <c r="T1806" s="88">
        <f>MIN($B$8,AVERAGE(U1777:U1778)/(1+J1806+$D$8/10000))+$B$7</f>
        <v>62.681013534469287</v>
      </c>
      <c r="U1806" s="88">
        <f t="shared" si="64"/>
        <v>76.923129950568821</v>
      </c>
    </row>
    <row r="1807" spans="1:21" x14ac:dyDescent="0.35">
      <c r="A1807" s="30"/>
      <c r="B1807" s="4"/>
      <c r="C1807" s="4"/>
      <c r="D1807" s="4"/>
      <c r="E1807" s="4"/>
      <c r="F1807" s="4"/>
      <c r="G1807" s="4"/>
      <c r="H1807" s="8">
        <f>G1821*EXP(10*$H$22)</f>
        <v>0.29179169413511685</v>
      </c>
      <c r="I1807" s="9">
        <f>(H1821+$B$1579)*EXP(10*$I$22)</f>
        <v>0.38034559908791254</v>
      </c>
      <c r="J1807" s="9">
        <f>(I1821+$B$1579)*EXP(10*$J$22)</f>
        <v>0.47916221430195954</v>
      </c>
      <c r="K1807" s="9">
        <f>(J1821+$B$1579)*EXP(10*$K$22)</f>
        <v>0.58506995715224386</v>
      </c>
      <c r="L1807" s="87"/>
      <c r="M1807" s="87"/>
      <c r="N1807" s="87"/>
      <c r="O1807" s="87"/>
      <c r="P1807" s="87"/>
      <c r="Q1807" s="87"/>
      <c r="R1807" s="88">
        <f>MIN($B$8,AVERAGE(S1779:S1780)/(1+H1807+$D$8/10000))+$B$7</f>
        <v>53.737007401428805</v>
      </c>
      <c r="S1807" s="88">
        <f>MIN($B$8,AVERAGE(T1779:T1780)/(1+I1807+$D$8/10000))+$B$7</f>
        <v>54.395809327450699</v>
      </c>
      <c r="T1807" s="88">
        <f>MIN($B$8,AVERAGE(U1779:U1780)/(1+J1807+$D$8/10000))+$B$7</f>
        <v>61.766496586934132</v>
      </c>
      <c r="U1807" s="88">
        <f t="shared" si="64"/>
        <v>76.832194014241551</v>
      </c>
    </row>
    <row r="1808" spans="1:21" x14ac:dyDescent="0.35">
      <c r="A1808" s="30"/>
      <c r="B1808" s="4"/>
      <c r="C1808" s="4"/>
      <c r="D1808" s="4"/>
      <c r="E1808" s="4"/>
      <c r="F1808" s="4"/>
      <c r="G1808" s="4"/>
      <c r="H1808" s="9">
        <f>(G1821+$B$1579)*EXP(10*$H$22)</f>
        <v>0.29432934131530231</v>
      </c>
      <c r="I1808" s="8">
        <f>H1821*EXP(10*I$22)</f>
        <v>0.37772097588306702</v>
      </c>
      <c r="J1808" s="8">
        <f>I1821*EXP(10*J$22)</f>
        <v>0.47651650989911615</v>
      </c>
      <c r="K1808" s="8">
        <f>J1821*EXP(10*K$22)</f>
        <v>0.58247144938463236</v>
      </c>
      <c r="L1808" s="87"/>
      <c r="M1808" s="87"/>
      <c r="N1808" s="87"/>
      <c r="O1808" s="87"/>
      <c r="P1808" s="87"/>
      <c r="Q1808" s="87"/>
      <c r="R1808" s="88">
        <f>MIN($B$8,AVERAGE(S1781:S1782)/(1+H1808+$D$8/10000))+$B$7</f>
        <v>53.18273459360563</v>
      </c>
      <c r="S1808" s="88">
        <f>MIN($B$8,AVERAGE(T1781:T1782)/(1+I1808+$D$8/10000))+$B$7</f>
        <v>54.750424238658688</v>
      </c>
      <c r="T1808" s="88">
        <f>MIN($B$8,AVERAGE(U1781:U1782)/(1+J1808+$D$8/10000))+$B$7</f>
        <v>62.00757179272712</v>
      </c>
      <c r="U1808" s="88">
        <f t="shared" si="64"/>
        <v>76.964972740321471</v>
      </c>
    </row>
    <row r="1809" spans="1:21" x14ac:dyDescent="0.35">
      <c r="A1809" s="30"/>
      <c r="B1809" s="4"/>
      <c r="C1809" s="4"/>
      <c r="D1809" s="4"/>
      <c r="E1809" s="4"/>
      <c r="F1809" s="4"/>
      <c r="G1809" s="4"/>
      <c r="H1809" s="8">
        <f>G1822*EXP(10*$H$22)</f>
        <v>0.29498557690129573</v>
      </c>
      <c r="I1809" s="9">
        <f>(H1822+$B$1579)*EXP(10*$I$22)</f>
        <v>0.38351720274259143</v>
      </c>
      <c r="J1809" s="9">
        <f>(I1822+$B$1579)*EXP(10*$J$22)</f>
        <v>0.47585555850726197</v>
      </c>
      <c r="K1809" s="9">
        <f>(J1822+$B$1579)*EXP(10*$K$22)</f>
        <v>0.58179620313243785</v>
      </c>
      <c r="L1809" s="87"/>
      <c r="M1809" s="87"/>
      <c r="N1809" s="87"/>
      <c r="O1809" s="87"/>
      <c r="P1809" s="87"/>
      <c r="Q1809" s="87"/>
      <c r="R1809" s="88">
        <f>MIN($B$8,AVERAGE(S1783:S1784)/(1+H1809+$D$8/10000))+$B$7</f>
        <v>53.053457485696327</v>
      </c>
      <c r="S1809" s="88">
        <f>MIN($B$8,AVERAGE(T1783:T1784)/(1+I1809+$D$8/10000))+$B$7</f>
        <v>53.971903920509853</v>
      </c>
      <c r="T1809" s="88">
        <f>MIN($B$8,AVERAGE(U1783:U1784)/(1+J1809+$D$8/10000))+$B$7</f>
        <v>62.068037731694879</v>
      </c>
      <c r="U1809" s="88">
        <f t="shared" si="64"/>
        <v>76.999555805657096</v>
      </c>
    </row>
    <row r="1810" spans="1:21" x14ac:dyDescent="0.35">
      <c r="A1810" s="30"/>
      <c r="B1810" s="4"/>
      <c r="C1810" s="4"/>
      <c r="D1810" s="4"/>
      <c r="E1810" s="4"/>
      <c r="F1810" s="4"/>
      <c r="G1810" s="4"/>
      <c r="H1810" s="9">
        <f>(G1822+$B$1579)*EXP(10*$H$22)</f>
        <v>0.29752322408148119</v>
      </c>
      <c r="I1810" s="8">
        <f>H1822*EXP(10*I$22)</f>
        <v>0.38089257953774586</v>
      </c>
      <c r="J1810" s="8">
        <f>I1822*EXP(10*J$22)</f>
        <v>0.47320985410441863</v>
      </c>
      <c r="K1810" s="8">
        <f>J1822*EXP(10*K$22)</f>
        <v>0.57919769536482635</v>
      </c>
      <c r="L1810" s="87"/>
      <c r="M1810" s="87"/>
      <c r="N1810" s="87"/>
      <c r="O1810" s="87"/>
      <c r="P1810" s="87"/>
      <c r="Q1810" s="87"/>
      <c r="R1810" s="88">
        <f>MIN($B$8,AVERAGE(S1785:S1786)/(1+H1810+$D$8/10000))+$B$7</f>
        <v>52.557863983907502</v>
      </c>
      <c r="S1810" s="88">
        <f>MIN($B$8,AVERAGE(T1785:T1786)/(1+I1810+$D$8/10000))+$B$7</f>
        <v>54.32234344085802</v>
      </c>
      <c r="T1810" s="88">
        <f>MIN($B$8,AVERAGE(U1785:U1786)/(1+J1810+$D$8/10000))+$B$7</f>
        <v>62.311043659620289</v>
      </c>
      <c r="U1810" s="88">
        <f t="shared" si="64"/>
        <v>77.13294601866275</v>
      </c>
    </row>
    <row r="1811" spans="1:21" x14ac:dyDescent="0.35">
      <c r="A1811" s="30"/>
      <c r="B1811" s="4"/>
      <c r="C1811" s="4"/>
      <c r="D1811" s="4"/>
      <c r="E1811" s="4"/>
      <c r="F1811" s="4"/>
      <c r="G1811" s="4"/>
      <c r="H1811" s="8">
        <f>G1823*EXP(10*$H$22)</f>
        <v>0.29282821269965437</v>
      </c>
      <c r="I1811" s="9">
        <f>(H1823+$B$1579)*EXP(10*$I$22)</f>
        <v>0.38124403895327791</v>
      </c>
      <c r="J1811" s="9">
        <f>(I1823+$B$1579)*EXP(10*$J$22)</f>
        <v>0.48019552154153672</v>
      </c>
      <c r="K1811" s="9">
        <f>(J1823+$B$1579)*EXP(10*$K$22)</f>
        <v>0.59410587190513697</v>
      </c>
      <c r="L1811" s="87"/>
      <c r="M1811" s="87"/>
      <c r="N1811" s="87"/>
      <c r="O1811" s="87"/>
      <c r="P1811" s="87"/>
      <c r="Q1811" s="87"/>
      <c r="R1811" s="88">
        <f>MIN($B$8,AVERAGE(S1787:S1788)/(1+H1811+$D$8/10000))+$B$7</f>
        <v>53.480197409419929</v>
      </c>
      <c r="S1811" s="88">
        <f>MIN($B$8,AVERAGE(T1787:T1788)/(1+I1811+$D$8/10000))+$B$7</f>
        <v>54.275217434436271</v>
      </c>
      <c r="T1811" s="88">
        <f>MIN($B$8,AVERAGE(U1787:U1788)/(1+J1811+$D$8/10000))+$B$7</f>
        <v>61.672758361547558</v>
      </c>
      <c r="U1811" s="88">
        <f t="shared" si="64"/>
        <v>76.374214510726063</v>
      </c>
    </row>
    <row r="1812" spans="1:21" x14ac:dyDescent="0.35">
      <c r="A1812" s="30"/>
      <c r="B1812" s="4"/>
      <c r="C1812" s="4"/>
      <c r="D1812" s="4"/>
      <c r="E1812" s="4"/>
      <c r="F1812" s="4"/>
      <c r="G1812" s="4"/>
      <c r="H1812" s="9">
        <f>(G1823+$B$1579)*EXP(10*$H$22)</f>
        <v>0.29536585987983982</v>
      </c>
      <c r="I1812" s="8">
        <f>H1823*EXP(10*I$22)</f>
        <v>0.37861941574843239</v>
      </c>
      <c r="J1812" s="8">
        <f>I1823*EXP(10*J$22)</f>
        <v>0.47754981713869332</v>
      </c>
      <c r="K1812" s="8">
        <f>J1823*EXP(10*K$22)</f>
        <v>0.59150736413752547</v>
      </c>
      <c r="L1812" s="87"/>
      <c r="M1812" s="87"/>
      <c r="N1812" s="87"/>
      <c r="O1812" s="87"/>
      <c r="P1812" s="87"/>
      <c r="Q1812" s="87"/>
      <c r="R1812" s="88">
        <f>MIN($B$8,AVERAGE(S1789:S1790)/(1+H1812+$D$8/10000))+$B$7</f>
        <v>52.97875349959498</v>
      </c>
      <c r="S1812" s="88">
        <f>MIN($B$8,AVERAGE(T1789:T1790)/(1+I1812+$D$8/10000))+$B$7</f>
        <v>54.628643181769789</v>
      </c>
      <c r="T1812" s="88">
        <f>MIN($B$8,AVERAGE(U1789:U1790)/(1+J1812+$D$8/10000))+$B$7</f>
        <v>61.913234451757369</v>
      </c>
      <c r="U1812" s="88">
        <f t="shared" si="64"/>
        <v>76.505327119780645</v>
      </c>
    </row>
    <row r="1813" spans="1:21" x14ac:dyDescent="0.35">
      <c r="A1813" s="30"/>
      <c r="B1813" s="4"/>
      <c r="C1813" s="4"/>
      <c r="D1813" s="4"/>
      <c r="E1813" s="4"/>
      <c r="F1813" s="4"/>
      <c r="G1813" s="4"/>
      <c r="H1813" s="8">
        <f>G1824*EXP(10*$H$22)</f>
        <v>0.2960220954658333</v>
      </c>
      <c r="I1813" s="9">
        <f>(H1824+$B$1579)*EXP(10*$I$22)</f>
        <v>0.3844156426079568</v>
      </c>
      <c r="J1813" s="9">
        <f>(I1824+$B$1579)*EXP(10*$J$22)</f>
        <v>0.47688886574683914</v>
      </c>
      <c r="K1813" s="9">
        <f>(J1824+$B$1579)*EXP(10*$K$22)</f>
        <v>0.59083211788533108</v>
      </c>
      <c r="L1813" s="87"/>
      <c r="M1813" s="87"/>
      <c r="N1813" s="87"/>
      <c r="O1813" s="87"/>
      <c r="P1813" s="87"/>
      <c r="Q1813" s="87"/>
      <c r="R1813" s="88">
        <f>MIN($B$8,AVERAGE(S1791:S1792)/(1+H1813+$D$8/10000))+$B$7</f>
        <v>52.850203265719514</v>
      </c>
      <c r="S1813" s="88">
        <f>MIN($B$8,AVERAGE(T1791:T1792)/(1+I1813+$D$8/10000))+$B$7</f>
        <v>53.852729440074675</v>
      </c>
      <c r="T1813" s="88">
        <f>MIN($B$8,AVERAGE(U1791:U1792)/(1+J1813+$D$8/10000))+$B$7</f>
        <v>61.97354991774322</v>
      </c>
      <c r="U1813" s="88">
        <f t="shared" si="64"/>
        <v>76.539475740886104</v>
      </c>
    </row>
    <row r="1814" spans="1:21" x14ac:dyDescent="0.35">
      <c r="A1814" s="30"/>
      <c r="B1814" s="4"/>
      <c r="C1814" s="4"/>
      <c r="D1814" s="4"/>
      <c r="E1814" s="4"/>
      <c r="F1814" s="4"/>
      <c r="G1814" s="4"/>
      <c r="H1814" s="9">
        <f>(G1824+$B$1579)*EXP(10*$H$22)</f>
        <v>0.2985597426460187</v>
      </c>
      <c r="I1814" s="8">
        <f>H1824*EXP(10*I$22)</f>
        <v>0.38179101940311128</v>
      </c>
      <c r="J1814" s="8">
        <f>I1824*EXP(10*J$22)</f>
        <v>0.4742431613439958</v>
      </c>
      <c r="K1814" s="8">
        <f>J1824*EXP(10*K$22)</f>
        <v>0.58823361011771946</v>
      </c>
      <c r="L1814" s="87"/>
      <c r="M1814" s="87"/>
      <c r="N1814" s="87"/>
      <c r="O1814" s="87"/>
      <c r="P1814" s="87"/>
      <c r="Q1814" s="87"/>
      <c r="R1814" s="88">
        <f>MIN($B$8,AVERAGE(S1793:S1794)/(1+H1814+$D$8/10000))+$B$7</f>
        <v>52.357390788076799</v>
      </c>
      <c r="S1814" s="88">
        <f>MIN($B$8,AVERAGE(T1793:T1794)/(1+I1814+$D$8/10000))+$B$7</f>
        <v>54.20199751695494</v>
      </c>
      <c r="T1814" s="88">
        <f>MIN($B$8,AVERAGE(U1793:U1794)/(1+J1814+$D$8/10000))+$B$7</f>
        <v>62.215950286880684</v>
      </c>
      <c r="U1814" s="88">
        <f t="shared" si="64"/>
        <v>76.671188350538216</v>
      </c>
    </row>
    <row r="1815" spans="1:21" x14ac:dyDescent="0.35">
      <c r="A1815" s="30"/>
      <c r="B1815" s="4"/>
      <c r="C1815" s="4"/>
      <c r="D1815" s="4"/>
      <c r="E1815" s="4"/>
      <c r="F1815" s="4"/>
      <c r="G1815" s="4"/>
      <c r="H1815" s="8">
        <f>G1825*EXP(10*$H$22)</f>
        <v>0.29674095054331029</v>
      </c>
      <c r="I1815" s="9">
        <f>(H1825+$B$1579)*EXP(10*$I$22)</f>
        <v>0.38523581934454915</v>
      </c>
      <c r="J1815" s="9">
        <f>(I1825+$B$1579)*EXP(10*$J$22)</f>
        <v>0.48419129570975478</v>
      </c>
      <c r="K1815" s="9">
        <f>(J1825+$B$1579)*EXP(10*$K$22)</f>
        <v>0.59001426677783264</v>
      </c>
      <c r="L1815" s="87"/>
      <c r="M1815" s="87"/>
      <c r="N1815" s="87"/>
      <c r="O1815" s="87"/>
      <c r="P1815" s="87"/>
      <c r="Q1815" s="87"/>
      <c r="R1815" s="88">
        <f>MIN($B$8,AVERAGE(S1795:S1796)/(1+H1815+$D$8/10000))+$B$7</f>
        <v>52.709911583597986</v>
      </c>
      <c r="S1815" s="88">
        <f>MIN($B$8,AVERAGE(T1795:T1796)/(1+I1815+$D$8/10000))+$B$7</f>
        <v>53.744283516755587</v>
      </c>
      <c r="T1815" s="88">
        <f>MIN($B$8,AVERAGE(U1795:U1796)/(1+J1815+$D$8/10000))+$B$7</f>
        <v>61.31245682641395</v>
      </c>
      <c r="U1815" s="88">
        <f t="shared" si="64"/>
        <v>76.580879287528035</v>
      </c>
    </row>
    <row r="1816" spans="1:21" x14ac:dyDescent="0.35">
      <c r="A1816" s="30"/>
      <c r="B1816" s="4"/>
      <c r="C1816" s="4"/>
      <c r="D1816" s="4"/>
      <c r="E1816" s="4"/>
      <c r="F1816" s="4"/>
      <c r="G1816" s="4"/>
      <c r="H1816" s="9">
        <f>(G1825+$B$1579)*EXP(10*$H$22)</f>
        <v>0.29927859772349574</v>
      </c>
      <c r="I1816" s="8">
        <f>H1825*EXP(10*I$22)</f>
        <v>0.38261119613970362</v>
      </c>
      <c r="J1816" s="8">
        <f>I1825*EXP(10*J$22)</f>
        <v>0.48154559130691144</v>
      </c>
      <c r="K1816" s="8">
        <f>J1825*EXP(10*K$22)</f>
        <v>0.58741575901022103</v>
      </c>
      <c r="L1816" s="87"/>
      <c r="M1816" s="87"/>
      <c r="N1816" s="87"/>
      <c r="O1816" s="87"/>
      <c r="P1816" s="87"/>
      <c r="Q1816" s="87"/>
      <c r="R1816" s="88">
        <f>MIN($B$8,AVERAGE(S1797:S1798)/(1+H1816+$D$8/10000))+$B$7</f>
        <v>52.219016567855427</v>
      </c>
      <c r="S1816" s="88">
        <f>MIN($B$8,AVERAGE(T1797:T1798)/(1+I1816+$D$8/10000))+$B$7</f>
        <v>54.092486527434907</v>
      </c>
      <c r="T1816" s="88">
        <f>MIN($B$8,AVERAGE(U1797:U1798)/(1+J1816+$D$8/10000))+$B$7</f>
        <v>61.550634857399864</v>
      </c>
      <c r="U1816" s="88">
        <f t="shared" si="64"/>
        <v>76.712742432651751</v>
      </c>
    </row>
    <row r="1817" spans="1:21" x14ac:dyDescent="0.35">
      <c r="A1817" s="30"/>
      <c r="B1817" s="4"/>
      <c r="C1817" s="4"/>
      <c r="D1817" s="4"/>
      <c r="E1817" s="4"/>
      <c r="F1817" s="4"/>
      <c r="G1817" s="4"/>
      <c r="H1817" s="8">
        <f>G1826*EXP(10*$H$22)</f>
        <v>0.29993483330948922</v>
      </c>
      <c r="I1817" s="9">
        <f>(H1826+$B$1579)*EXP(10*$I$22)</f>
        <v>0.38840742299922804</v>
      </c>
      <c r="J1817" s="9">
        <f>(I1826+$B$1579)*EXP(10*$J$22)</f>
        <v>0.48088463991505725</v>
      </c>
      <c r="K1817" s="9">
        <f>(J1826+$B$1579)*EXP(10*$K$22)</f>
        <v>0.58674051275802652</v>
      </c>
      <c r="L1817" s="87"/>
      <c r="M1817" s="87"/>
      <c r="N1817" s="87"/>
      <c r="O1817" s="87"/>
      <c r="P1817" s="87"/>
      <c r="Q1817" s="87"/>
      <c r="R1817" s="88">
        <f>MIN($B$8,AVERAGE(S1799:S1800)/(1+H1817+$D$8/10000))+$B$7</f>
        <v>52.09316533484872</v>
      </c>
      <c r="S1817" s="88">
        <f>MIN($B$8,AVERAGE(T1799:T1800)/(1+I1817+$D$8/10000))+$B$7</f>
        <v>53.328020919229928</v>
      </c>
      <c r="T1817" s="88">
        <f>MIN($B$8,AVERAGE(U1799:U1800)/(1+J1817+$D$8/10000))+$B$7</f>
        <v>61.610373152576081</v>
      </c>
      <c r="U1817" s="88">
        <f t="shared" si="64"/>
        <v>76.747086756770983</v>
      </c>
    </row>
    <row r="1818" spans="1:21" x14ac:dyDescent="0.35">
      <c r="A1818" s="30"/>
      <c r="B1818" s="4"/>
      <c r="C1818" s="4"/>
      <c r="D1818" s="4"/>
      <c r="E1818" s="4"/>
      <c r="F1818" s="4"/>
      <c r="G1818" s="4"/>
      <c r="H1818" s="9">
        <f>(G1826+$B$1579)*EXP(10*$H$22)</f>
        <v>0.30247248048967468</v>
      </c>
      <c r="I1818" s="8">
        <f>H1826*EXP(10*I$22)</f>
        <v>0.38578279979438251</v>
      </c>
      <c r="J1818" s="8">
        <f>I1826*EXP(10*J$22)</f>
        <v>0.47823893551221386</v>
      </c>
      <c r="K1818" s="8">
        <f>J1826*EXP(10*K$22)</f>
        <v>0.58414200499041502</v>
      </c>
      <c r="L1818" s="87"/>
      <c r="M1818" s="87"/>
      <c r="N1818" s="87"/>
      <c r="O1818" s="87"/>
      <c r="P1818" s="87"/>
      <c r="Q1818" s="87"/>
      <c r="R1818" s="88">
        <f>MIN($B$8,AVERAGE(S1801:S1802)/(1+H1818+$D$8/10000))+$B$7</f>
        <v>51.610679576055823</v>
      </c>
      <c r="S1818" s="88">
        <f>MIN($B$8,AVERAGE(T1801:T1802)/(1+I1818+$D$8/10000))+$B$7</f>
        <v>53.672143900496927</v>
      </c>
      <c r="T1818" s="88">
        <f>MIN($B$8,AVERAGE(U1801:U1802)/(1+J1818+$D$8/10000))+$B$7</f>
        <v>61.850450799108472</v>
      </c>
      <c r="U1818" s="88">
        <f t="shared" si="64"/>
        <v>76.879555067722464</v>
      </c>
    </row>
    <row r="1819" spans="1:21" x14ac:dyDescent="0.35">
      <c r="A1819" s="30"/>
      <c r="B1819" s="4"/>
      <c r="C1819" s="4"/>
      <c r="D1819" s="4"/>
      <c r="E1819" s="4"/>
      <c r="F1819" s="4"/>
      <c r="G1819" s="8">
        <f>F1827*EXP(10*$G$22)</f>
        <v>0.23823083560729247</v>
      </c>
      <c r="H1819" s="8">
        <f>G1827*EXP(10*$H$22)</f>
        <v>0.29902627892789319</v>
      </c>
      <c r="I1819" s="9">
        <f>(H1827+$B$1579)*EXP(10*$I$22)</f>
        <v>0.37505835646962304</v>
      </c>
      <c r="J1819" s="9">
        <f>(I1827+$B$1579)*EXP(10*$J$22)</f>
        <v>0.47403453236827137</v>
      </c>
      <c r="K1819" s="9">
        <f>(J1827+$B$1579)*EXP(10*$K$22)</f>
        <v>0.58788296376127669</v>
      </c>
      <c r="L1819" s="89"/>
      <c r="M1819" s="87"/>
      <c r="N1819" s="87"/>
      <c r="O1819" s="87"/>
      <c r="P1819" s="87"/>
      <c r="Q1819" s="88">
        <f>MIN($B$8,AVERAGE(R1803:R1804)/(1+G1819+$D$8/10000))+$B$7</f>
        <v>58.44513103246576</v>
      </c>
      <c r="R1819" s="88">
        <f>MIN($B$8,AVERAGE(S1803:S1804)/(1+H1819+$D$8/10000))+$B$7</f>
        <v>52.267524715864923</v>
      </c>
      <c r="S1819" s="88">
        <f>MIN($B$8,AVERAGE(T1803:T1804)/(1+I1819+$D$8/10000))+$B$7</f>
        <v>55.113752605131786</v>
      </c>
      <c r="T1819" s="88">
        <f>MIN($B$8,AVERAGE(U1803:U1804)/(1+J1819+$D$8/10000))+$B$7</f>
        <v>62.235130898729579</v>
      </c>
      <c r="U1819" s="88">
        <f t="shared" si="64"/>
        <v>76.6889984743394</v>
      </c>
    </row>
    <row r="1820" spans="1:21" x14ac:dyDescent="0.35">
      <c r="A1820" s="30"/>
      <c r="B1820" s="4"/>
      <c r="C1820" s="4"/>
      <c r="D1820" s="4"/>
      <c r="E1820" s="4"/>
      <c r="F1820" s="4"/>
      <c r="G1820" s="9">
        <f>(F1827+$B$1579)*EXP(10*$G$22)</f>
        <v>0.24087389562814435</v>
      </c>
      <c r="H1820" s="9">
        <f>(G1827+$B$1579)*EXP(10*$H$22)</f>
        <v>0.30156392610807858</v>
      </c>
      <c r="I1820" s="8">
        <f>H1827*EXP(10*I$22)</f>
        <v>0.37243373326477752</v>
      </c>
      <c r="J1820" s="8">
        <f>I1827*EXP(10*J$22)</f>
        <v>0.47138882796542797</v>
      </c>
      <c r="K1820" s="8">
        <f>J1827*EXP(10*K$22)</f>
        <v>0.58528445599366508</v>
      </c>
      <c r="L1820" s="89"/>
      <c r="M1820" s="87"/>
      <c r="N1820" s="87"/>
      <c r="O1820" s="87"/>
      <c r="P1820" s="87"/>
      <c r="Q1820" s="88">
        <f>MIN($B$8,AVERAGE(R1805:R1806)/(1+G1820+$D$8/10000))+$B$7</f>
        <v>53.437890739499778</v>
      </c>
      <c r="R1820" s="88">
        <f>MIN($B$8,AVERAGE(S1805:S1806)/(1+H1820+$D$8/10000))+$B$7</f>
        <v>51.782664942310554</v>
      </c>
      <c r="S1820" s="88">
        <f>MIN($B$8,AVERAGE(T1805:T1806)/(1+I1820+$D$8/10000))+$B$7</f>
        <v>55.475469400527921</v>
      </c>
      <c r="T1820" s="88">
        <f>MIN($B$8,AVERAGE(U1805:U1806)/(1+J1820+$D$8/10000))+$B$7</f>
        <v>62.479208969287711</v>
      </c>
      <c r="U1820" s="88">
        <f t="shared" si="64"/>
        <v>76.821255126526253</v>
      </c>
    </row>
    <row r="1821" spans="1:21" x14ac:dyDescent="0.35">
      <c r="A1821" s="30"/>
      <c r="B1821" s="4"/>
      <c r="C1821" s="4"/>
      <c r="D1821" s="4"/>
      <c r="E1821" s="4"/>
      <c r="F1821" s="4"/>
      <c r="G1821" s="8">
        <f>F1828*EXP(10*$G$22)</f>
        <v>0.24146877567076377</v>
      </c>
      <c r="H1821" s="8">
        <f>G1828*EXP(10*$H$22)</f>
        <v>0.30222016169407206</v>
      </c>
      <c r="I1821" s="9">
        <f>(H1828+$B$1579)*EXP(10*$I$22)</f>
        <v>0.37822996012430193</v>
      </c>
      <c r="J1821" s="9">
        <f>(I1828+$B$1579)*EXP(10*$J$22)</f>
        <v>0.47072787657357384</v>
      </c>
      <c r="K1821" s="9">
        <f>(J1828+$B$1579)*EXP(10*$K$22)</f>
        <v>0.58460920974147057</v>
      </c>
      <c r="L1821" s="89"/>
      <c r="M1821" s="87"/>
      <c r="N1821" s="87"/>
      <c r="O1821" s="87"/>
      <c r="P1821" s="87"/>
      <c r="Q1821" s="88">
        <f>MIN($B$8,AVERAGE(R1807:R1808)/(1+G1821+$D$8/10000))+$B$7</f>
        <v>53.301816182352546</v>
      </c>
      <c r="R1821" s="88">
        <f>MIN($B$8,AVERAGE(S1807:S1808)/(1+H1821+$D$8/10000))+$B$7</f>
        <v>51.658357925561077</v>
      </c>
      <c r="S1821" s="88">
        <f>MIN($B$8,AVERAGE(T1807:T1808)/(1+I1821+$D$8/10000))+$B$7</f>
        <v>54.681382532786941</v>
      </c>
      <c r="T1821" s="88">
        <f>MIN($B$8,AVERAGE(U1807:U1808)/(1+J1821+$D$8/10000))+$B$7</f>
        <v>62.540429113562489</v>
      </c>
      <c r="U1821" s="88">
        <f t="shared" si="64"/>
        <v>76.855702058760869</v>
      </c>
    </row>
    <row r="1822" spans="1:21" x14ac:dyDescent="0.35">
      <c r="A1822" s="30"/>
      <c r="B1822" s="4"/>
      <c r="C1822" s="4"/>
      <c r="D1822" s="4"/>
      <c r="E1822" s="4"/>
      <c r="F1822" s="4"/>
      <c r="G1822" s="9">
        <f>(F1828+$B$1579)*EXP(10*$G$22)</f>
        <v>0.24411183569161565</v>
      </c>
      <c r="H1822" s="9">
        <f>(G1828+$B$1579)*EXP(10*$H$22)</f>
        <v>0.30475780887425752</v>
      </c>
      <c r="I1822" s="8">
        <f>H1828*EXP(10*I$22)</f>
        <v>0.37560533691945636</v>
      </c>
      <c r="J1822" s="8">
        <f>I1828*EXP(10*J$22)</f>
        <v>0.46808217217073045</v>
      </c>
      <c r="K1822" s="8">
        <f>J1828*EXP(10*K$22)</f>
        <v>0.58201070197385907</v>
      </c>
      <c r="L1822" s="89"/>
      <c r="M1822" s="87"/>
      <c r="N1822" s="87"/>
      <c r="O1822" s="87"/>
      <c r="P1822" s="87"/>
      <c r="Q1822" s="88">
        <f>MIN($B$8,AVERAGE(R1809:R1810)/(1+G1822+$D$8/10000))+$B$7</f>
        <v>52.580076502569312</v>
      </c>
      <c r="R1822" s="88">
        <f>MIN($B$8,AVERAGE(S1809:S1810)/(1+H1822+$D$8/10000))+$B$7</f>
        <v>51.181780767231899</v>
      </c>
      <c r="S1822" s="88">
        <f>MIN($B$8,AVERAGE(T1809:T1810)/(1+I1822+$D$8/10000))+$B$7</f>
        <v>55.038817784268737</v>
      </c>
      <c r="T1822" s="88">
        <f>MIN($B$8,AVERAGE(U1809:U1810)/(1+J1822+$D$8/10000))+$B$7</f>
        <v>62.786470283313491</v>
      </c>
      <c r="U1822" s="88">
        <f t="shared" si="64"/>
        <v>76.988566590824661</v>
      </c>
    </row>
    <row r="1823" spans="1:21" x14ac:dyDescent="0.35">
      <c r="A1823" s="30"/>
      <c r="B1823" s="4"/>
      <c r="C1823" s="4"/>
      <c r="D1823" s="4"/>
      <c r="E1823" s="4"/>
      <c r="F1823" s="4"/>
      <c r="G1823" s="8">
        <f>F1829*EXP(10*$G$22)</f>
        <v>0.24232653438620888</v>
      </c>
      <c r="H1823" s="8">
        <f>G1829*EXP(10*$H$22)</f>
        <v>0.30293901677154911</v>
      </c>
      <c r="I1823" s="9">
        <f>(H1829+$B$1579)*EXP(10*$I$22)</f>
        <v>0.37905013686089428</v>
      </c>
      <c r="J1823" s="9">
        <f>(I1829+$B$1579)*EXP(10*$J$22)</f>
        <v>0.47803030653648942</v>
      </c>
      <c r="K1823" s="9">
        <f>(J1829+$B$1579)*EXP(10*$K$22)</f>
        <v>0.58379135863397225</v>
      </c>
      <c r="L1823" s="89"/>
      <c r="M1823" s="87"/>
      <c r="N1823" s="87"/>
      <c r="O1823" s="87"/>
      <c r="P1823" s="87"/>
      <c r="Q1823" s="88">
        <f>MIN($B$8,AVERAGE(R1811:R1812)/(1+G1823+$D$8/10000))+$B$7</f>
        <v>53.050539480956083</v>
      </c>
      <c r="R1823" s="88">
        <f>MIN($B$8,AVERAGE(S1811:S1812)/(1+H1823+$D$8/10000))+$B$7</f>
        <v>51.522693146129804</v>
      </c>
      <c r="S1823" s="88">
        <f>MIN($B$8,AVERAGE(T1811:T1812)/(1+I1823+$D$8/10000))+$B$7</f>
        <v>54.570405170176109</v>
      </c>
      <c r="T1823" s="88">
        <f>MIN($B$8,AVERAGE(U1811:U1812)/(1+J1823+$D$8/10000))+$B$7</f>
        <v>61.869447404160873</v>
      </c>
      <c r="U1823" s="88">
        <f t="shared" si="64"/>
        <v>76.897467482808935</v>
      </c>
    </row>
    <row r="1824" spans="1:21" x14ac:dyDescent="0.35">
      <c r="A1824" s="30"/>
      <c r="B1824" s="4"/>
      <c r="C1824" s="4"/>
      <c r="D1824" s="4"/>
      <c r="E1824" s="4"/>
      <c r="F1824" s="4"/>
      <c r="G1824" s="9">
        <f>(F1829+$B$1579)*EXP(10*$G$22)</f>
        <v>0.24496959440706079</v>
      </c>
      <c r="H1824" s="9">
        <f>(G1829+$B$1579)*EXP(10*$H$22)</f>
        <v>0.30547666395173456</v>
      </c>
      <c r="I1824" s="8">
        <f>H1829*EXP(10*I$22)</f>
        <v>0.3764255136560487</v>
      </c>
      <c r="J1824" s="8">
        <f>I1829*EXP(10*J$22)</f>
        <v>0.47538460213364608</v>
      </c>
      <c r="K1824" s="8">
        <f>J1829*EXP(10*K$22)</f>
        <v>0.58119285086636074</v>
      </c>
      <c r="L1824" s="89"/>
      <c r="M1824" s="87"/>
      <c r="N1824" s="87"/>
      <c r="O1824" s="87"/>
      <c r="P1824" s="87"/>
      <c r="Q1824" s="88">
        <f>MIN($B$8,AVERAGE(R1813:R1814)/(1+G1824+$D$8/10000))+$B$7</f>
        <v>52.356207383286552</v>
      </c>
      <c r="R1824" s="88">
        <f>MIN($B$8,AVERAGE(S1813:S1814)/(1+H1824+$D$8/10000))+$B$7</f>
        <v>51.047956139476014</v>
      </c>
      <c r="S1824" s="88">
        <f>MIN($B$8,AVERAGE(T1813:T1814)/(1+I1824+$D$8/10000))+$B$7</f>
        <v>54.926743686705855</v>
      </c>
      <c r="T1824" s="88">
        <f>MIN($B$8,AVERAGE(U1813:U1814)/(1+J1824+$D$8/10000))+$B$7</f>
        <v>62.111181194985754</v>
      </c>
      <c r="U1824" s="88">
        <f t="shared" si="64"/>
        <v>77.030484530039715</v>
      </c>
    </row>
    <row r="1825" spans="1:21" x14ac:dyDescent="0.35">
      <c r="A1825" s="30"/>
      <c r="B1825" s="4"/>
      <c r="C1825" s="4"/>
      <c r="D1825" s="4"/>
      <c r="E1825" s="4"/>
      <c r="F1825" s="4"/>
      <c r="G1825" s="8">
        <f>F1830*EXP(10*$G$22)</f>
        <v>0.24556447444968019</v>
      </c>
      <c r="H1825" s="8">
        <f>G1830*EXP(10*$H$22)</f>
        <v>0.30613289953772804</v>
      </c>
      <c r="I1825" s="9">
        <f>(H1830+$B$1579)*EXP(10*$I$22)</f>
        <v>0.38222174051557312</v>
      </c>
      <c r="J1825" s="9">
        <f>(I1830+$B$1579)*EXP(10*$J$22)</f>
        <v>0.4747236507417919</v>
      </c>
      <c r="K1825" s="9">
        <f>(J1830+$B$1579)*EXP(10*$K$22)</f>
        <v>0.58051760461416624</v>
      </c>
      <c r="L1825" s="89"/>
      <c r="M1825" s="87"/>
      <c r="N1825" s="87"/>
      <c r="O1825" s="87"/>
      <c r="P1825" s="87"/>
      <c r="Q1825" s="88">
        <f>MIN($B$8,AVERAGE(R1815:R1816)/(1+G1825+$D$8/10000))+$B$7</f>
        <v>52.201766213122845</v>
      </c>
      <c r="R1825" s="88">
        <f>MIN($B$8,AVERAGE(S1815:S1816)/(1+H1825+$D$8/10000))+$B$7</f>
        <v>50.926239301735386</v>
      </c>
      <c r="S1825" s="88">
        <f>MIN($B$8,AVERAGE(T1815:T1816)/(1+I1825+$D$8/10000))+$B$7</f>
        <v>54.144445358886983</v>
      </c>
      <c r="T1825" s="88">
        <f>MIN($B$8,AVERAGE(U1815:U1816)/(1+J1825+$D$8/10000))+$B$7</f>
        <v>62.171812543980082</v>
      </c>
      <c r="U1825" s="88">
        <f t="shared" si="64"/>
        <v>77.065129738987011</v>
      </c>
    </row>
    <row r="1826" spans="1:21" x14ac:dyDescent="0.35">
      <c r="A1826" s="30"/>
      <c r="B1826" s="4"/>
      <c r="C1826" s="4"/>
      <c r="D1826" s="4"/>
      <c r="E1826" s="4"/>
      <c r="F1826" s="4"/>
      <c r="G1826" s="9">
        <f>(F1830+$B$1579)*EXP(10*$G$22)</f>
        <v>0.24820753447053209</v>
      </c>
      <c r="H1826" s="9">
        <f>(G1830+$B$1579)*EXP(10*$H$22)</f>
        <v>0.3086705467179135</v>
      </c>
      <c r="I1826" s="8">
        <f>H1830*EXP(10*I$22)</f>
        <v>0.37959711731072754</v>
      </c>
      <c r="J1826" s="8">
        <f>I1830*EXP(10*J$22)</f>
        <v>0.47207794633894851</v>
      </c>
      <c r="K1826" s="8">
        <f>J1830*EXP(10*K$22)</f>
        <v>0.57791909684655474</v>
      </c>
      <c r="L1826" s="90"/>
      <c r="M1826" s="87"/>
      <c r="N1826" s="87"/>
      <c r="O1826" s="87"/>
      <c r="P1826" s="87"/>
      <c r="Q1826" s="88">
        <f>MIN($B$8,AVERAGE(R1817:R1818)/(1+G1826+$D$8/10000))+$B$7</f>
        <v>51.523590961493383</v>
      </c>
      <c r="R1826" s="88">
        <f>MIN($B$8,AVERAGE(S1817:S1818)/(1+H1826+$D$8/10000))+$B$7</f>
        <v>50.459573275424617</v>
      </c>
      <c r="S1826" s="88">
        <f>MIN($B$8,AVERAGE(T1817:T1818)/(1+I1826+$D$8/10000))+$B$7</f>
        <v>54.496582772419551</v>
      </c>
      <c r="T1826" s="88">
        <f>MIN($B$8,AVERAGE(U1817:U1818)/(1+J1826+$D$8/10000))+$B$7</f>
        <v>62.415484146052179</v>
      </c>
      <c r="U1826" s="88">
        <f t="shared" si="64"/>
        <v>77.198759922094183</v>
      </c>
    </row>
    <row r="1827" spans="1:21" x14ac:dyDescent="0.35">
      <c r="A1827" s="30"/>
      <c r="B1827" s="4"/>
      <c r="C1827" s="4"/>
      <c r="D1827" s="4"/>
      <c r="E1827" s="4"/>
      <c r="F1827" s="8">
        <f>E1831*EXP(10*$F$22)</f>
        <v>0.18928240404244162</v>
      </c>
      <c r="G1827" s="8">
        <f>F1831*EXP(10*$G$22)</f>
        <v>0.24745567100572519</v>
      </c>
      <c r="H1827" s="8">
        <f>G1831*EXP(10*$H$22)</f>
        <v>0.29798976036335562</v>
      </c>
      <c r="I1827" s="9">
        <f>(H1831+$B$1579)*EXP(10*$I$22)</f>
        <v>0.37415991660425774</v>
      </c>
      <c r="J1827" s="9">
        <f>(I1831+$B$1579)*EXP(10*$J$22)</f>
        <v>0.47300122512869419</v>
      </c>
      <c r="K1827" s="9">
        <f>(J1831+$B$1579)*EXP(10*$K$22)</f>
        <v>0.58293865413568779</v>
      </c>
      <c r="L1827" s="87"/>
      <c r="M1827" s="87"/>
      <c r="N1827" s="87"/>
      <c r="O1827" s="87"/>
      <c r="P1827" s="88">
        <f>MIN($B$8,AVERAGE(Q1819:Q1820)/(1+F1827+$D$8/10000))+$B$7</f>
        <v>58.198886392055016</v>
      </c>
      <c r="Q1827" s="88">
        <f>MIN($B$8,AVERAGE(R1819:R1820)/(1+G1827+$D$8/10000))+$B$7</f>
        <v>51.715188418061707</v>
      </c>
      <c r="R1827" s="88">
        <f>MIN($B$8,AVERAGE(S1819:S1820)/(1+H1827+$D$8/10000))+$B$7</f>
        <v>52.467491732041559</v>
      </c>
      <c r="S1827" s="88">
        <f>MIN($B$8,AVERAGE(T1819:T1820)/(1+I1827+$D$8/10000))+$B$7</f>
        <v>55.237170987543898</v>
      </c>
      <c r="T1827" s="88">
        <f>MIN($B$8,AVERAGE(U1819:U1820)/(1+J1827+$D$8/10000))+$B$7</f>
        <v>62.330272244478991</v>
      </c>
      <c r="U1827" s="88">
        <f t="shared" si="64"/>
        <v>76.941063794456937</v>
      </c>
    </row>
    <row r="1828" spans="1:21" x14ac:dyDescent="0.35">
      <c r="A1828" s="30"/>
      <c r="B1828" s="4"/>
      <c r="C1828" s="4"/>
      <c r="D1828" s="4"/>
      <c r="E1828" s="4"/>
      <c r="F1828" s="9">
        <f>(E1831+$B$1579)*EXP(10*$F$22)</f>
        <v>0.19185505622576135</v>
      </c>
      <c r="G1828" s="9">
        <f>(F1831+$B$1579)*EXP(10*$G$22)</f>
        <v>0.25009873102657709</v>
      </c>
      <c r="H1828" s="9">
        <f>(G1831+$B$1579)*EXP(10*$H$22)</f>
        <v>0.30052740754354107</v>
      </c>
      <c r="I1828" s="8">
        <f>H1831*EXP(10*I$22)</f>
        <v>0.37153529339941216</v>
      </c>
      <c r="J1828" s="8">
        <f>I1831*EXP(10*J$22)</f>
        <v>0.4703555207258508</v>
      </c>
      <c r="K1828" s="8">
        <f>J1831*EXP(10*K$22)</f>
        <v>0.58034014636807629</v>
      </c>
      <c r="L1828" s="87"/>
      <c r="M1828" s="87"/>
      <c r="N1828" s="87"/>
      <c r="O1828" s="87"/>
      <c r="P1828" s="88">
        <f>MIN($B$8,AVERAGE(Q1821:Q1822)/(1+F1828+$D$8/10000))+$B$7</f>
        <v>55.164264384944033</v>
      </c>
      <c r="Q1828" s="88">
        <f>MIN($B$8,AVERAGE(R1821:R1822)/(1+G1828+$D$8/10000))+$B$7</f>
        <v>51.046240104325676</v>
      </c>
      <c r="R1828" s="88">
        <f>MIN($B$8,AVERAGE(S1821:S1822)/(1+H1828+$D$8/10000))+$B$7</f>
        <v>51.979906020942018</v>
      </c>
      <c r="S1828" s="88">
        <f>MIN($B$8,AVERAGE(T1821:T1822)/(1+I1828+$D$8/10000))+$B$7</f>
        <v>55.600112449302607</v>
      </c>
      <c r="T1828" s="88">
        <f>MIN($B$8,AVERAGE(U1821:U1822)/(1+J1828+$D$8/10000))+$B$7</f>
        <v>62.57496150567961</v>
      </c>
      <c r="U1828" s="88">
        <f t="shared" si="64"/>
        <v>77.074240136216048</v>
      </c>
    </row>
    <row r="1829" spans="1:21" x14ac:dyDescent="0.35">
      <c r="A1829" s="30"/>
      <c r="B1829" s="4"/>
      <c r="C1829" s="4"/>
      <c r="D1829" s="4"/>
      <c r="E1829" s="4"/>
      <c r="F1829" s="8">
        <f>E1832*EXP(10*$F$22)</f>
        <v>0.1925365743480226</v>
      </c>
      <c r="G1829" s="8">
        <f>F1832*EXP(10*$G$22)</f>
        <v>0.25069361106919652</v>
      </c>
      <c r="H1829" s="8">
        <f>G1832*EXP(10*$H$22)</f>
        <v>0.30118364312953455</v>
      </c>
      <c r="I1829" s="9">
        <f>(H1832+$B$1579)*EXP(10*$I$22)</f>
        <v>0.37733152025893657</v>
      </c>
      <c r="J1829" s="9">
        <f>(I1832+$B$1579)*EXP(10*$J$22)</f>
        <v>0.46969456933399673</v>
      </c>
      <c r="K1829" s="9">
        <f>(J1832+$B$1579)*EXP(10*$K$22)</f>
        <v>0.5796649001158819</v>
      </c>
      <c r="L1829" s="87"/>
      <c r="M1829" s="87"/>
      <c r="N1829" s="87"/>
      <c r="O1829" s="87"/>
      <c r="P1829" s="88">
        <f>MIN($B$8,AVERAGE(Q1823:Q1824)/(1+F1829+$D$8/10000))+$B$7</f>
        <v>54.901138487852187</v>
      </c>
      <c r="Q1829" s="88">
        <f>MIN($B$8,AVERAGE(R1823:R1824)/(1+G1829+$D$8/10000))+$B$7</f>
        <v>50.897431593083397</v>
      </c>
      <c r="R1829" s="88">
        <f>MIN($B$8,AVERAGE(S1823:S1824)/(1+H1829+$D$8/10000))+$B$7</f>
        <v>51.85490152251726</v>
      </c>
      <c r="S1829" s="88">
        <f>MIN($B$8,AVERAGE(T1823:T1824)/(1+I1829+$D$8/10000))+$B$7</f>
        <v>54.80334130908021</v>
      </c>
      <c r="T1829" s="88">
        <f>MIN($B$8,AVERAGE(U1823:U1824)/(1+J1829+$D$8/10000))+$B$7</f>
        <v>62.636335159859087</v>
      </c>
      <c r="U1829" s="88">
        <f t="shared" si="64"/>
        <v>77.108926882235366</v>
      </c>
    </row>
    <row r="1830" spans="1:21" x14ac:dyDescent="0.35">
      <c r="A1830" s="30"/>
      <c r="B1830" s="4"/>
      <c r="C1830" s="4"/>
      <c r="D1830" s="4"/>
      <c r="E1830" s="4"/>
      <c r="F1830" s="9">
        <f>(E1832+$B$1579)*EXP(10*$F$22)</f>
        <v>0.19510922653134233</v>
      </c>
      <c r="G1830" s="9">
        <f>(F1832+$B$1579)*EXP(10*$G$22)</f>
        <v>0.25333667109004843</v>
      </c>
      <c r="H1830" s="9">
        <f>(G1832+$B$1579)*EXP(10*$H$22)</f>
        <v>0.30372129030971995</v>
      </c>
      <c r="I1830" s="8">
        <f>H1832*EXP(10*I$22)</f>
        <v>0.37470689705409099</v>
      </c>
      <c r="J1830" s="8">
        <f>I1832*EXP(10*J$22)</f>
        <v>0.46704886493115333</v>
      </c>
      <c r="K1830" s="8">
        <f>J1832*EXP(10*K$22)</f>
        <v>0.57706639234827029</v>
      </c>
      <c r="L1830" s="87"/>
      <c r="M1830" s="87"/>
      <c r="N1830" s="87"/>
      <c r="O1830" s="87"/>
      <c r="P1830" s="88">
        <f>MIN($B$8,AVERAGE(Q1825:Q1826)/(1+F1830+$D$8/10000))+$B$7</f>
        <v>53.965044831022048</v>
      </c>
      <c r="Q1830" s="88">
        <f>MIN($B$8,AVERAGE(R1825:R1826)/(1+G1830+$D$8/10000))+$B$7</f>
        <v>50.243931573753223</v>
      </c>
      <c r="R1830" s="88">
        <f>MIN($B$8,AVERAGE(S1825:S1826)/(1+H1830+$D$8/10000))+$B$7</f>
        <v>51.375655584284168</v>
      </c>
      <c r="S1830" s="88">
        <f>MIN($B$8,AVERAGE(T1825:T1826)/(1+I1830+$D$8/10000))+$B$7</f>
        <v>55.16198286591564</v>
      </c>
      <c r="T1830" s="88">
        <f>MIN($B$8,AVERAGE(U1825:U1826)/(1+J1830+$D$8/10000))+$B$7</f>
        <v>62.882994126964107</v>
      </c>
      <c r="U1830" s="88">
        <f t="shared" si="64"/>
        <v>77.242717462862061</v>
      </c>
    </row>
    <row r="1831" spans="1:21" x14ac:dyDescent="0.35">
      <c r="A1831" s="30"/>
      <c r="B1831" s="4"/>
      <c r="C1831" s="4"/>
      <c r="D1831" s="4"/>
      <c r="E1831" s="8">
        <f>D1832*EXP(10*$E$22)</f>
        <v>0.154507107904576</v>
      </c>
      <c r="F1831" s="8">
        <f>E1833*EXP(10*$F$22)</f>
        <v>0.19661184574405866</v>
      </c>
      <c r="G1831" s="8">
        <f>F1833*EXP(10*$G$22)</f>
        <v>0.24659791229028005</v>
      </c>
      <c r="H1831" s="8">
        <f>G1833*EXP(10*$H$22)</f>
        <v>0.29727090528587863</v>
      </c>
      <c r="I1831" s="9">
        <f>(H1833+$B$1579)*EXP(10*$I$22)</f>
        <v>0.37333973986766539</v>
      </c>
      <c r="J1831" s="9">
        <f>(I1833+$B$1579)*EXP(10*$J$22)</f>
        <v>0.46900545096047602</v>
      </c>
      <c r="K1831" s="9">
        <f>(J1833+$B$1579)*EXP(10*$K$22)</f>
        <v>0.57884704900838346</v>
      </c>
      <c r="L1831" s="87"/>
      <c r="M1831" s="87"/>
      <c r="N1831" s="87"/>
      <c r="O1831" s="88">
        <f t="shared" ref="O1831:T1831" si="65">MIN($B$8,AVERAGE(P1827:P1828)/(1+E1831+$D$8/10000))+$B$7</f>
        <v>60.830636014479815</v>
      </c>
      <c r="P1831" s="88">
        <f t="shared" si="65"/>
        <v>53.429159798760594</v>
      </c>
      <c r="Q1831" s="88">
        <f t="shared" si="65"/>
        <v>51.935050025206429</v>
      </c>
      <c r="R1831" s="88">
        <f t="shared" si="65"/>
        <v>52.606835752926166</v>
      </c>
      <c r="S1831" s="88">
        <f t="shared" si="65"/>
        <v>55.350202870332801</v>
      </c>
      <c r="T1831" s="88">
        <f t="shared" si="65"/>
        <v>62.700429151987059</v>
      </c>
      <c r="U1831" s="88">
        <f t="shared" si="64"/>
        <v>77.150983223094727</v>
      </c>
    </row>
    <row r="1832" spans="1:21" x14ac:dyDescent="0.35">
      <c r="A1832" s="30"/>
      <c r="B1832" s="4"/>
      <c r="C1832" s="4"/>
      <c r="D1832" s="8">
        <f>C1834*EXP(10*$D$22)</f>
        <v>0.12214881556979938</v>
      </c>
      <c r="E1832" s="9">
        <f>(D1832+$B$1579)*EXP(10*$E$22)</f>
        <v>0.15716341631891509</v>
      </c>
      <c r="F1832" s="9">
        <f>(E1833+$B$1579)*EXP(10*$F$22)</f>
        <v>0.19918449792737841</v>
      </c>
      <c r="G1832" s="9">
        <f>(F1833+$B$1579)*EXP(10*$G$22)</f>
        <v>0.24924097231113196</v>
      </c>
      <c r="H1832" s="9">
        <f>(G1833+$B$1579)*EXP(10*$H$22)</f>
        <v>0.29980855246606403</v>
      </c>
      <c r="I1832" s="8">
        <f>H1833*EXP(10*I$22)</f>
        <v>0.37071511666281987</v>
      </c>
      <c r="J1832" s="8">
        <f>I1833*EXP(10*J$22)</f>
        <v>0.46635974655763268</v>
      </c>
      <c r="K1832" s="8">
        <f>J1833*EXP(10*K$22)</f>
        <v>0.57624854124077196</v>
      </c>
      <c r="L1832" s="87"/>
      <c r="M1832" s="87"/>
      <c r="N1832" s="87"/>
      <c r="O1832" s="88">
        <f>MIN($B$8,AVERAGE(P1829:P1830)/(1+E1832+$D$8/10000))+$B$7</f>
        <v>58.431272766667391</v>
      </c>
      <c r="P1832" s="88">
        <f>MIN($B$8,AVERAGE(Q1829:Q1830)/(1+F1832+$D$8/10000))+$B$7</f>
        <v>52.529785806790514</v>
      </c>
      <c r="Q1832" s="88">
        <f>MIN($B$8,AVERAGE(R1829:R1830)/(1+G1832+$D$8/10000))+$B$7</f>
        <v>51.261935702534096</v>
      </c>
      <c r="R1832" s="88">
        <f>MIN($B$8,AVERAGE(S1829:S1830)/(1+H1581*+$D$8/10000))+$B$7</f>
        <v>58.982662087497928</v>
      </c>
      <c r="S1832" s="88">
        <f>MIN($B$8,AVERAGE(T1829:T1830)/(1+I1832+$D$8/10000))+$B$7</f>
        <v>55.714266911901007</v>
      </c>
      <c r="T1832" s="88">
        <f>MIN($B$8,AVERAGE(U1829:U1830)/(1+J1832+$D$8/10000))+$B$7</f>
        <v>62.947501288805626</v>
      </c>
      <c r="U1832" s="88">
        <f t="shared" si="64"/>
        <v>77.284927916641919</v>
      </c>
    </row>
    <row r="1833" spans="1:21" x14ac:dyDescent="0.35">
      <c r="A1833" s="30"/>
      <c r="B1833" s="4"/>
      <c r="C1833" s="4"/>
      <c r="D1833" s="9">
        <f>(C1834+$B$1579)*EXP(10*$D$22)</f>
        <v>0.1247786932738023</v>
      </c>
      <c r="E1833" s="9">
        <f>(D1833+$B$1579)*EXP(10*$E$22)</f>
        <v>0.1604899716874035</v>
      </c>
      <c r="F1833" s="9">
        <f>(E1834+$B$1579)*EXP(10*$F$22)</f>
        <v>0.19593032762179741</v>
      </c>
      <c r="G1833" s="9">
        <f>(F1834+$B$1579)*EXP(10*$G$22)</f>
        <v>0.24600303224766065</v>
      </c>
      <c r="H1833" s="9">
        <f>(G1834+$B$1579)*EXP(10*$H$22)</f>
        <v>0.29661466969988515</v>
      </c>
      <c r="I1833" s="9">
        <f>(H1834+$B$1579)*EXP(10*$I$22)</f>
        <v>0.3701681362129865</v>
      </c>
      <c r="J1833" s="9">
        <f>(I1834+$B$1579)*EXP(10*$J$22)</f>
        <v>0.46569879516577856</v>
      </c>
      <c r="K1833" s="9">
        <f>(J1834+$B$1579)*EXP(10*$K$22)</f>
        <v>0.57557329498857746</v>
      </c>
      <c r="L1833" s="81"/>
      <c r="M1833" s="87"/>
      <c r="N1833" s="88">
        <f>MIN($B$8,AVERAGE(O1831:O1832)/(1+D1832+$D$8/10000))+$B$7</f>
        <v>65.792530289022665</v>
      </c>
      <c r="O1833" s="88">
        <f t="shared" ref="O1833:T1833" si="66">MIN($B$8,AVERAGE(P1831:P1832)/(1+E1833+$D$8/10000))+$B$7</f>
        <v>56.802059378228108</v>
      </c>
      <c r="P1833" s="88">
        <f t="shared" si="66"/>
        <v>53.671232759425976</v>
      </c>
      <c r="Q1833" s="88">
        <f t="shared" si="66"/>
        <v>55.240821719167805</v>
      </c>
      <c r="R1833" s="88">
        <f t="shared" si="66"/>
        <v>52.734516898540498</v>
      </c>
      <c r="S1833" s="88">
        <f t="shared" si="66"/>
        <v>55.790593671298765</v>
      </c>
      <c r="T1833" s="88">
        <f t="shared" si="66"/>
        <v>63.009473445441451</v>
      </c>
      <c r="U1833" s="88">
        <f t="shared" si="64"/>
        <v>77.319815016530143</v>
      </c>
    </row>
    <row r="1834" spans="1:21" x14ac:dyDescent="0.35">
      <c r="A1834" s="30"/>
      <c r="B1834" s="4"/>
      <c r="C1834" s="9">
        <f>(B1835+$B$1579)*EXP(10*$C$22)</f>
        <v>9.7537810334732716E-2</v>
      </c>
      <c r="D1834" s="4"/>
      <c r="E1834" s="8">
        <f>D1833*EXP(10*$E$22)</f>
        <v>0.15783366327306442</v>
      </c>
      <c r="F1834" s="8">
        <f>E1834*EXP(10*$F$22)</f>
        <v>0.19335767543847768</v>
      </c>
      <c r="G1834" s="8">
        <f>F1834*EXP(10*$G$22)</f>
        <v>0.24335997222680875</v>
      </c>
      <c r="H1834" s="8">
        <f>G1834*EXP(10*$H$22)</f>
        <v>0.29407702251969969</v>
      </c>
      <c r="I1834" s="8">
        <f>H1834*EXP(10*I$22)</f>
        <v>0.36754351300814098</v>
      </c>
      <c r="J1834" s="8">
        <f>I1834*EXP(10*J$22)</f>
        <v>0.46305309076293516</v>
      </c>
      <c r="K1834" s="8">
        <f>J1834*EXP(10*K$22)</f>
        <v>0.57297478722096584</v>
      </c>
      <c r="L1834" s="89"/>
      <c r="M1834" s="88">
        <f t="shared" ref="M1834:T1834" si="67">MIN($B$8,AVERAGE(N1833:N1834)/(1+C1834+$D$8/10000))+$B$7</f>
        <v>77.586730653361215</v>
      </c>
      <c r="N1834" s="88">
        <f t="shared" si="67"/>
        <v>72.610542197815676</v>
      </c>
      <c r="O1834" s="88">
        <f t="shared" si="67"/>
        <v>58.857476026317684</v>
      </c>
      <c r="P1834" s="88">
        <f t="shared" si="67"/>
        <v>56.120921675474847</v>
      </c>
      <c r="Q1834" s="88">
        <f t="shared" si="67"/>
        <v>52.777461299808706</v>
      </c>
      <c r="R1834" s="88">
        <f t="shared" si="67"/>
        <v>53.232563967430394</v>
      </c>
      <c r="S1834" s="88">
        <f t="shared" si="67"/>
        <v>56.159040356262508</v>
      </c>
      <c r="T1834" s="88">
        <f t="shared" si="67"/>
        <v>63.258541100072755</v>
      </c>
      <c r="U1834" s="88">
        <f t="shared" si="64"/>
        <v>77.45437927848873</v>
      </c>
    </row>
    <row r="1835" spans="1:21" x14ac:dyDescent="0.35">
      <c r="A1835" s="30"/>
      <c r="B1835" s="8">
        <f>B1577*EXP(10*B1576)</f>
        <v>7.5056829799683769E-2</v>
      </c>
      <c r="C1835" s="14"/>
      <c r="D1835" s="4"/>
      <c r="E1835" s="4"/>
      <c r="F1835" s="4"/>
      <c r="G1835" s="4"/>
      <c r="H1835" s="15"/>
      <c r="L1835" s="91">
        <f>AVERAGE(M1834:M1836)/(1+F1835+$D$8/10000)</f>
        <v>100.08380156792859</v>
      </c>
      <c r="M1835" s="87"/>
      <c r="N1835" s="87"/>
      <c r="O1835" s="87"/>
      <c r="P1835" s="87"/>
      <c r="Q1835" s="87"/>
      <c r="R1835" s="87"/>
      <c r="S1835" s="87"/>
      <c r="T1835" s="87"/>
      <c r="U1835" s="87"/>
    </row>
    <row r="1836" spans="1:21" x14ac:dyDescent="0.35">
      <c r="A1836" s="30"/>
      <c r="B1836" s="4"/>
      <c r="C1836" s="40">
        <f>(B1835-$B$1579)*EXP(10*$C$22)</f>
        <v>9.2228380120071951E-2</v>
      </c>
      <c r="D1836" s="4"/>
      <c r="E1836" s="8">
        <f>D1837*EXP(10*$E$22)</f>
        <v>0.14277002225789981</v>
      </c>
      <c r="F1836" s="8">
        <f>E1836*EXP(10*$F$22)</f>
        <v>0.17490362355923572</v>
      </c>
      <c r="G1836" s="8">
        <f>F1836*EXP(10*$G$22)</f>
        <v>0.22013370234835575</v>
      </c>
      <c r="H1836" s="8">
        <f>G1836*EXP(10*H$22)</f>
        <v>0.26601031858480334</v>
      </c>
      <c r="I1836" s="8">
        <f>H1836*EXP(10*I$22)</f>
        <v>0.33246516899335077</v>
      </c>
      <c r="J1836" s="8">
        <f>I1836*EXP(10*J$22)</f>
        <v>0.41885931495132306</v>
      </c>
      <c r="K1836" s="8">
        <f>J1836*EXP(10*K$22)</f>
        <v>0.51829008735117632</v>
      </c>
      <c r="L1836" s="89"/>
      <c r="M1836" s="88">
        <f t="shared" ref="M1836:T1836" si="68">MIN($B$8,AVERAGE(N1836:N1837)/(1+C1836+$D$8/10000))+$B$7</f>
        <v>91.128537001758716</v>
      </c>
      <c r="N1836" s="88">
        <f t="shared" si="68"/>
        <v>87.491079737458449</v>
      </c>
      <c r="O1836" s="88">
        <f t="shared" si="68"/>
        <v>69.438886657558726</v>
      </c>
      <c r="P1836" s="88">
        <f t="shared" si="68"/>
        <v>63.864144470774008</v>
      </c>
      <c r="Q1836" s="88">
        <f t="shared" si="68"/>
        <v>60.498628027571591</v>
      </c>
      <c r="R1836" s="88">
        <f t="shared" si="68"/>
        <v>59.758458327873448</v>
      </c>
      <c r="S1836" s="88">
        <f t="shared" si="68"/>
        <v>61.614884033554979</v>
      </c>
      <c r="T1836" s="88">
        <f t="shared" si="68"/>
        <v>67.576553730212908</v>
      </c>
      <c r="U1836" s="88">
        <f t="shared" ref="U1836:U1899" si="69">MIN($B$8,((100+$B$7)/(1+K1836+$D$8/10000)))+$B$7</f>
        <v>80.405414004156157</v>
      </c>
    </row>
    <row r="1837" spans="1:21" x14ac:dyDescent="0.35">
      <c r="A1837" s="30"/>
      <c r="B1837" s="4"/>
      <c r="C1837" s="4"/>
      <c r="D1837" s="40">
        <f>(C1836-$B$1579)*EXP(10*$D$22)</f>
        <v>0.11286981779794134</v>
      </c>
      <c r="E1837" s="40">
        <f>(D1837-$B$1579)*EXP(10*$E$22)</f>
        <v>0.14011371384356072</v>
      </c>
      <c r="F1837" s="40">
        <f>(E1836-$B$1579)*EXP(10*$F$22)</f>
        <v>0.17233097137591596</v>
      </c>
      <c r="G1837" s="40">
        <f>(F1836-$B$1579)*EXP(10*$G$22)</f>
        <v>0.21749064232750384</v>
      </c>
      <c r="H1837" s="40">
        <f>(G1836-$B$1579)*EXP(10*H$22)</f>
        <v>0.26347267140461789</v>
      </c>
      <c r="I1837" s="40">
        <f>(H1836-$B$1579)*EXP(10*$I$22)</f>
        <v>0.32984054578850525</v>
      </c>
      <c r="J1837" s="40">
        <f>(I1836-$B$1579)*EXP(10*$J$22)</f>
        <v>0.41621361054847972</v>
      </c>
      <c r="K1837" s="40">
        <f>(J1836-$B$1579)*EXP(10*$J$22)</f>
        <v>0.52505807356795653</v>
      </c>
      <c r="L1837" s="89"/>
      <c r="M1837" s="87"/>
      <c r="N1837" s="88">
        <f t="shared" ref="N1837:T1837" si="70">MIN($B$8,AVERAGE(O1838:O1839)/(1+D1837+$D$8/10000))+$B$7</f>
        <v>75.45642788769419</v>
      </c>
      <c r="O1837" s="88">
        <f t="shared" si="70"/>
        <v>71.305366099064486</v>
      </c>
      <c r="P1837" s="88">
        <f t="shared" si="70"/>
        <v>65.134226932602701</v>
      </c>
      <c r="Q1837" s="88">
        <f t="shared" si="70"/>
        <v>61.357666451014921</v>
      </c>
      <c r="R1837" s="88">
        <f t="shared" si="70"/>
        <v>60.358043213948925</v>
      </c>
      <c r="S1837" s="88">
        <f t="shared" si="70"/>
        <v>62.044030035264583</v>
      </c>
      <c r="T1837" s="88">
        <f t="shared" si="70"/>
        <v>67.857045194008407</v>
      </c>
      <c r="U1837" s="88">
        <f t="shared" si="69"/>
        <v>80.027389165818903</v>
      </c>
    </row>
    <row r="1838" spans="1:21" x14ac:dyDescent="0.35">
      <c r="A1838" s="30"/>
      <c r="B1838" s="4"/>
      <c r="C1838" s="4"/>
      <c r="D1838" s="8">
        <f>C1836*EXP(10*$D$22)</f>
        <v>0.11549969550194425</v>
      </c>
      <c r="E1838" s="40">
        <f>(D1838-$B$1579)*EXP(10*$E$22)</f>
        <v>0.14344026921204914</v>
      </c>
      <c r="F1838" s="40">
        <f>(E1837-$B$1579)*EXP(10*$F$22)</f>
        <v>0.16907680107033499</v>
      </c>
      <c r="G1838" s="40">
        <f>(F1837-$B$1579)*EXP(10*$G$22)</f>
        <v>0.21425270226403251</v>
      </c>
      <c r="H1838" s="40">
        <f>(G1837-$B$1579)*EXP(10*H$22)</f>
        <v>0.26027878863843895</v>
      </c>
      <c r="I1838" s="8">
        <f>H1837*EXP(10*I$22)</f>
        <v>0.32929356533867193</v>
      </c>
      <c r="J1838" s="8">
        <f>I1837*EXP(10*J$22)</f>
        <v>0.41555265915662559</v>
      </c>
      <c r="K1838" s="8">
        <f>J1837*EXP(10*K$22)</f>
        <v>0.51501633333137042</v>
      </c>
      <c r="L1838" s="89"/>
      <c r="M1838" s="87"/>
      <c r="N1838" s="87"/>
      <c r="O1838" s="88">
        <f t="shared" ref="O1838:T1838" si="71">MIN($B$8,AVERAGE(P1840:P1841)/(1+E1838+$D$8/10000))+$B$7</f>
        <v>69.130783206863853</v>
      </c>
      <c r="P1838" s="88">
        <f t="shared" si="71"/>
        <v>66.763957217177079</v>
      </c>
      <c r="Q1838" s="88">
        <f t="shared" si="71"/>
        <v>62.400837650629342</v>
      </c>
      <c r="R1838" s="88">
        <f t="shared" si="71"/>
        <v>61.125113184355001</v>
      </c>
      <c r="S1838" s="88">
        <f t="shared" si="71"/>
        <v>62.134027140810105</v>
      </c>
      <c r="T1838" s="88">
        <f t="shared" si="71"/>
        <v>67.92741329262131</v>
      </c>
      <c r="U1838" s="88">
        <f t="shared" si="69"/>
        <v>80.58962127179791</v>
      </c>
    </row>
    <row r="1839" spans="1:21" x14ac:dyDescent="0.35">
      <c r="A1839" s="30"/>
      <c r="B1839" s="4"/>
      <c r="C1839" s="4"/>
      <c r="D1839" s="4"/>
      <c r="E1839" s="8">
        <f>D1838*EXP(10*$E$22)</f>
        <v>0.14609657762638822</v>
      </c>
      <c r="F1839" s="8">
        <f>E1837*EXP(10*$F$22)</f>
        <v>0.17164945325365472</v>
      </c>
      <c r="G1839" s="8">
        <f>F1837*EXP(10*$G$22)</f>
        <v>0.21689576228488439</v>
      </c>
      <c r="H1839" s="8">
        <f>G1837*EXP(10*H$22)</f>
        <v>0.26281643581862441</v>
      </c>
      <c r="I1839" s="40">
        <f>(H1837-$B$1579)*EXP(10*$I$22)</f>
        <v>0.32666894213382636</v>
      </c>
      <c r="J1839" s="40">
        <f>(I1837-$B$1579)*EXP(10*$J$22)</f>
        <v>0.41290695475378225</v>
      </c>
      <c r="K1839" s="40">
        <f>(J1837-$B$1579)*EXP(10*$J$22)</f>
        <v>0.52172485843118288</v>
      </c>
      <c r="L1839" s="89"/>
      <c r="M1839" s="87"/>
      <c r="N1839" s="87"/>
      <c r="O1839" s="88">
        <f t="shared" ref="O1839:T1839" si="72">MIN($B$8,AVERAGE(P1842:P1843)/(1+E1839+$D$8/10000))+$B$7</f>
        <v>67.456723532889285</v>
      </c>
      <c r="P1839" s="88">
        <f t="shared" si="72"/>
        <v>65.556200242140704</v>
      </c>
      <c r="Q1839" s="88">
        <f t="shared" si="72"/>
        <v>61.72621548195854</v>
      </c>
      <c r="R1839" s="88">
        <f t="shared" si="72"/>
        <v>60.514510896454802</v>
      </c>
      <c r="S1839" s="88">
        <f t="shared" si="72"/>
        <v>62.568589028104185</v>
      </c>
      <c r="T1839" s="88">
        <f t="shared" si="72"/>
        <v>68.21027899221771</v>
      </c>
      <c r="U1839" s="88">
        <f t="shared" si="69"/>
        <v>80.213096771861217</v>
      </c>
    </row>
    <row r="1840" spans="1:21" x14ac:dyDescent="0.35">
      <c r="A1840" s="30"/>
      <c r="B1840" s="4"/>
      <c r="C1840" s="4"/>
      <c r="D1840" s="4"/>
      <c r="E1840" s="4"/>
      <c r="F1840" s="40">
        <f>(E1838-$B$1579)*EXP(10*$F$22)</f>
        <v>0.17315207246637107</v>
      </c>
      <c r="G1840" s="40">
        <f>(F1838-$B$1579)*EXP(10*$G$22)</f>
        <v>0.21015700348511607</v>
      </c>
      <c r="H1840" s="40">
        <f>(G1838-$B$1579)*EXP(10*H$22)</f>
        <v>0.25636605079478303</v>
      </c>
      <c r="I1840" s="8">
        <f>H1838*EXP(10*I$22)</f>
        <v>0.3253017849474007</v>
      </c>
      <c r="J1840" s="8">
        <f>I1838*EXP(10*J$22)</f>
        <v>0.414863540783105</v>
      </c>
      <c r="K1840" s="8">
        <f>J1838*EXP(10*K$22)</f>
        <v>0.51419848222387199</v>
      </c>
      <c r="L1840" s="90"/>
      <c r="M1840" s="87"/>
      <c r="N1840" s="87"/>
      <c r="O1840" s="87"/>
      <c r="P1840" s="88">
        <f>MIN($B$8,AVERAGE(Q1844:Q1845)/(1+F1840+$D$8/10000))+$B$7</f>
        <v>64.827963591057753</v>
      </c>
      <c r="Q1840" s="88">
        <f>MIN($B$8,AVERAGE(R1844:R1845)/(1+G1840+$D$8/10000))+$B$7</f>
        <v>63.920374004901504</v>
      </c>
      <c r="R1840" s="88">
        <f>MIN($B$8,AVERAGE(S1844:S1845)/(1+H1840+$D$8/10000))+$B$7</f>
        <v>61.969397721278114</v>
      </c>
      <c r="S1840" s="88">
        <f>MIN($B$8,AVERAGE(T1844:T1845)/(1+I1840+$D$8/10000))+$B$7</f>
        <v>62.796748356427692</v>
      </c>
      <c r="T1840" s="88">
        <f>MIN($B$8,AVERAGE(U1844:U1845)/(1+J1840+$D$8/10000))+$B$7</f>
        <v>68.000906575411904</v>
      </c>
      <c r="U1840" s="88">
        <f t="shared" si="69"/>
        <v>80.635778785144169</v>
      </c>
    </row>
    <row r="1841" spans="1:21" x14ac:dyDescent="0.35">
      <c r="A1841" s="30"/>
      <c r="B1841" s="4"/>
      <c r="C1841" s="4"/>
      <c r="D1841" s="4"/>
      <c r="E1841" s="4"/>
      <c r="F1841" s="8">
        <f>E1838*EXP(10*$F$22)</f>
        <v>0.1757247246496908</v>
      </c>
      <c r="G1841" s="8">
        <f>F1838*EXP(10*$G$22)</f>
        <v>0.21280006350596797</v>
      </c>
      <c r="H1841" s="8">
        <f>G1838*EXP(10*H$22)</f>
        <v>0.25890369797496843</v>
      </c>
      <c r="I1841" s="40">
        <f>(H1838-$B$1579)*EXP(10*$I$22)</f>
        <v>0.32267716174255512</v>
      </c>
      <c r="J1841" s="40">
        <f>(I1838-$B$1579)*EXP(10*$J$22)</f>
        <v>0.41221783638026166</v>
      </c>
      <c r="K1841" s="40">
        <f>(J1838-$B$1579)*EXP(10*$J$22)</f>
        <v>0.52089215271332867</v>
      </c>
      <c r="L1841" s="87"/>
      <c r="M1841" s="87"/>
      <c r="N1841" s="87"/>
      <c r="O1841" s="87"/>
      <c r="P1841" s="88">
        <f>MIN($B$8,AVERAGE(Q1846:Q1847)/(1+F1841+$D$8/10000))+$B$7</f>
        <v>63.65035704644923</v>
      </c>
      <c r="Q1841" s="88">
        <f>MIN($B$8,AVERAGE(R1846:R1847)/(1+G1841+$D$8/10000))+$B$7</f>
        <v>63.107197451973924</v>
      </c>
      <c r="R1841" s="88">
        <f>MIN($B$8,AVERAGE(S1846:S1847)/(1+H1841+$D$8/10000))+$B$7</f>
        <v>61.50430490215458</v>
      </c>
      <c r="S1841" s="88">
        <f>MIN($B$8,AVERAGE(T1846:T1847)/(1+I1841+$D$8/10000))+$B$7</f>
        <v>63.238250463882189</v>
      </c>
      <c r="T1841" s="88">
        <f>MIN($B$8,AVERAGE(U1846:U1847)/(1+J1841+$D$8/10000))+$B$7</f>
        <v>68.284270466322297</v>
      </c>
      <c r="U1841" s="88">
        <f t="shared" si="69"/>
        <v>80.259632072266086</v>
      </c>
    </row>
    <row r="1842" spans="1:21" x14ac:dyDescent="0.35">
      <c r="A1842" s="30"/>
      <c r="B1842" s="4"/>
      <c r="C1842" s="4"/>
      <c r="D1842" s="4"/>
      <c r="E1842" s="4"/>
      <c r="F1842" s="40">
        <f>(E1839-$B$1579)*EXP(10*$F$22)</f>
        <v>0.17640624277195205</v>
      </c>
      <c r="G1842" s="40">
        <f>(F1839-$B$1579)*EXP(10*$G$22)</f>
        <v>0.21339494354858737</v>
      </c>
      <c r="H1842" s="40">
        <f>(G1839-$B$1579)*EXP(10*H$22)</f>
        <v>0.25955993356096191</v>
      </c>
      <c r="I1842" s="8">
        <f>H1839*EXP(10*I$22)</f>
        <v>0.32847338860207959</v>
      </c>
      <c r="J1842" s="8">
        <f>I1839*EXP(10*J$22)</f>
        <v>0.41155688498840748</v>
      </c>
      <c r="K1842" s="8">
        <f>J1839*EXP(10*K$22)</f>
        <v>0.51092472820406609</v>
      </c>
      <c r="L1842" s="87"/>
      <c r="M1842" s="87"/>
      <c r="N1842" s="87"/>
      <c r="O1842" s="87"/>
      <c r="P1842" s="88">
        <f>MIN($B$8,AVERAGE(Q1848:Q1849)/(1+F1842+$D$8/10000))+$B$7</f>
        <v>63.328090610621544</v>
      </c>
      <c r="Q1842" s="88">
        <f>MIN($B$8,AVERAGE(R1848:R1849)/(1+G1842+$D$8/10000))+$B$7</f>
        <v>62.88369187957823</v>
      </c>
      <c r="R1842" s="88">
        <f>MIN($B$8,AVERAGE(S1848:S1849)/(1+H1842+$D$8/10000))+$B$7</f>
        <v>61.461222550075412</v>
      </c>
      <c r="S1842" s="88">
        <f>MIN($B$8,AVERAGE(T1848:T1849)/(1+I1842+$D$8/10000))+$B$7</f>
        <v>62.269339866496679</v>
      </c>
      <c r="T1842" s="88">
        <f>MIN($B$8,AVERAGE(U1848:U1849)/(1+J1842+$D$8/10000))+$B$7</f>
        <v>68.355360226935076</v>
      </c>
      <c r="U1842" s="88">
        <f t="shared" si="69"/>
        <v>80.821099856080551</v>
      </c>
    </row>
    <row r="1843" spans="1:21" x14ac:dyDescent="0.35">
      <c r="A1843" s="30"/>
      <c r="B1843" s="4"/>
      <c r="C1843" s="4"/>
      <c r="D1843" s="4"/>
      <c r="E1843" s="4"/>
      <c r="F1843" s="8">
        <f>E1839*EXP(10*$F$22)</f>
        <v>0.17897889495527178</v>
      </c>
      <c r="G1843" s="8">
        <f>F1839*EXP(10*$G$22)</f>
        <v>0.21603800356943928</v>
      </c>
      <c r="H1843" s="8">
        <f>G1839*EXP(10*H1576)</f>
        <v>0.26209758074114736</v>
      </c>
      <c r="I1843" s="40">
        <f>(H1839-$B$1579)*EXP(10*$I$22)</f>
        <v>0.32584876539723401</v>
      </c>
      <c r="J1843" s="40">
        <f>(I1839-$B$1579)*EXP(10*$J$22)</f>
        <v>0.40891118058556408</v>
      </c>
      <c r="K1843" s="40">
        <f>(J1839-$B$1579)*EXP(10*$J$22)</f>
        <v>0.51755893757655491</v>
      </c>
      <c r="L1843" s="87"/>
      <c r="M1843" s="87"/>
      <c r="N1843" s="87"/>
      <c r="O1843" s="87"/>
      <c r="P1843" s="88">
        <f>MIN($B$8,AVERAGE(Q1850:Q1851)/(1+F1843+$D$8/10000))+$B$7</f>
        <v>62.185066788789293</v>
      </c>
      <c r="Q1843" s="88">
        <f>MIN($B$8,AVERAGE(R1850:R1851)/(1+G1843+$D$8/10000))+$B$7</f>
        <v>62.016233348479908</v>
      </c>
      <c r="R1843" s="88">
        <f>MIN($B$8,AVERAGE(S1850:S1851)/(1+H1843+$D$8/10000))+$B$7</f>
        <v>60.891310958043164</v>
      </c>
      <c r="S1843" s="88">
        <f>MIN($B$8,AVERAGE(T1850:T1851)/(1+I1843+$D$8/10000))+$B$7</f>
        <v>62.705316383771184</v>
      </c>
      <c r="T1843" s="88">
        <f>MIN($B$8,AVERAGE(U1850:U1851)/(1+J1843+$D$8/10000))+$B$7</f>
        <v>68.641131081464493</v>
      </c>
      <c r="U1843" s="88">
        <f t="shared" si="69"/>
        <v>80.446477377395283</v>
      </c>
    </row>
    <row r="1844" spans="1:21" x14ac:dyDescent="0.35">
      <c r="A1844" s="30"/>
      <c r="B1844" s="4"/>
      <c r="C1844" s="4"/>
      <c r="D1844" s="4"/>
      <c r="E1844" s="4"/>
      <c r="F1844" s="4"/>
      <c r="G1844" s="40">
        <f>(F1840-$B$1579)*EXP(10*$G$22)</f>
        <v>0.2152861401046324</v>
      </c>
      <c r="H1844" s="40">
        <f>(G1840-$B$1579)*EXP(10*H$22)</f>
        <v>0.25141679438658954</v>
      </c>
      <c r="I1844" s="8">
        <f>H1840*EXP(10*I$22)</f>
        <v>0.32041156469076415</v>
      </c>
      <c r="J1844" s="8">
        <f>I1840*EXP(10*J$22)</f>
        <v>0.40983445937530966</v>
      </c>
      <c r="K1844" s="8">
        <f>J1840*EXP(10*K$22)</f>
        <v>0.51334577772558765</v>
      </c>
      <c r="L1844" s="87"/>
      <c r="M1844" s="87"/>
      <c r="N1844" s="87"/>
      <c r="O1844" s="87"/>
      <c r="P1844" s="87"/>
      <c r="Q1844" s="88">
        <f>MIN($B$8,AVERAGE(R1852:R1853)/(1+G1844+$D$8/10000))+$B$7</f>
        <v>62.213663369766685</v>
      </c>
      <c r="R1844" s="88">
        <f>MIN($B$8,AVERAGE(S1852:S1853)/(1+H1844+$D$8/10000))+$B$7</f>
        <v>63.299522200565846</v>
      </c>
      <c r="S1844" s="88">
        <f>MIN($B$8,AVERAGE(T1852:T1853)/(1+I1844+$D$8/10000))+$B$7</f>
        <v>63.453793743345749</v>
      </c>
      <c r="T1844" s="88">
        <f>MIN($B$8,AVERAGE(U1852:U1853)/(1+J1844+$D$8/10000))+$B$7</f>
        <v>68.54118472322449</v>
      </c>
      <c r="U1844" s="88">
        <f t="shared" si="69"/>
        <v>80.68396261722522</v>
      </c>
    </row>
    <row r="1845" spans="1:21" x14ac:dyDescent="0.35">
      <c r="A1845" s="30"/>
      <c r="B1845" s="4"/>
      <c r="C1845" s="4"/>
      <c r="D1845" s="4"/>
      <c r="E1845" s="4"/>
      <c r="F1845" s="4"/>
      <c r="G1845" s="8">
        <f>F1840*EXP(10*$G$22)</f>
        <v>0.21792920012548431</v>
      </c>
      <c r="H1845" s="8">
        <f>G1840*EXP(10*H$22)</f>
        <v>0.25395444156677499</v>
      </c>
      <c r="I1845" s="40">
        <f>(H1840-$B$1579)*EXP(10*$I$22)</f>
        <v>0.31778694148591857</v>
      </c>
      <c r="J1845" s="40">
        <f>(I1840-$B$1579)*EXP(10*$J$22)</f>
        <v>0.40718875497246632</v>
      </c>
      <c r="K1845" s="40">
        <f>(J1840-$B$1579)*EXP(10*$J$22)</f>
        <v>0.52002396056337452</v>
      </c>
      <c r="L1845" s="87"/>
      <c r="M1845" s="87"/>
      <c r="N1845" s="87"/>
      <c r="O1845" s="87"/>
      <c r="P1845" s="87"/>
      <c r="Q1845" s="88">
        <f>MIN($B$8,AVERAGE(R1854:R1855)/(1+G1845+$D$8/10000))+$B$7</f>
        <v>61.391443893624228</v>
      </c>
      <c r="R1845" s="88">
        <f>MIN($B$8,AVERAGE(S1854:S1855)/(1+H1845+$D$8/10000))+$B$7</f>
        <v>62.896021571611904</v>
      </c>
      <c r="S1845" s="88">
        <f>MIN($B$8,AVERAGE(T1854:T1855)/(1+I1845+$D$8/10000))+$B$7</f>
        <v>63.990309892833942</v>
      </c>
      <c r="T1845" s="88">
        <f>MIN($B$8,AVERAGE(U1854:U1855)/(1+J1845+$D$8/10000))+$B$7</f>
        <v>68.828220230038085</v>
      </c>
      <c r="U1845" s="88">
        <f t="shared" si="69"/>
        <v>80.308211063617819</v>
      </c>
    </row>
    <row r="1846" spans="1:21" x14ac:dyDescent="0.35">
      <c r="A1846" s="30"/>
      <c r="B1846" s="4"/>
      <c r="C1846" s="4"/>
      <c r="D1846" s="4"/>
      <c r="E1846" s="4"/>
      <c r="F1846" s="4"/>
      <c r="G1846" s="40">
        <f>(F1841-$B$1579)*EXP(10*G$22)</f>
        <v>0.21852408016810371</v>
      </c>
      <c r="H1846" s="40">
        <f>(G1841-$B$1579)*EXP(10*H$22)</f>
        <v>0.25461067715276847</v>
      </c>
      <c r="I1846" s="8">
        <f>H1841*EXP(10*I$22)</f>
        <v>0.32358316834544293</v>
      </c>
      <c r="J1846" s="8">
        <f>I1841*EXP(10*J$22)</f>
        <v>0.40652780358061213</v>
      </c>
      <c r="K1846" s="8">
        <f>J1841*EXP(10*K$22)</f>
        <v>0.51007202370578175</v>
      </c>
      <c r="L1846" s="87"/>
      <c r="M1846" s="87"/>
      <c r="N1846" s="87"/>
      <c r="O1846" s="87"/>
      <c r="P1846" s="87"/>
      <c r="Q1846" s="88">
        <f>MIN($B$8,AVERAGE(R1856:R1857)/(1+G1846+$D$8/10000))+$B$7</f>
        <v>61.176627854981689</v>
      </c>
      <c r="R1846" s="88">
        <f>MIN($B$8,AVERAGE(S1856:S1857)/(1+H1846+$D$8/10000))+$B$7</f>
        <v>62.69683243634038</v>
      </c>
      <c r="S1846" s="88">
        <f>MIN($B$8,AVERAGE(T1856:T1857)/(1+I1846+$D$8/10000))+$B$7</f>
        <v>63.265475668722495</v>
      </c>
      <c r="T1846" s="88">
        <f>MIN($B$8,AVERAGE(U1856:U1857)/(1+J1846+$D$8/10000))+$B$7</f>
        <v>68.900232459604226</v>
      </c>
      <c r="U1846" s="88">
        <f t="shared" si="69"/>
        <v>80.869517080368553</v>
      </c>
    </row>
    <row r="1847" spans="1:21" x14ac:dyDescent="0.35">
      <c r="A1847" s="30"/>
      <c r="B1847" s="4"/>
      <c r="C1847" s="4"/>
      <c r="D1847" s="4"/>
      <c r="E1847" s="4"/>
      <c r="F1847" s="4"/>
      <c r="G1847" s="8">
        <f>F1841*EXP(10*$G$22)</f>
        <v>0.22116714018895561</v>
      </c>
      <c r="H1847" s="8">
        <f>G1841*EXP(10*H$22)</f>
        <v>0.25714832433295393</v>
      </c>
      <c r="I1847" s="40">
        <f>(H1841-$B$1579)*EXP(10*$I$22)</f>
        <v>0.32095854514059741</v>
      </c>
      <c r="J1847" s="40">
        <f>(I1841-$B$1579)*EXP(10*$J$22)</f>
        <v>0.40388209917776874</v>
      </c>
      <c r="K1847" s="40">
        <f>(J1841-$B$1579)*EXP(10*$J$22)</f>
        <v>0.51669074542660076</v>
      </c>
      <c r="L1847" s="89"/>
      <c r="M1847" s="87"/>
      <c r="N1847" s="87"/>
      <c r="O1847" s="87"/>
      <c r="P1847" s="87"/>
      <c r="Q1847" s="88">
        <f>MIN($B$8,AVERAGE(R1858:R1859)/(1+G1847+$D$8/10000))+$B$7</f>
        <v>60.342450166985685</v>
      </c>
      <c r="R1847" s="88">
        <f>MIN($B$8,AVERAGE(S1858:S1859)/(1+H1847+$D$8/10000))+$B$7</f>
        <v>62.098565339229822</v>
      </c>
      <c r="S1847" s="88">
        <f>MIN($B$8,AVERAGE(T1858:T1859)/(1+I1847+$D$8/10000))+$B$7</f>
        <v>63.447985654331411</v>
      </c>
      <c r="T1847" s="88">
        <f>MIN($B$8,AVERAGE(U1858:U1859)/(1+J1847+$D$8/10000))+$B$7</f>
        <v>69.18971692994073</v>
      </c>
      <c r="U1847" s="88">
        <f t="shared" si="69"/>
        <v>80.495294785351462</v>
      </c>
    </row>
    <row r="1848" spans="1:21" x14ac:dyDescent="0.35">
      <c r="A1848" s="30"/>
      <c r="B1848" s="4"/>
      <c r="C1848" s="4"/>
      <c r="D1848" s="4"/>
      <c r="E1848" s="4"/>
      <c r="F1848" s="4"/>
      <c r="G1848" s="40">
        <f>(F1842-$B$1579)*EXP(10*G$22)</f>
        <v>0.21938183888354884</v>
      </c>
      <c r="H1848" s="40">
        <f>(G1842-$B$1579)*EXP(10*H$22)</f>
        <v>0.25532953223024546</v>
      </c>
      <c r="I1848" s="8">
        <f>H1842*EXP(10*I$22)</f>
        <v>0.32440334508203528</v>
      </c>
      <c r="J1848" s="8">
        <f>I1842*EXP(10*J$22)</f>
        <v>0.41383023354352783</v>
      </c>
      <c r="K1848" s="8">
        <f>J1842*EXP(10*K$22)</f>
        <v>0.50925417259828321</v>
      </c>
      <c r="L1848" s="89"/>
      <c r="M1848" s="87"/>
      <c r="N1848" s="87"/>
      <c r="O1848" s="87"/>
      <c r="P1848" s="87"/>
      <c r="Q1848" s="88">
        <f>MIN($B$8,AVERAGE(R1860:R1861)/(1+G1848+$D$8/10000))+$B$7</f>
        <v>60.874561556708663</v>
      </c>
      <c r="R1848" s="88">
        <f>MIN($B$8,AVERAGE(S1860:S1861)/(1+H1848+$D$8/10000))+$B$7</f>
        <v>62.472471196821949</v>
      </c>
      <c r="S1848" s="88">
        <f>MIN($B$8,AVERAGE(T1860:T1861)/(1+I1848+$D$8/10000))+$B$7</f>
        <v>63.206027894184913</v>
      </c>
      <c r="T1848" s="88">
        <f>MIN($B$8,AVERAGE(U1860:U1861)/(1+J1848+$D$8/10000))+$B$7</f>
        <v>68.111349451454501</v>
      </c>
      <c r="U1848" s="88">
        <f t="shared" si="69"/>
        <v>80.916012676668913</v>
      </c>
    </row>
    <row r="1849" spans="1:21" x14ac:dyDescent="0.35">
      <c r="A1849" s="30"/>
      <c r="B1849" s="4"/>
      <c r="C1849" s="4"/>
      <c r="D1849" s="4"/>
      <c r="E1849" s="4"/>
      <c r="F1849" s="4"/>
      <c r="G1849" s="8">
        <f>F1842*EXP(10*$G$22)</f>
        <v>0.22202489890440072</v>
      </c>
      <c r="H1849" s="8">
        <f>G1842*EXP(10*H$22)</f>
        <v>0.25786717941043091</v>
      </c>
      <c r="I1849" s="40">
        <f>(H1842-$B$1579)*EXP(10*$I$22)</f>
        <v>0.32177872187718976</v>
      </c>
      <c r="J1849" s="40">
        <f>(I1842-$B$1579)*EXP(10*$J$22)</f>
        <v>0.41118452914068443</v>
      </c>
      <c r="K1849" s="40">
        <f>(J1842-$B$1579)*EXP(10*$J$22)</f>
        <v>0.51585803970874644</v>
      </c>
      <c r="L1849" s="89"/>
      <c r="M1849" s="87"/>
      <c r="N1849" s="87"/>
      <c r="O1849" s="87"/>
      <c r="P1849" s="87"/>
      <c r="Q1849" s="88">
        <f>MIN($B$8,AVERAGE(R1862:R1863)/(1+G1849+$D$8/10000))+$B$7</f>
        <v>60.068865020147832</v>
      </c>
      <c r="R1849" s="88">
        <f>MIN($B$8,AVERAGE(S1862:S1863)/(1+H1849+$D$8/10000))+$B$7</f>
        <v>61.921087761408273</v>
      </c>
      <c r="S1849" s="88">
        <f>MIN($B$8,AVERAGE(T1862:T1863)/(1+I1849+$D$8/10000))+$B$7</f>
        <v>63.487915622237665</v>
      </c>
      <c r="T1849" s="88">
        <f>MIN($B$8,AVERAGE(U1862:U1863)/(1+J1849+$D$8/10000))+$B$7</f>
        <v>68.39546257020244</v>
      </c>
      <c r="U1849" s="88">
        <f t="shared" si="69"/>
        <v>80.542175446893097</v>
      </c>
    </row>
    <row r="1850" spans="1:21" x14ac:dyDescent="0.35">
      <c r="A1850" s="30"/>
      <c r="B1850" s="4"/>
      <c r="C1850" s="4"/>
      <c r="D1850" s="4"/>
      <c r="E1850" s="4"/>
      <c r="F1850" s="4"/>
      <c r="G1850" s="40">
        <f>(F1843-$B$1579)*EXP(10*G$22)</f>
        <v>0.22261977894702015</v>
      </c>
      <c r="H1850" s="40">
        <f>(G1843-$B$1579)*EXP(10*H$22)</f>
        <v>0.25852341499642439</v>
      </c>
      <c r="I1850" s="8">
        <f>H1843*EXP(10*I$22)</f>
        <v>0.32757494873671417</v>
      </c>
      <c r="J1850" s="8">
        <f>I1843*EXP(10*J$22)</f>
        <v>0.41052357774883025</v>
      </c>
      <c r="K1850" s="8">
        <f>J1843*EXP(10*K$22)</f>
        <v>0.5059804185784772</v>
      </c>
      <c r="L1850" s="89"/>
      <c r="M1850" s="87"/>
      <c r="N1850" s="87"/>
      <c r="O1850" s="87"/>
      <c r="P1850" s="87"/>
      <c r="Q1850" s="88">
        <f>MIN($B$8,AVERAGE(R1864:R1865)/(1+G1850+$D$8/10000))+$B$7</f>
        <v>59.860697397139106</v>
      </c>
      <c r="R1850" s="88">
        <f>MIN($B$8,AVERAGE(S1864:S1865)/(1+H1850+$D$8/10000))+$B$7</f>
        <v>61.726381697072654</v>
      </c>
      <c r="S1850" s="88">
        <f>MIN($B$8,AVERAGE(T1864:T1865)/(1+I1850+$D$8/10000))+$B$7</f>
        <v>62.772574806224732</v>
      </c>
      <c r="T1850" s="88">
        <f>MIN($B$8,AVERAGE(U1864:U1865)/(1+J1850+$D$8/10000))+$B$7</f>
        <v>68.466740567429682</v>
      </c>
      <c r="U1850" s="88">
        <f t="shared" si="69"/>
        <v>81.102693202707556</v>
      </c>
    </row>
    <row r="1851" spans="1:21" x14ac:dyDescent="0.35">
      <c r="A1851" s="30"/>
      <c r="B1851" s="4"/>
      <c r="C1851" s="4"/>
      <c r="D1851" s="4"/>
      <c r="E1851" s="4"/>
      <c r="F1851" s="4"/>
      <c r="G1851" s="8">
        <f>F1843*EXP(10*$G$22)</f>
        <v>0.22526283896787203</v>
      </c>
      <c r="H1851" s="8">
        <f>G1843*EXP(10*H$22)</f>
        <v>0.26106106217660985</v>
      </c>
      <c r="I1851" s="40">
        <f>(H1843-$B$1579)*EXP(10*$I$22)</f>
        <v>0.32495032553186864</v>
      </c>
      <c r="J1851" s="40">
        <f>(I1843-$B$1579)*EXP(10*$J$22)</f>
        <v>0.40787787334598691</v>
      </c>
      <c r="K1851" s="40">
        <f>(J1843-$B$1579)*EXP(10*$J$22)</f>
        <v>0.51252482457197268</v>
      </c>
      <c r="L1851" s="89"/>
      <c r="M1851" s="87"/>
      <c r="N1851" s="87"/>
      <c r="O1851" s="87"/>
      <c r="P1851" s="87"/>
      <c r="Q1851" s="88">
        <f>MIN($B$8,AVERAGE(R1866:R1867)/(1+G1851+$D$8/10000))+$B$7</f>
        <v>59.051995004906949</v>
      </c>
      <c r="R1851" s="88">
        <f>MIN($B$8,AVERAGE(S1866:S1867)/(1+H1851+$D$8/10000))+$B$7</f>
        <v>61.141325962242533</v>
      </c>
      <c r="S1851" s="88">
        <f>MIN($B$8,AVERAGE(T1866:T1867)/(1+I1851+$D$8/10000))+$B$7</f>
        <v>62.953533662777836</v>
      </c>
      <c r="T1851" s="88">
        <f>MIN($B$8,AVERAGE(U1866:U1867)/(1+J1851+$D$8/10000))+$B$7</f>
        <v>68.753269205160464</v>
      </c>
      <c r="U1851" s="88">
        <f t="shared" si="69"/>
        <v>80.730409556376102</v>
      </c>
    </row>
    <row r="1852" spans="1:21" x14ac:dyDescent="0.35">
      <c r="A1852" s="30"/>
      <c r="B1852" s="4"/>
      <c r="C1852" s="4"/>
      <c r="D1852" s="4"/>
      <c r="E1852" s="4"/>
      <c r="F1852" s="4"/>
      <c r="G1852" s="4"/>
      <c r="H1852" s="40">
        <f>(G1844-$B$1579)*EXP(10*H$22)</f>
        <v>0.25761486061482836</v>
      </c>
      <c r="I1852" s="8">
        <f>H1844*EXP(10*I$22)</f>
        <v>0.31422588220710923</v>
      </c>
      <c r="J1852" s="8">
        <f>I1844*EXP(10*J$22)</f>
        <v>0.4036734702020443</v>
      </c>
      <c r="K1852" s="8">
        <f>J1844*EXP(10*K$22)</f>
        <v>0.50712286958172714</v>
      </c>
      <c r="L1852" s="87"/>
      <c r="M1852" s="87"/>
      <c r="N1852" s="87"/>
      <c r="O1852" s="87"/>
      <c r="P1852" s="87"/>
      <c r="Q1852" s="87"/>
      <c r="R1852" s="88">
        <f>MIN($B$8,AVERAGE(S1868:S1869)/(1+H1852+$D$8/10000))+$B$7</f>
        <v>61.836595652589821</v>
      </c>
      <c r="S1852" s="88">
        <f>MIN($B$8,AVERAGE(T1868:T1869)/(1+I1852+$D$8/10000))+$B$7</f>
        <v>64.532318622559146</v>
      </c>
      <c r="T1852" s="88">
        <f>MIN($B$8,AVERAGE(U1866:U1867)/(1+J1852+$D$8/10000))+$B$7</f>
        <v>68.97167221727733</v>
      </c>
      <c r="U1852" s="88">
        <f t="shared" si="69"/>
        <v>81.037443932739194</v>
      </c>
    </row>
    <row r="1853" spans="1:21" x14ac:dyDescent="0.35">
      <c r="A1853" s="30"/>
      <c r="B1853" s="4"/>
      <c r="C1853" s="4"/>
      <c r="D1853" s="4"/>
      <c r="E1853" s="4"/>
      <c r="F1853" s="4"/>
      <c r="G1853" s="4"/>
      <c r="H1853" s="8">
        <f>G1844*EXP(10*H$22)</f>
        <v>0.26015250779501381</v>
      </c>
      <c r="I1853" s="40">
        <f>(H1844-$B$1579)*EXP(10*$I$22)</f>
        <v>0.31160125900226371</v>
      </c>
      <c r="J1853" s="40">
        <f>(I1844-$B$1579)*EXP(10*$J$22)</f>
        <v>0.40102776579920096</v>
      </c>
      <c r="K1853" s="40">
        <f>(J1844-$B$1579)*EXP(10*$J$22)</f>
        <v>0.51368802588582119</v>
      </c>
      <c r="L1853" s="87"/>
      <c r="M1853" s="87"/>
      <c r="N1853" s="87"/>
      <c r="O1853" s="87"/>
      <c r="P1853" s="87"/>
      <c r="Q1853" s="87"/>
      <c r="R1853" s="88">
        <f>MIN($B$8,AVERAGE(S1870:S1871)/(1+H1853+$D$8/10000))+$B$7</f>
        <v>61.361695012815666</v>
      </c>
      <c r="S1853" s="88">
        <f>MIN($B$8,AVERAGE(T1870:T1871)/(1+I1853+$D$8/10000))+$B$7</f>
        <v>65.249049492468046</v>
      </c>
      <c r="T1853" s="88">
        <f>MIN($B$8,AVERAGE(U1868:U1869)/(1+J1853+$D$8/10000))+$B$7</f>
        <v>69.351332207845061</v>
      </c>
      <c r="U1853" s="88">
        <f t="shared" si="69"/>
        <v>80.66461589955864</v>
      </c>
    </row>
    <row r="1854" spans="1:21" x14ac:dyDescent="0.35">
      <c r="A1854" s="30"/>
      <c r="B1854" s="4"/>
      <c r="C1854" s="4"/>
      <c r="D1854" s="4"/>
      <c r="E1854" s="4"/>
      <c r="F1854" s="4"/>
      <c r="G1854" s="4"/>
      <c r="H1854" s="40">
        <f>(G1845-$B$1579)*EXP(10*H$22)</f>
        <v>0.26080874338100729</v>
      </c>
      <c r="I1854" s="8">
        <f>H1845*EXP(10*I$22)</f>
        <v>0.31739748586178812</v>
      </c>
      <c r="J1854" s="8">
        <f>I1845*EXP(10*J$22)</f>
        <v>0.40036681440734678</v>
      </c>
      <c r="K1854" s="8">
        <f>J1845*EXP(10*K$22)</f>
        <v>0.50384911556192113</v>
      </c>
      <c r="L1854" s="87"/>
      <c r="M1854" s="87"/>
      <c r="N1854" s="87"/>
      <c r="O1854" s="87"/>
      <c r="P1854" s="87"/>
      <c r="Q1854" s="87"/>
      <c r="R1854" s="88">
        <f>MIN($B$8,AVERAGE(S1872:S1873)/(1+H1854+$D$8/10000))+$B$7</f>
        <v>61.169550281151942</v>
      </c>
      <c r="S1854" s="88">
        <f>MIN($B$8,AVERAGE(T1872:T1873)/(1+I1854+$D$8/10000))+$B$7</f>
        <v>64.504674132334031</v>
      </c>
      <c r="T1854" s="88">
        <f>MIN($B$8,AVERAGE(U1870:U1871)/(1+J1854+$D$8/10000))+$B$7</f>
        <v>69.539073966942652</v>
      </c>
      <c r="U1854" s="88">
        <f t="shared" si="69"/>
        <v>81.224715085896591</v>
      </c>
    </row>
    <row r="1855" spans="1:21" x14ac:dyDescent="0.35">
      <c r="A1855" s="30"/>
      <c r="B1855" s="4"/>
      <c r="C1855" s="4"/>
      <c r="D1855" s="4"/>
      <c r="E1855" s="4"/>
      <c r="F1855" s="4"/>
      <c r="G1855" s="4"/>
      <c r="H1855" s="8">
        <f>G1845*EXP(10*H$22)</f>
        <v>0.26334639056119274</v>
      </c>
      <c r="I1855" s="40">
        <f>(H1845-$B$1579)*EXP(10*$I$22)</f>
        <v>0.3147728626569426</v>
      </c>
      <c r="J1855" s="40">
        <f>(I1845-$B$1579)*EXP(10*$J$22)</f>
        <v>0.39772111000450339</v>
      </c>
      <c r="K1855" s="40">
        <f>(J1845-$B$1579)*EXP(10*$J$22)</f>
        <v>0.51035481074904743</v>
      </c>
      <c r="L1855" s="87"/>
      <c r="M1855" s="87"/>
      <c r="N1855" s="87"/>
      <c r="O1855" s="87"/>
      <c r="P1855" s="87"/>
      <c r="Q1855" s="87"/>
      <c r="R1855" s="88">
        <f>MIN($B$8,AVERAGE(S1874:S1875)/(1+H1855+$D$8/10000))+$B$7</f>
        <v>60.592045271654435</v>
      </c>
      <c r="S1855" s="88">
        <f>MIN($B$8,AVERAGE(T1874:T1875)/(1+I1855+$D$8/10000))+$B$7</f>
        <v>64.692517809241892</v>
      </c>
      <c r="T1855" s="88">
        <f>MIN($B$8,AVERAGE(U1872:U1873)/(1+J1855+$D$8/10000))+$B$7</f>
        <v>69.717265231075515</v>
      </c>
      <c r="U1855" s="88">
        <f t="shared" si="69"/>
        <v>80.853453449787935</v>
      </c>
    </row>
    <row r="1856" spans="1:21" x14ac:dyDescent="0.35">
      <c r="A1856" s="30"/>
      <c r="B1856" s="4"/>
      <c r="C1856" s="4"/>
      <c r="D1856" s="4"/>
      <c r="E1856" s="4"/>
      <c r="F1856" s="4"/>
      <c r="G1856" s="4"/>
      <c r="H1856" s="40">
        <f>(G1846-$B$1579)*EXP(10*H$22)</f>
        <v>0.26152759845848428</v>
      </c>
      <c r="I1856" s="8">
        <f>H1846*EXP(10*I$22)</f>
        <v>0.31821766259838047</v>
      </c>
      <c r="J1856" s="8">
        <f>I1846*EXP(10*J$22)</f>
        <v>0.40766924437026236</v>
      </c>
      <c r="K1856" s="8">
        <f>J1846*EXP(10*K$22)</f>
        <v>0.5030312644544227</v>
      </c>
      <c r="L1856" s="87"/>
      <c r="M1856" s="87"/>
      <c r="N1856" s="87"/>
      <c r="O1856" s="87"/>
      <c r="P1856" s="87"/>
      <c r="Q1856" s="87"/>
      <c r="R1856" s="88">
        <f>MIN($B$8,AVERAGE(S1876:S1877)/(1+H1856+$D$8/10000))+$B$7</f>
        <v>60.953127993964898</v>
      </c>
      <c r="S1856" s="88">
        <f>MIN($B$8,AVERAGE(T1876:T1877)/(1+I1856+$D$8/10000))+$B$7</f>
        <v>64.287532291774198</v>
      </c>
      <c r="T1856" s="88">
        <f>MIN($B$8,AVERAGE(U1874:U1875)/(1+J1856+$D$8/10000))+$B$7</f>
        <v>69.347523441745281</v>
      </c>
      <c r="U1856" s="88">
        <f t="shared" si="69"/>
        <v>81.271641499020092</v>
      </c>
    </row>
    <row r="1857" spans="1:21" x14ac:dyDescent="0.35">
      <c r="A1857" s="30"/>
      <c r="B1857" s="4"/>
      <c r="C1857" s="4"/>
      <c r="D1857" s="4"/>
      <c r="E1857" s="4"/>
      <c r="F1857" s="4"/>
      <c r="G1857" s="4"/>
      <c r="H1857" s="8">
        <f>G1846*EXP(10*H$22)</f>
        <v>0.26406524563866973</v>
      </c>
      <c r="I1857" s="40">
        <f>(H1846-$B$1579)*EXP(10*$I$22)</f>
        <v>0.31559303939353495</v>
      </c>
      <c r="J1857" s="40">
        <f>(I1846-$B$1579)*EXP(10*$J$22)</f>
        <v>0.40502353996741897</v>
      </c>
      <c r="K1857" s="40">
        <f>(J1846-$B$1579)*EXP(10*$J$22)</f>
        <v>0.50952210503119311</v>
      </c>
      <c r="L1857" s="87"/>
      <c r="M1857" s="87"/>
      <c r="N1857" s="87"/>
      <c r="O1857" s="87"/>
      <c r="P1857" s="87"/>
      <c r="Q1857" s="87"/>
      <c r="R1857" s="88">
        <f>MIN($B$8,AVERAGE(S1878:S1879)/(1+H1857+$D$8/10000))+$B$7</f>
        <v>60.420740664539622</v>
      </c>
      <c r="S1857" s="88">
        <f>MIN($B$8,AVERAGE(T1878:T1879)/(1+I1857+$D$8/10000))+$B$7</f>
        <v>64.549746526140652</v>
      </c>
      <c r="T1857" s="88">
        <f>MIN($B$8,AVERAGE(U1876:U1877)/(1+J1857+$D$8/10000))+$B$7</f>
        <v>68.91328029281695</v>
      </c>
      <c r="U1857" s="88">
        <f t="shared" si="69"/>
        <v>80.900774274781227</v>
      </c>
    </row>
    <row r="1858" spans="1:21" x14ac:dyDescent="0.35">
      <c r="A1858" s="30"/>
      <c r="B1858" s="4"/>
      <c r="C1858" s="4"/>
      <c r="D1858" s="4"/>
      <c r="E1858" s="4"/>
      <c r="F1858" s="4"/>
      <c r="G1858" s="4"/>
      <c r="H1858" s="40">
        <f>(G1847-$B$1579)*EXP(10*H$22)</f>
        <v>0.26472148122466321</v>
      </c>
      <c r="I1858" s="8">
        <f>H1847*EXP(10*I$22)</f>
        <v>0.32138926625305936</v>
      </c>
      <c r="J1858" s="8">
        <f>I1847*EXP(10*J$22)</f>
        <v>0.40436258857556484</v>
      </c>
      <c r="K1858" s="8">
        <f>J1847*EXP(10*K$22)</f>
        <v>0.49975751043461669</v>
      </c>
      <c r="L1858" s="87"/>
      <c r="M1858" s="87"/>
      <c r="N1858" s="87"/>
      <c r="O1858" s="87"/>
      <c r="P1858" s="87"/>
      <c r="Q1858" s="87"/>
      <c r="R1858" s="88">
        <f>MIN($B$8,AVERAGE(S1880:S1881)/(1+H1858+$D$8/10000))+$B$7</f>
        <v>60.232886157744929</v>
      </c>
      <c r="S1858" s="88">
        <f>MIN($B$8,AVERAGE(T1880:T1881)/(1+I1858+$D$8/10000))+$B$7</f>
        <v>63.816934439003973</v>
      </c>
      <c r="T1858" s="88">
        <f>MIN($B$8,AVERAGE(U1878:U1879)/(1+J1858+$D$8/10000))+$B$7</f>
        <v>69.099062357285547</v>
      </c>
      <c r="U1858" s="88">
        <f t="shared" si="69"/>
        <v>81.460054402083998</v>
      </c>
    </row>
    <row r="1859" spans="1:21" x14ac:dyDescent="0.35">
      <c r="A1859" s="30"/>
      <c r="B1859" s="4"/>
      <c r="C1859" s="4"/>
      <c r="D1859" s="4"/>
      <c r="E1859" s="4"/>
      <c r="F1859" s="4"/>
      <c r="G1859" s="4"/>
      <c r="H1859" s="8">
        <f>G1847*EXP(10*H$22)</f>
        <v>0.26725912840484867</v>
      </c>
      <c r="I1859" s="40">
        <f>(H1847-$B$1579)*EXP(10*$I$22)</f>
        <v>0.31876464304821384</v>
      </c>
      <c r="J1859" s="40">
        <f>(I1847-$B$1579)*EXP(10*$J$22)</f>
        <v>0.4017168841727215</v>
      </c>
      <c r="K1859" s="40">
        <f>(J1847-$B$1579)*EXP(10*$J$22)</f>
        <v>0.50618888989441935</v>
      </c>
      <c r="L1859" s="87"/>
      <c r="M1859" s="87"/>
      <c r="N1859" s="87"/>
      <c r="O1859" s="87"/>
      <c r="P1859" s="87"/>
      <c r="Q1859" s="87"/>
      <c r="R1859" s="88">
        <f>MIN($B$8,AVERAGE(S1882:S1883)/(1+H1859+$D$8/10000))+$B$7</f>
        <v>59.668032936091464</v>
      </c>
      <c r="S1859" s="88">
        <f>MIN($B$8,AVERAGE(T1882:T1883)/(1+I1859+$D$8/10000))+$B$7</f>
        <v>64.002038542212489</v>
      </c>
      <c r="T1859" s="88">
        <f>MIN($B$8,AVERAGE(U1880:U1881)/(1+J1859+$D$8/10000))+$B$7</f>
        <v>69.275462953953721</v>
      </c>
      <c r="U1859" s="88">
        <f t="shared" si="69"/>
        <v>81.090778452332273</v>
      </c>
    </row>
    <row r="1860" spans="1:21" x14ac:dyDescent="0.35">
      <c r="A1860" s="30"/>
      <c r="B1860" s="4"/>
      <c r="C1860" s="4"/>
      <c r="D1860" s="4"/>
      <c r="E1860" s="4"/>
      <c r="F1860" s="4"/>
      <c r="G1860" s="4"/>
      <c r="H1860" s="40">
        <f>(G1848-$B$1579)*EXP(10*H$22)</f>
        <v>0.26256411702302185</v>
      </c>
      <c r="I1860" s="8">
        <f>H1848*EXP(10*I$22)</f>
        <v>0.31911610246374578</v>
      </c>
      <c r="J1860" s="8">
        <f>I1848*EXP(10*J$22)</f>
        <v>0.40870255160983954</v>
      </c>
      <c r="K1860" s="8">
        <f>J1848*EXP(10*K$22)</f>
        <v>0.51206717920731604</v>
      </c>
      <c r="L1860" s="87"/>
      <c r="M1860" s="87"/>
      <c r="N1860" s="87"/>
      <c r="O1860" s="87"/>
      <c r="P1860" s="87"/>
      <c r="Q1860" s="87"/>
      <c r="R1860" s="88">
        <f>MIN($B$8,AVERAGE(S1884:S1885)/(1+H1860+$D$8/10000))+$B$7</f>
        <v>60.65524972050158</v>
      </c>
      <c r="S1860" s="88">
        <f>MIN($B$8,AVERAGE(T1884:T1885)/(1+I1860+$D$8/10000))+$B$7</f>
        <v>64.034992481639193</v>
      </c>
      <c r="T1860" s="88">
        <f>MIN($B$8,AVERAGE(U1882:U1882)/(1+J1860+$D$8/10000))+$B$7</f>
        <v>69.209910808924974</v>
      </c>
      <c r="U1860" s="88">
        <f t="shared" si="69"/>
        <v>80.756326120479997</v>
      </c>
    </row>
    <row r="1861" spans="1:21" x14ac:dyDescent="0.35">
      <c r="A1861" s="30"/>
      <c r="B1861" s="4"/>
      <c r="C1861" s="4"/>
      <c r="D1861" s="4"/>
      <c r="E1861" s="4"/>
      <c r="F1861" s="4"/>
      <c r="G1861" s="4"/>
      <c r="H1861" s="8">
        <f>G1848*EXP(10*H$22)</f>
        <v>0.2651017642032073</v>
      </c>
      <c r="I1861" s="40">
        <f>(H1848-$B$1579)*EXP(10*$I$22)</f>
        <v>0.31649147925890025</v>
      </c>
      <c r="J1861" s="40">
        <f>(I1848-$B$1579)*EXP(10*$J$22)</f>
        <v>0.40605684720699614</v>
      </c>
      <c r="K1861" s="40">
        <f>(J1848-$B$1579)*EXP(10*$J$22)</f>
        <v>0.51872213889040342</v>
      </c>
      <c r="L1861" s="87"/>
      <c r="M1861" s="87"/>
      <c r="N1861" s="87"/>
      <c r="O1861" s="87"/>
      <c r="P1861" s="87"/>
      <c r="Q1861" s="87"/>
      <c r="R1861" s="88">
        <f>MIN($B$8,AVERAGE(S1886:S1887)/(1+H1861+$D$8/10000))+$B$7</f>
        <v>60.174965478117166</v>
      </c>
      <c r="S1861" s="88">
        <f>MIN($B$8,AVERAGE(T1886:T1887)/(1+I1861+$D$8/10000))+$B$7</f>
        <v>64.39388855175352</v>
      </c>
      <c r="T1861" s="88">
        <f>MIN($B$8,AVERAGE(U1884:U1885)/(1+J1861+$D$8/10000))+$B$7</f>
        <v>69.009325649206033</v>
      </c>
      <c r="U1861" s="88">
        <f t="shared" si="69"/>
        <v>80.381169536387219</v>
      </c>
    </row>
    <row r="1862" spans="1:21" x14ac:dyDescent="0.35">
      <c r="A1862" s="30"/>
      <c r="B1862" s="4"/>
      <c r="C1862" s="4"/>
      <c r="D1862" s="4"/>
      <c r="E1862" s="4"/>
      <c r="F1862" s="4"/>
      <c r="G1862" s="4"/>
      <c r="H1862" s="40">
        <f>(G1849-$B$1579)*EXP(10*H$22)</f>
        <v>0.26575799978920073</v>
      </c>
      <c r="I1862" s="8">
        <f>H1849*EXP(10*I$22)</f>
        <v>0.32228770611842467</v>
      </c>
      <c r="J1862" s="8">
        <f>I1849*EXP(10*J$22)</f>
        <v>0.40539589581514202</v>
      </c>
      <c r="K1862" s="8">
        <f>J1849*EXP(10*K$22)</f>
        <v>0.50879342518750992</v>
      </c>
      <c r="L1862" s="87"/>
      <c r="M1862" s="87"/>
      <c r="N1862" s="87"/>
      <c r="O1862" s="87"/>
      <c r="P1862" s="87"/>
      <c r="Q1862" s="87"/>
      <c r="R1862" s="88">
        <f>MIN($B$8,AVERAGE(S1888:S1889)/(1+H1862+$D$8/10000))+$B$7</f>
        <v>59.988227781148481</v>
      </c>
      <c r="S1862" s="88">
        <f>MIN($B$8,AVERAGE(T1888:T1889)/(1+I1862+$D$8/10000))+$B$7</f>
        <v>63.663647495875594</v>
      </c>
      <c r="T1862" s="88">
        <f>MIN($B$8,AVERAGE(U1886:U1887)/(1+J1862+$D$8/10000))+$B$7</f>
        <v>69.194375887716788</v>
      </c>
      <c r="U1862" s="88">
        <f t="shared" si="69"/>
        <v>80.942231373592548</v>
      </c>
    </row>
    <row r="1863" spans="1:21" x14ac:dyDescent="0.35">
      <c r="A1863" s="30"/>
      <c r="B1863" s="4"/>
      <c r="C1863" s="4"/>
      <c r="D1863" s="4"/>
      <c r="E1863" s="4"/>
      <c r="F1863" s="4"/>
      <c r="G1863" s="4"/>
      <c r="H1863" s="8">
        <f>G1849*EXP(10*H$22)</f>
        <v>0.26829564696938618</v>
      </c>
      <c r="I1863" s="40">
        <f>(H1849-$B$1579)*EXP(10*$I$22)</f>
        <v>0.31966308291357914</v>
      </c>
      <c r="J1863" s="40">
        <f>(I1849-$B$1579)*EXP(10*$J$22)</f>
        <v>0.40275019141229867</v>
      </c>
      <c r="K1863" s="40">
        <f>(J1849-$B$1579)*EXP(10*$J$22)</f>
        <v>0.51538892375362966</v>
      </c>
      <c r="L1863" s="87"/>
      <c r="M1863" s="87"/>
      <c r="N1863" s="87"/>
      <c r="O1863" s="87"/>
      <c r="P1863" s="87"/>
      <c r="Q1863" s="87"/>
      <c r="R1863" s="88">
        <f>MIN($B$8,AVERAGE(S1890:S1891)/(1+H1863+$D$8/10000))+$B$7</f>
        <v>59.426668913481151</v>
      </c>
      <c r="S1863" s="88">
        <f>MIN($B$8,AVERAGE(T1890:T1891)/(1+I1863+$D$8/10000))+$B$7</f>
        <v>63.848142045877566</v>
      </c>
      <c r="T1863" s="88">
        <f>MIN($B$8,AVERAGE(U1888:U1889)/(1+J1863+$D$8/10000))+$B$7</f>
        <v>69.370673905437613</v>
      </c>
      <c r="U1863" s="88">
        <f t="shared" si="69"/>
        <v>80.56861161095101</v>
      </c>
    </row>
    <row r="1864" spans="1:21" x14ac:dyDescent="0.35">
      <c r="A1864" s="30"/>
      <c r="B1864" s="4"/>
      <c r="C1864" s="4"/>
      <c r="D1864" s="4"/>
      <c r="E1864" s="4"/>
      <c r="F1864" s="4"/>
      <c r="G1864" s="4"/>
      <c r="H1864" s="40">
        <f>(G1850-$B$1579)*EXP(10*H$22)</f>
        <v>0.26647685486667777</v>
      </c>
      <c r="I1864" s="8">
        <f>H1850*EXP(10*I$22)</f>
        <v>0.32310788285501701</v>
      </c>
      <c r="J1864" s="8">
        <f>I1850*EXP(10*J$22)</f>
        <v>0.41269832577805765</v>
      </c>
      <c r="K1864" s="8">
        <f>J1850*EXP(10*K$22)</f>
        <v>0.50797557408001148</v>
      </c>
      <c r="L1864" s="87"/>
      <c r="M1864" s="87"/>
      <c r="N1864" s="87"/>
      <c r="O1864" s="87"/>
      <c r="P1864" s="87"/>
      <c r="Q1864" s="87"/>
      <c r="R1864" s="88">
        <f>MIN($B$8,AVERAGE(S1892:S1893)/(1+H1864+$D$8/10000))+$B$7</f>
        <v>59.777899125502046</v>
      </c>
      <c r="S1864" s="88">
        <f>MIN($B$8,AVERAGE(T1892:T1893)/(1+I1864+$D$8/10000))+$B$7</f>
        <v>63.450781629219499</v>
      </c>
      <c r="T1864" s="88">
        <f>MIN($B$8,AVERAGE(U1890:U1891)/(1+J1864+$D$8/10000))+$B$7</f>
        <v>69.003395050352125</v>
      </c>
      <c r="U1864" s="88">
        <f t="shared" si="69"/>
        <v>80.988815002654036</v>
      </c>
    </row>
    <row r="1865" spans="1:21" x14ac:dyDescent="0.35">
      <c r="A1865" s="30"/>
      <c r="B1865" s="4"/>
      <c r="C1865" s="4"/>
      <c r="D1865" s="4"/>
      <c r="E1865" s="4"/>
      <c r="F1865" s="4"/>
      <c r="G1865" s="4"/>
      <c r="H1865" s="8">
        <f>G1850*EXP(10*H$22)</f>
        <v>0.26901450204686322</v>
      </c>
      <c r="I1865" s="40">
        <f>(H1850-$B$1579)*EXP(10*$I$22)</f>
        <v>0.32048325965017149</v>
      </c>
      <c r="J1865" s="40">
        <f>(I1850-$B$1579)*EXP(10*$J$22)</f>
        <v>0.41005262137521431</v>
      </c>
      <c r="K1865" s="40">
        <f>(J1850-$B$1579)*EXP(10*$J$22)</f>
        <v>0.51455621803577534</v>
      </c>
      <c r="L1865" s="87"/>
      <c r="M1865" s="87"/>
      <c r="N1865" s="87"/>
      <c r="O1865" s="87"/>
      <c r="P1865" s="87"/>
      <c r="Q1865" s="87"/>
      <c r="R1865" s="88">
        <f>MIN($B$8,AVERAGE(S1894:S1895)/(1+H1865+$D$8/10000))+$B$7</f>
        <v>59.260105117506214</v>
      </c>
      <c r="S1865" s="88">
        <f>MIN($B$8,AVERAGE(T1894:T1895)/(1+I1865+$D$8/10000))+$B$7</f>
        <v>63.70813171623238</v>
      </c>
      <c r="T1865" s="88">
        <f>MIN($B$8,AVERAGE(U1892:U1893)/(1+J1865+$D$8/10000))+$B$7</f>
        <v>68.576731562040678</v>
      </c>
      <c r="U1865" s="88">
        <f t="shared" si="69"/>
        <v>80.615582208578672</v>
      </c>
    </row>
    <row r="1866" spans="1:21" x14ac:dyDescent="0.35">
      <c r="A1866" s="30"/>
      <c r="B1866" s="4"/>
      <c r="C1866" s="4"/>
      <c r="D1866" s="4"/>
      <c r="E1866" s="4"/>
      <c r="F1866" s="4"/>
      <c r="G1866" s="4"/>
      <c r="H1866" s="40">
        <f>(G1851-$B$1579)*EXP(10*H$22)</f>
        <v>0.26967073763285665</v>
      </c>
      <c r="I1866" s="8">
        <f>H1851*EXP(10*I$22)</f>
        <v>0.3262794865096959</v>
      </c>
      <c r="J1866" s="8">
        <f>I1851*EXP(10*J$22)</f>
        <v>0.40939166998336018</v>
      </c>
      <c r="K1866" s="8">
        <f>J1851*EXP(10*K$22)</f>
        <v>0.50470182006020547</v>
      </c>
      <c r="L1866" s="87"/>
      <c r="M1866" s="87"/>
      <c r="N1866" s="87"/>
      <c r="O1866" s="87"/>
      <c r="P1866" s="87"/>
      <c r="Q1866" s="87"/>
      <c r="R1866" s="88">
        <f>MIN($B$8,AVERAGE(S1896:S1897)/(1+H1866+$D$8/10000))+$B$7</f>
        <v>59.077510655963444</v>
      </c>
      <c r="S1866" s="88">
        <f>MIN($B$8,AVERAGE(T1896:T1897)/(1+I1866+$D$8/10000))+$B$7</f>
        <v>62.989176115743511</v>
      </c>
      <c r="T1866" s="88">
        <f>MIN($B$8,AVERAGE(U1894:U1895)/(1+J1866+$D$8/10000))+$B$7</f>
        <v>68.759865688898117</v>
      </c>
      <c r="U1866" s="88">
        <f t="shared" si="69"/>
        <v>81.175849518249493</v>
      </c>
    </row>
    <row r="1867" spans="1:21" x14ac:dyDescent="0.35">
      <c r="A1867" s="30"/>
      <c r="B1867" s="4"/>
      <c r="C1867" s="4"/>
      <c r="D1867" s="4"/>
      <c r="E1867" s="4"/>
      <c r="F1867" s="4"/>
      <c r="G1867" s="4"/>
      <c r="H1867" s="8">
        <f>G1851*EXP(10*H$22)</f>
        <v>0.2722083848130421</v>
      </c>
      <c r="I1867" s="40">
        <f>(H1851-$B$1579)*EXP(10*$I$22)</f>
        <v>0.32365486330485033</v>
      </c>
      <c r="J1867" s="40">
        <f>(I1851-$B$1579)*EXP(10*$J$22)</f>
        <v>0.40674596558051679</v>
      </c>
      <c r="K1867" s="40">
        <f>(J1851-$B$1579)*EXP(10*$J$22)</f>
        <v>0.51122300289900158</v>
      </c>
      <c r="L1867" s="87"/>
      <c r="M1867" s="87"/>
      <c r="N1867" s="87"/>
      <c r="O1867" s="87"/>
      <c r="P1867" s="87"/>
      <c r="Q1867" s="87"/>
      <c r="R1867" s="88">
        <f>MIN($B$8,AVERAGE(S1898:S1899)/(1+H1867+$D$8/10000))+$B$7</f>
        <v>58.528176774909284</v>
      </c>
      <c r="S1867" s="88">
        <f>MIN($B$8,AVERAGE(T1898:T1899)/(1+I1867+$D$8/10000))+$B$7</f>
        <v>63.170993211613073</v>
      </c>
      <c r="T1867" s="88">
        <f>MIN($B$8,AVERAGE(U1896:U1897)/(1+J1867+$D$8/10000))+$B$7</f>
        <v>68.934404057740252</v>
      </c>
      <c r="U1867" s="88">
        <f t="shared" si="69"/>
        <v>80.804177982859784</v>
      </c>
    </row>
    <row r="1868" spans="1:21" x14ac:dyDescent="0.35">
      <c r="A1868" s="30"/>
      <c r="B1868" s="4"/>
      <c r="C1868" s="4"/>
      <c r="D1868" s="4"/>
      <c r="E1868" s="4"/>
      <c r="F1868" s="4"/>
      <c r="G1868" s="4"/>
      <c r="H1868" s="17"/>
      <c r="I1868" s="8">
        <f>H1852*EXP(10*I$22)</f>
        <v>0.3219723528965403</v>
      </c>
      <c r="J1868" s="8">
        <f>I1852*EXP(10*J$22)</f>
        <v>0.39588038097271239</v>
      </c>
      <c r="K1868" s="8">
        <f>J1852*EXP(10*K$22)</f>
        <v>0.49949935614225061</v>
      </c>
      <c r="L1868" s="87"/>
      <c r="M1868" s="87"/>
      <c r="N1868" s="87"/>
      <c r="O1868" s="87"/>
      <c r="P1868" s="87"/>
      <c r="Q1868" s="87"/>
      <c r="R1868" s="87"/>
      <c r="S1868" s="88">
        <f>MIN($B$8,AVERAGE(T1900:T1901)/(1+I1868+$D$8/10000))+$B$7</f>
        <v>63.484187578620734</v>
      </c>
      <c r="T1868" s="88">
        <f>MIN($B$8,AVERAGE(U1898:U1899)/(1+J1868+$D$8/10000))+$B$7</f>
        <v>69.655563144192044</v>
      </c>
      <c r="U1868" s="88">
        <f t="shared" si="69"/>
        <v>81.474950932192726</v>
      </c>
    </row>
    <row r="1869" spans="1:21" x14ac:dyDescent="0.35">
      <c r="A1869" s="30"/>
      <c r="B1869" s="4"/>
      <c r="C1869" s="4"/>
      <c r="D1869" s="4"/>
      <c r="E1869" s="4"/>
      <c r="F1869" s="4"/>
      <c r="G1869" s="4"/>
      <c r="H1869" s="17"/>
      <c r="I1869" s="40">
        <f>(H1852-$B$1579)*EXP(10*$I$22)</f>
        <v>0.31934772969169478</v>
      </c>
      <c r="J1869" s="40">
        <f>(I1852-$B$1579)*EXP(10*$J$22)</f>
        <v>0.39323467656986905</v>
      </c>
      <c r="K1869" s="40">
        <f>(J1852-$B$1579)*EXP(10*$J$22)</f>
        <v>0.50592604675173614</v>
      </c>
      <c r="L1869" s="87"/>
      <c r="M1869" s="87"/>
      <c r="N1869" s="87"/>
      <c r="O1869" s="87"/>
      <c r="P1869" s="87"/>
      <c r="Q1869" s="87"/>
      <c r="R1869" s="87"/>
      <c r="S1869" s="88">
        <f>MIN($B$8,AVERAGE(T1902:T1903)/(1+I1869+$D$8/10000))+$B$7</f>
        <v>63.812408231732242</v>
      </c>
      <c r="T1869" s="88">
        <f>MIN($B$8,AVERAGE(U1900:U1901)/(1+J1869+$D$8/10000))+$B$7</f>
        <v>70.42783009303173</v>
      </c>
      <c r="U1869" s="88">
        <f t="shared" si="69"/>
        <v>81.105801318486954</v>
      </c>
    </row>
    <row r="1870" spans="1:21" x14ac:dyDescent="0.35">
      <c r="A1870" s="30"/>
      <c r="B1870" s="4"/>
      <c r="C1870" s="4"/>
      <c r="D1870" s="4"/>
      <c r="E1870" s="4"/>
      <c r="F1870" s="4"/>
      <c r="G1870" s="4"/>
      <c r="H1870" s="17"/>
      <c r="I1870" s="8">
        <f>H1853*EXP(10*I$22)</f>
        <v>0.32514395655121919</v>
      </c>
      <c r="J1870" s="8">
        <f>I1853*EXP(10*J$22)</f>
        <v>0.39257372517801492</v>
      </c>
      <c r="K1870" s="8">
        <f>J1853*EXP(10*K$22)</f>
        <v>0.49622560212244465</v>
      </c>
      <c r="L1870" s="87"/>
      <c r="M1870" s="87"/>
      <c r="N1870" s="87"/>
      <c r="O1870" s="87"/>
      <c r="P1870" s="87"/>
      <c r="Q1870" s="87"/>
      <c r="R1870" s="87"/>
      <c r="S1870" s="88">
        <f>MIN($B$8,AVERAGE(T1904:T1905)/(1+I1870+$D$8/10000))+$B$7</f>
        <v>63.179953853280267</v>
      </c>
      <c r="T1870" s="88">
        <f>MIN($B$8,AVERAGE(U1902:U1903)/(1+J1870+$D$8/10000))+$B$7</f>
        <v>70.619213104950759</v>
      </c>
      <c r="U1870" s="88">
        <f t="shared" si="69"/>
        <v>81.6643578211755</v>
      </c>
    </row>
    <row r="1871" spans="1:21" x14ac:dyDescent="0.35">
      <c r="A1871" s="30"/>
      <c r="B1871" s="4"/>
      <c r="C1871" s="4"/>
      <c r="D1871" s="4"/>
      <c r="E1871" s="4"/>
      <c r="F1871" s="4"/>
      <c r="G1871" s="4"/>
      <c r="H1871" s="17"/>
      <c r="I1871" s="40">
        <f>(H1853-$B$1579)*EXP(10*$I$22)</f>
        <v>0.32251933334637367</v>
      </c>
      <c r="J1871" s="40">
        <f>(I1853-$B$1579)*EXP(10*$J$22)</f>
        <v>0.38992802077517152</v>
      </c>
      <c r="K1871" s="40">
        <f>(J1853-$B$1579)*EXP(10*$J$22)</f>
        <v>0.50259283161496249</v>
      </c>
      <c r="L1871" s="87"/>
      <c r="M1871" s="87"/>
      <c r="N1871" s="87"/>
      <c r="O1871" s="87"/>
      <c r="P1871" s="87"/>
      <c r="Q1871" s="87"/>
      <c r="R1871" s="87"/>
      <c r="S1871" s="88">
        <f>MIN($B$8,AVERAGE(T1906:T1907)/(1+I1871+$D$8/10000))+$B$7</f>
        <v>63.362527515537074</v>
      </c>
      <c r="T1871" s="88">
        <f>MIN($B$8,AVERAGE(U1904:U1905)/(1+J1871+$D$8/10000))+$B$7</f>
        <v>70.801321455572335</v>
      </c>
      <c r="U1871" s="88">
        <f t="shared" si="69"/>
        <v>81.296821254563028</v>
      </c>
    </row>
    <row r="1872" spans="1:21" x14ac:dyDescent="0.35">
      <c r="A1872" s="30"/>
      <c r="B1872" s="4"/>
      <c r="C1872" s="4"/>
      <c r="D1872" s="4"/>
      <c r="E1872" s="4"/>
      <c r="F1872" s="4"/>
      <c r="G1872" s="4"/>
      <c r="H1872" s="17"/>
      <c r="I1872" s="8">
        <f>H1854*EXP(10*I$22)</f>
        <v>0.32596413328781154</v>
      </c>
      <c r="J1872" s="8">
        <f>I1854*EXP(10*J$22)</f>
        <v>0.39987615514093056</v>
      </c>
      <c r="K1872" s="8">
        <f>J1854*EXP(10*K$22)</f>
        <v>0.49540775101494616</v>
      </c>
      <c r="L1872" s="87"/>
      <c r="M1872" s="87"/>
      <c r="N1872" s="87"/>
      <c r="O1872" s="87"/>
      <c r="P1872" s="87"/>
      <c r="Q1872" s="87"/>
      <c r="R1872" s="87"/>
      <c r="S1872" s="88">
        <f>MIN($B$8,AVERAGE(T1908:T1909)/(1+I1872+$D$8/10000))+$B$7</f>
        <v>62.969536312044241</v>
      </c>
      <c r="T1872" s="88">
        <f>MIN($B$8,AVERAGE(U1906:U1907)/(1+J1872+$D$8/10000))+$B$7</f>
        <v>70.422466272427684</v>
      </c>
      <c r="U1872" s="88">
        <f t="shared" si="69"/>
        <v>81.711820226501331</v>
      </c>
    </row>
    <row r="1873" spans="1:21" x14ac:dyDescent="0.35">
      <c r="A1873" s="30"/>
      <c r="B1873" s="4"/>
      <c r="C1873" s="4"/>
      <c r="D1873" s="4"/>
      <c r="E1873" s="4"/>
      <c r="F1873" s="4"/>
      <c r="G1873" s="4"/>
      <c r="H1873" s="17"/>
      <c r="I1873" s="40">
        <f>(H1854-$B$1579)*EXP(10*$I$22)</f>
        <v>0.32333951008296602</v>
      </c>
      <c r="J1873" s="40">
        <f>(I1854-$B$1579)*EXP(10*$J$22)</f>
        <v>0.39723045073808716</v>
      </c>
      <c r="K1873" s="40">
        <f>(J1854-$B$1579)*EXP(10*$J$22)</f>
        <v>0.50176012589710817</v>
      </c>
      <c r="L1873" s="87"/>
      <c r="M1873" s="87"/>
      <c r="N1873" s="87"/>
      <c r="O1873" s="87"/>
      <c r="P1873" s="87"/>
      <c r="Q1873" s="87"/>
      <c r="R1873" s="87"/>
      <c r="S1873" s="88">
        <f>MIN($B$8,AVERAGE(T1910:T1911)/(1+I1873+$D$8/10000))+$B$7</f>
        <v>63.224098515873933</v>
      </c>
      <c r="T1873" s="88">
        <f>MIN($B$8,AVERAGE(U1908:U1909)/(1+J1873+$D$8/10000))+$B$7</f>
        <v>69.980746004392259</v>
      </c>
      <c r="U1873" s="88">
        <f t="shared" si="69"/>
        <v>81.34468981245935</v>
      </c>
    </row>
    <row r="1874" spans="1:21" x14ac:dyDescent="0.35">
      <c r="A1874" s="30"/>
      <c r="B1874" s="4"/>
      <c r="C1874" s="4"/>
      <c r="D1874" s="4"/>
      <c r="E1874" s="4"/>
      <c r="F1874" s="4"/>
      <c r="G1874" s="4"/>
      <c r="H1874" s="17"/>
      <c r="I1874" s="8">
        <f>H1855*EXP(10*I$22)</f>
        <v>0.32913573694249043</v>
      </c>
      <c r="J1874" s="8">
        <f>I1855*EXP(10*J$22)</f>
        <v>0.39656949934623309</v>
      </c>
      <c r="K1874" s="8">
        <f>J1855*EXP(10*K$22)</f>
        <v>0.49213399699514015</v>
      </c>
      <c r="L1874" s="87"/>
      <c r="M1874" s="87"/>
      <c r="N1874" s="87"/>
      <c r="O1874" s="87"/>
      <c r="P1874" s="87"/>
      <c r="Q1874" s="87"/>
      <c r="R1874" s="87"/>
      <c r="S1874" s="88">
        <f>MIN($B$8,AVERAGE(T1912:T1913)/(1+I1874+$D$8/10000))+$B$7</f>
        <v>62.513082203589292</v>
      </c>
      <c r="T1874" s="88">
        <f>MIN($B$8,AVERAGE(U1910:U1911)/(1+J1874+$D$8/10000))+$B$7</f>
        <v>70.170124855639941</v>
      </c>
      <c r="U1874" s="88">
        <f t="shared" si="69"/>
        <v>81.902388482795374</v>
      </c>
    </row>
    <row r="1875" spans="1:21" x14ac:dyDescent="0.35">
      <c r="A1875" s="30"/>
      <c r="B1875" s="4"/>
      <c r="C1875" s="4"/>
      <c r="D1875" s="4"/>
      <c r="E1875" s="4"/>
      <c r="F1875" s="4"/>
      <c r="G1875" s="4"/>
      <c r="H1875" s="17"/>
      <c r="I1875" s="40">
        <f>(H1855-$B$1579)*EXP(10*$I$22)</f>
        <v>0.32651111373764485</v>
      </c>
      <c r="J1875" s="40">
        <f>(I1855-$B$1579)*EXP(10*$J$22)</f>
        <v>0.39392379494338969</v>
      </c>
      <c r="K1875" s="40">
        <f>(J1855-$B$1579)*EXP(10*$J$22)</f>
        <v>0.49842691076033435</v>
      </c>
      <c r="L1875" s="87"/>
      <c r="M1875" s="87"/>
      <c r="N1875" s="87"/>
      <c r="O1875" s="87"/>
      <c r="P1875" s="87"/>
      <c r="Q1875" s="87"/>
      <c r="R1875" s="87"/>
      <c r="S1875" s="88">
        <f>MIN($B$8,AVERAGE(T1914:T1915)/(1+I1875+$D$8/10000))+$B$7</f>
        <v>62.693013906181079</v>
      </c>
      <c r="T1875" s="88">
        <f>MIN($B$8,AVERAGE(U1912:U1913)/(1+J1875+$D$8/10000))+$B$7</f>
        <v>70.350395261456583</v>
      </c>
      <c r="U1875" s="88">
        <f t="shared" si="69"/>
        <v>81.536896689820921</v>
      </c>
    </row>
    <row r="1876" spans="1:21" x14ac:dyDescent="0.35">
      <c r="A1876" s="30"/>
      <c r="B1876" s="4"/>
      <c r="C1876" s="4"/>
      <c r="D1876" s="4"/>
      <c r="E1876" s="4"/>
      <c r="F1876" s="4"/>
      <c r="G1876" s="4"/>
      <c r="H1876" s="17"/>
      <c r="I1876" s="8">
        <f>H1856*EXP(10*I$22)</f>
        <v>0.32686257315317685</v>
      </c>
      <c r="J1876" s="8">
        <f>I1856*EXP(10*J$22)</f>
        <v>0.40090946238050773</v>
      </c>
      <c r="K1876" s="8">
        <f>J1856*EXP(10*K$22)</f>
        <v>0.50444366576783928</v>
      </c>
      <c r="L1876" s="87"/>
      <c r="M1876" s="87"/>
      <c r="N1876" s="87"/>
      <c r="O1876" s="87"/>
      <c r="P1876" s="87"/>
      <c r="Q1876" s="87"/>
      <c r="R1876" s="87"/>
      <c r="S1876" s="88">
        <f>MIN($B$8,AVERAGE(T1916:T1917)/(1+I1876+$D$8/10000))+$B$7</f>
        <v>62.724818987285921</v>
      </c>
      <c r="T1876" s="88">
        <f>MIN($B$8,AVERAGE(U1914:U1915)/(1+J1876+$D$8/10000))+$B$7</f>
        <v>70.132341244993825</v>
      </c>
      <c r="U1876" s="88">
        <f t="shared" si="69"/>
        <v>81.1906369262053</v>
      </c>
    </row>
    <row r="1877" spans="1:21" x14ac:dyDescent="0.35">
      <c r="A1877" s="30"/>
      <c r="B1877" s="4"/>
      <c r="C1877" s="4"/>
      <c r="D1877" s="4"/>
      <c r="E1877" s="4"/>
      <c r="F1877" s="4"/>
      <c r="G1877" s="4"/>
      <c r="H1877" s="17"/>
      <c r="I1877" s="40">
        <f>(H1856-$B$1579)*EXP(10*$I$22)</f>
        <v>0.32423794994833133</v>
      </c>
      <c r="J1877" s="40">
        <f>(I1856-$B$1579)*EXP(10*$J$22)</f>
        <v>0.39826375797766439</v>
      </c>
      <c r="K1877" s="40">
        <f>(J1856-$B$1579)*EXP(10*$J$22)</f>
        <v>0.51096015975631826</v>
      </c>
      <c r="L1877" s="87"/>
      <c r="M1877" s="87"/>
      <c r="N1877" s="87"/>
      <c r="O1877" s="87"/>
      <c r="P1877" s="87"/>
      <c r="Q1877" s="87"/>
      <c r="R1877" s="87"/>
      <c r="S1877" s="88">
        <f>MIN($B$8,AVERAGE(T1918:T1919)/(1+I1877+$D$8/10000))+$B$7</f>
        <v>63.072976575181087</v>
      </c>
      <c r="T1877" s="88">
        <f>MIN($B$8,AVERAGE(U1916:U1917)/(1+J1877+$D$8/10000))+$B$7</f>
        <v>69.865878659967137</v>
      </c>
      <c r="U1877" s="88">
        <f t="shared" si="69"/>
        <v>80.819089344795955</v>
      </c>
    </row>
    <row r="1878" spans="1:21" x14ac:dyDescent="0.35">
      <c r="A1878" s="30"/>
      <c r="B1878" s="4"/>
      <c r="C1878" s="4"/>
      <c r="D1878" s="4"/>
      <c r="E1878" s="4"/>
      <c r="F1878" s="4"/>
      <c r="G1878" s="4"/>
      <c r="H1878" s="17"/>
      <c r="I1878" s="8">
        <f>H1857*EXP(10*I$22)</f>
        <v>0.33003417680785574</v>
      </c>
      <c r="J1878" s="8">
        <f>I1857*EXP(10*J$22)</f>
        <v>0.39760280658581026</v>
      </c>
      <c r="K1878" s="8">
        <f>J1857*EXP(10*K$22)</f>
        <v>0.50116991174803327</v>
      </c>
      <c r="L1878" s="87"/>
      <c r="M1878" s="87"/>
      <c r="N1878" s="87"/>
      <c r="O1878" s="87"/>
      <c r="P1878" s="87"/>
      <c r="Q1878" s="87"/>
      <c r="R1878" s="87"/>
      <c r="S1878" s="88">
        <f>MIN($B$8,AVERAGE(T1920:T1921)/(1+I1878+$D$8/10000))+$B$7</f>
        <v>62.364434518008913</v>
      </c>
      <c r="T1878" s="88">
        <f>MIN($B$8,AVERAGE(U1918:U1919)/(1+J1878+$D$8/10000))+$B$7</f>
        <v>70.054743807168506</v>
      </c>
      <c r="U1878" s="88">
        <f t="shared" si="69"/>
        <v>81.378654525771879</v>
      </c>
    </row>
    <row r="1879" spans="1:21" x14ac:dyDescent="0.35">
      <c r="A1879" s="30"/>
      <c r="B1879" s="4"/>
      <c r="C1879" s="4"/>
      <c r="D1879" s="4"/>
      <c r="E1879" s="4"/>
      <c r="F1879" s="4"/>
      <c r="G1879" s="4"/>
      <c r="H1879" s="17"/>
      <c r="I1879" s="40">
        <f>(H1857-$B$1579)*EXP(10*$I$22)</f>
        <v>0.32740955360301022</v>
      </c>
      <c r="J1879" s="40">
        <f>(I1857-$B$1579)*EXP(10*$J$22)</f>
        <v>0.39495710218296687</v>
      </c>
      <c r="K1879" s="40">
        <f>(J1857-$B$1579)*EXP(10*$J$22)</f>
        <v>0.5076269446195445</v>
      </c>
      <c r="L1879" s="87"/>
      <c r="M1879" s="87"/>
      <c r="N1879" s="87"/>
      <c r="O1879" s="87"/>
      <c r="P1879" s="87"/>
      <c r="Q1879" s="87"/>
      <c r="R1879" s="87"/>
      <c r="S1879" s="88">
        <f>MIN($B$8,AVERAGE(T1922:T1923)/(1+I1879+$D$8/10000))+$B$7</f>
        <v>62.543778335226804</v>
      </c>
      <c r="T1879" s="88">
        <f>MIN($B$8,AVERAGE(U1920:U1921)/(1+J1879+$D$8/10000))+$B$7</f>
        <v>70.234542983193563</v>
      </c>
      <c r="U1879" s="88">
        <f t="shared" si="69"/>
        <v>81.008689589666844</v>
      </c>
    </row>
    <row r="1880" spans="1:21" x14ac:dyDescent="0.35">
      <c r="A1880" s="30"/>
      <c r="B1880" s="4"/>
      <c r="C1880" s="4"/>
      <c r="D1880" s="4"/>
      <c r="E1880" s="4"/>
      <c r="F1880" s="4"/>
      <c r="G1880" s="4"/>
      <c r="H1880" s="17"/>
      <c r="I1880" s="8">
        <f>H1858*EXP(10*I$22)</f>
        <v>0.33085435354444809</v>
      </c>
      <c r="J1880" s="8">
        <f>I1858*EXP(10*J$22)</f>
        <v>0.4049052365487259</v>
      </c>
      <c r="K1880" s="8">
        <f>J1858*EXP(10*K$22)</f>
        <v>0.50035206064053483</v>
      </c>
      <c r="L1880" s="87"/>
      <c r="M1880" s="87"/>
      <c r="N1880" s="87"/>
      <c r="O1880" s="87"/>
      <c r="P1880" s="87"/>
      <c r="Q1880" s="87"/>
      <c r="R1880" s="87"/>
      <c r="S1880" s="88">
        <f>MIN($B$8,AVERAGE(T1924:T1925)/(1+I1880+$D$8/10000))+$B$7</f>
        <v>62.158126779310784</v>
      </c>
      <c r="T1880" s="88">
        <f>MIN($B$8,AVERAGE(U1922:U1923)/(1+J1880+$D$8/10000))+$B$7</f>
        <v>69.860286113415043</v>
      </c>
      <c r="U1880" s="88">
        <f t="shared" si="69"/>
        <v>81.425768268283278</v>
      </c>
    </row>
    <row r="1881" spans="1:21" x14ac:dyDescent="0.35">
      <c r="A1881" s="30"/>
      <c r="B1881" s="4"/>
      <c r="C1881" s="4"/>
      <c r="D1881" s="4"/>
      <c r="E1881" s="4"/>
      <c r="F1881" s="4"/>
      <c r="G1881" s="4"/>
      <c r="H1881" s="17"/>
      <c r="I1881" s="40">
        <f>(H1858-$B$1579)*EXP(10*$I$22)</f>
        <v>0.32822973033960251</v>
      </c>
      <c r="J1881" s="40">
        <f>(I1858-$B$1579)*EXP(10*$J$22)</f>
        <v>0.4022595321458825</v>
      </c>
      <c r="K1881" s="40">
        <f>(J1858-$B$1579)*EXP(10*$J$22)</f>
        <v>0.50679423890169017</v>
      </c>
      <c r="L1881" s="87"/>
      <c r="M1881" s="87"/>
      <c r="N1881" s="87"/>
      <c r="O1881" s="87"/>
      <c r="P1881" s="87"/>
      <c r="Q1881" s="87"/>
      <c r="R1881" s="87"/>
      <c r="S1881" s="88">
        <f>MIN($B$8,AVERAGE(T1926:T1927)/(1+I1881+$D$8/10000))+$B$7</f>
        <v>62.40800456667835</v>
      </c>
      <c r="T1881" s="88">
        <f>MIN($B$8,AVERAGE(U1924:U1925)/(1+J1881+$D$8/10000))+$B$7</f>
        <v>69.424554285509203</v>
      </c>
      <c r="U1881" s="88">
        <f t="shared" si="69"/>
        <v>81.056201833303064</v>
      </c>
    </row>
    <row r="1882" spans="1:21" x14ac:dyDescent="0.35">
      <c r="A1882" s="30"/>
      <c r="B1882" s="4"/>
      <c r="C1882" s="4"/>
      <c r="D1882" s="4"/>
      <c r="E1882" s="4"/>
      <c r="F1882" s="4"/>
      <c r="G1882" s="4"/>
      <c r="H1882" s="17"/>
      <c r="I1882" s="8">
        <f>H1859*EXP(10*I$22)</f>
        <v>0.33402595719912698</v>
      </c>
      <c r="J1882" s="8">
        <f>I1859*EXP(10*J$22)</f>
        <v>0.40159858075402843</v>
      </c>
      <c r="K1882" s="8">
        <f>J1859*EXP(10*K$22)</f>
        <v>0.49707830662072888</v>
      </c>
      <c r="L1882" s="87"/>
      <c r="M1882" s="87"/>
      <c r="N1882" s="87"/>
      <c r="O1882" s="87"/>
      <c r="P1882" s="87"/>
      <c r="Q1882" s="87"/>
      <c r="R1882" s="87"/>
      <c r="S1882" s="88">
        <f>MIN($B$8,AVERAGE(T1928:T1929)/(1+I1882+$D$8/10000))+$B$7</f>
        <v>61.710324225332982</v>
      </c>
      <c r="T1882" s="88">
        <f>MIN($B$8,AVERAGE(U1926:U1927)/(1+J1882+$D$8/10000))+$B$7</f>
        <v>69.611450398393544</v>
      </c>
      <c r="U1882" s="88">
        <f t="shared" si="69"/>
        <v>81.614934461376279</v>
      </c>
    </row>
    <row r="1883" spans="1:21" x14ac:dyDescent="0.35">
      <c r="A1883" s="30"/>
      <c r="B1883" s="4"/>
      <c r="C1883" s="4"/>
      <c r="D1883" s="4"/>
      <c r="E1883" s="4"/>
      <c r="F1883" s="4"/>
      <c r="G1883" s="4"/>
      <c r="H1883" s="17"/>
      <c r="I1883" s="40">
        <f>(H1859-$B$1579)*EXP(10*$I$22)</f>
        <v>0.3314013339942814</v>
      </c>
      <c r="J1883" s="40">
        <f>(I1859-$B$1579)*EXP(10*$J$22)</f>
        <v>0.39895287635118504</v>
      </c>
      <c r="K1883" s="40">
        <f>(J1859-$B$1579)*EXP(10*$K$22)</f>
        <v>0.49447979885311738</v>
      </c>
      <c r="L1883" s="87"/>
      <c r="M1883" s="87"/>
      <c r="N1883" s="87"/>
      <c r="O1883" s="87"/>
      <c r="P1883" s="87"/>
      <c r="Q1883" s="87"/>
      <c r="R1883" s="87"/>
      <c r="S1883" s="88">
        <f>MIN($B$8,AVERAGE(T1930:T1931)/(1+I1883+$D$8/10000))+$B$7</f>
        <v>61.887085541378269</v>
      </c>
      <c r="T1883" s="88">
        <f>MIN($B$8,AVERAGE(U1928:U1929)/(1+J1883+$D$8/10000))+$B$7</f>
        <v>69.789442849902841</v>
      </c>
      <c r="U1883" s="88">
        <f t="shared" si="69"/>
        <v>81.765742432674074</v>
      </c>
    </row>
    <row r="1884" spans="1:21" x14ac:dyDescent="0.35">
      <c r="A1884" s="30"/>
      <c r="B1884" s="4"/>
      <c r="C1884" s="4"/>
      <c r="D1884" s="4"/>
      <c r="E1884" s="4"/>
      <c r="F1884" s="4"/>
      <c r="G1884" s="4"/>
      <c r="H1884" s="17"/>
      <c r="I1884" s="8">
        <f>H1860*EXP(10*I$22)</f>
        <v>0.32815803538019522</v>
      </c>
      <c r="J1884" s="8">
        <f>I1860*EXP(10*J$22)</f>
        <v>0.40204137014597774</v>
      </c>
      <c r="K1884" s="8">
        <f>J1860*EXP(10*K$22)</f>
        <v>0.505722264286111</v>
      </c>
      <c r="L1884" s="87"/>
      <c r="M1884" s="87"/>
      <c r="N1884" s="87"/>
      <c r="O1884" s="87"/>
      <c r="P1884" s="87"/>
      <c r="Q1884" s="87"/>
      <c r="R1884" s="87"/>
      <c r="S1884" s="88">
        <f>MIN($B$8,AVERAGE(T1932:T1933)/(1+I1884+$D$8/10000))+$B$7</f>
        <v>62.401272860951259</v>
      </c>
      <c r="T1884" s="88">
        <f>MIN($B$8,AVERAGE(U1930:U1931)/(1+J1884+$D$8/10000))+$B$7</f>
        <v>69.779252881779698</v>
      </c>
      <c r="U1884" s="88">
        <f t="shared" si="69"/>
        <v>81.117452586793021</v>
      </c>
    </row>
    <row r="1885" spans="1:21" x14ac:dyDescent="0.35">
      <c r="A1885" s="30"/>
      <c r="B1885" s="4"/>
      <c r="C1885" s="4"/>
      <c r="D1885" s="4"/>
      <c r="E1885" s="4"/>
      <c r="F1885" s="4"/>
      <c r="G1885" s="4"/>
      <c r="H1885" s="17"/>
      <c r="I1885" s="40">
        <f>(H1860-$B$1579)*EXP(10*$I$22)</f>
        <v>0.32553341217534965</v>
      </c>
      <c r="J1885" s="40">
        <f>(I1860-$B$1579)*EXP(10*$J$22)</f>
        <v>0.3993956657431344</v>
      </c>
      <c r="K1885" s="40">
        <f>(J1860-$B$1579)*EXP(10*$K$22)</f>
        <v>0.50312375651849939</v>
      </c>
      <c r="L1885" s="87"/>
      <c r="M1885" s="87"/>
      <c r="N1885" s="87"/>
      <c r="O1885" s="87"/>
      <c r="P1885" s="87"/>
      <c r="Q1885" s="87"/>
      <c r="R1885" s="87"/>
      <c r="S1885" s="88">
        <f>MIN($B$8,AVERAGE(T1934:T1935)/(1+I1885+$D$8/10000))+$B$7</f>
        <v>62.85601903805167</v>
      </c>
      <c r="T1885" s="88">
        <f>MIN($B$8,AVERAGE(U1932:U1933)/(1+J1885+$D$8/10000))+$B$7</f>
        <v>69.740400968580687</v>
      </c>
      <c r="U1885" s="88">
        <f t="shared" si="69"/>
        <v>81.26633165743857</v>
      </c>
    </row>
    <row r="1886" spans="1:21" x14ac:dyDescent="0.35">
      <c r="A1886" s="30"/>
      <c r="B1886" s="4"/>
      <c r="C1886" s="4"/>
      <c r="D1886" s="4"/>
      <c r="E1886" s="4"/>
      <c r="F1886" s="4"/>
      <c r="G1886" s="4"/>
      <c r="H1886" s="17"/>
      <c r="I1886" s="8">
        <f>H1861*EXP(10*I$22)</f>
        <v>0.33132963903487411</v>
      </c>
      <c r="J1886" s="8">
        <f>I1861*EXP(10*J$22)</f>
        <v>0.39873471435128027</v>
      </c>
      <c r="K1886" s="8">
        <f>J1861*EXP(10*K$22)</f>
        <v>0.50244851026630499</v>
      </c>
      <c r="L1886" s="87"/>
      <c r="M1886" s="87"/>
      <c r="N1886" s="87"/>
      <c r="O1886" s="87"/>
      <c r="P1886" s="87"/>
      <c r="Q1886" s="87"/>
      <c r="R1886" s="87"/>
      <c r="S1886" s="88">
        <f>MIN($B$8,AVERAGE(T1936:T1937)/(1+I1886+$D$8/10000))+$B$7</f>
        <v>62.151025375760312</v>
      </c>
      <c r="T1886" s="88">
        <f>MIN($B$8,AVERAGE(U1934:U1935)/(1+J1886+$D$8/10000))+$B$7</f>
        <v>69.928705529700721</v>
      </c>
      <c r="U1886" s="88">
        <f t="shared" si="69"/>
        <v>81.305113403526477</v>
      </c>
    </row>
    <row r="1887" spans="1:21" x14ac:dyDescent="0.35">
      <c r="A1887" s="30"/>
      <c r="B1887" s="4"/>
      <c r="C1887" s="4"/>
      <c r="D1887" s="4"/>
      <c r="E1887" s="4"/>
      <c r="F1887" s="4"/>
      <c r="G1887" s="4"/>
      <c r="H1887" s="17"/>
      <c r="I1887" s="40">
        <f>(H1861-$B$1579)*EXP(10*$I$22)</f>
        <v>0.32870501583002854</v>
      </c>
      <c r="J1887" s="40">
        <f>(I1861-$B$1579)*EXP(10*$J$22)</f>
        <v>0.39608900994843688</v>
      </c>
      <c r="K1887" s="40">
        <f>(J1861-$B$1579)*EXP(10*$K$22)</f>
        <v>0.49985000249869338</v>
      </c>
      <c r="L1887" s="87"/>
      <c r="M1887" s="87"/>
      <c r="N1887" s="87"/>
      <c r="O1887" s="87"/>
      <c r="P1887" s="87"/>
      <c r="Q1887" s="87"/>
      <c r="R1887" s="87"/>
      <c r="S1887" s="88">
        <f>MIN($B$8,AVERAGE(T1938:T1939)/(1+I1887+$D$8/10000))+$B$7</f>
        <v>62.329525833927192</v>
      </c>
      <c r="T1887" s="88">
        <f>MIN($B$8,AVERAGE(U1936:U1937)/(1+J1887+$D$8/10000))+$B$7</f>
        <v>70.107990409415478</v>
      </c>
      <c r="U1887" s="88">
        <f t="shared" si="69"/>
        <v>81.454718635653308</v>
      </c>
    </row>
    <row r="1888" spans="1:21" x14ac:dyDescent="0.35">
      <c r="A1888" s="30"/>
      <c r="B1888" s="4"/>
      <c r="C1888" s="4"/>
      <c r="D1888" s="4"/>
      <c r="E1888" s="4"/>
      <c r="F1888" s="4"/>
      <c r="G1888" s="4"/>
      <c r="H1888" s="17"/>
      <c r="I1888" s="8">
        <f>H1862*EXP(10*I$22)</f>
        <v>0.33214981577146635</v>
      </c>
      <c r="J1888" s="8">
        <f>I1862*EXP(10*J$22)</f>
        <v>0.40603714431419591</v>
      </c>
      <c r="K1888" s="8">
        <f>J1862*EXP(10*K$22)</f>
        <v>0.50163065915880656</v>
      </c>
      <c r="L1888" s="87"/>
      <c r="M1888" s="87"/>
      <c r="N1888" s="87"/>
      <c r="O1888" s="87"/>
      <c r="P1888" s="87"/>
      <c r="Q1888" s="87"/>
      <c r="R1888" s="87"/>
      <c r="S1888" s="88">
        <f>MIN($B$8,AVERAGE(T1940:T1941)/(1+I1888+$D$8/10000))+$B$7</f>
        <v>61.945789332213344</v>
      </c>
      <c r="T1888" s="88">
        <f>MIN($B$8,AVERAGE(U1938:U1939)/(1+J1888+$D$8/10000))+$B$7</f>
        <v>69.734758101882733</v>
      </c>
      <c r="U1888" s="88">
        <f t="shared" si="69"/>
        <v>81.352137607034052</v>
      </c>
    </row>
    <row r="1889" spans="1:21" x14ac:dyDescent="0.35">
      <c r="A1889" s="30"/>
      <c r="B1889" s="4"/>
      <c r="C1889" s="4"/>
      <c r="D1889" s="4"/>
      <c r="E1889" s="4"/>
      <c r="F1889" s="4"/>
      <c r="G1889" s="4"/>
      <c r="H1889" s="17"/>
      <c r="I1889" s="40">
        <f>(H1862-$B$1579)*EXP(10*$I$22)</f>
        <v>0.32952519256662083</v>
      </c>
      <c r="J1889" s="40">
        <f>(I1862-$B$1579)*EXP(10*$J$22)</f>
        <v>0.40339143991135251</v>
      </c>
      <c r="K1889" s="40">
        <f>(J1862-$B$1579)*EXP(10*$K$22)</f>
        <v>0.499032151391195</v>
      </c>
      <c r="L1889" s="87"/>
      <c r="M1889" s="87"/>
      <c r="N1889" s="87"/>
      <c r="O1889" s="87"/>
      <c r="P1889" s="87"/>
      <c r="Q1889" s="87"/>
      <c r="R1889" s="87"/>
      <c r="S1889" s="88">
        <f>MIN($B$8,AVERAGE(T1942:T1943)/(1+I1889+$D$8/10000))+$B$7</f>
        <v>62.194444621300256</v>
      </c>
      <c r="T1889" s="88">
        <f>MIN($B$8,AVERAGE(U1940:U1941)/(1+J1889+$D$8/10000))+$B$7</f>
        <v>69.300359208022641</v>
      </c>
      <c r="U1889" s="88">
        <f t="shared" si="69"/>
        <v>81.50192507865026</v>
      </c>
    </row>
    <row r="1890" spans="1:21" x14ac:dyDescent="0.35">
      <c r="A1890" s="30"/>
      <c r="B1890" s="4"/>
      <c r="C1890" s="4"/>
      <c r="D1890" s="4"/>
      <c r="E1890" s="4"/>
      <c r="F1890" s="4"/>
      <c r="G1890" s="4"/>
      <c r="H1890" s="17"/>
      <c r="I1890" s="8">
        <f>H1863*EXP(10*I$22)</f>
        <v>0.33532141942614524</v>
      </c>
      <c r="J1890" s="8">
        <f>I1863*EXP(10*J$22)</f>
        <v>0.40273048851949844</v>
      </c>
      <c r="K1890" s="8">
        <f>J1863*EXP(10*K$22)</f>
        <v>0.49835690513900061</v>
      </c>
      <c r="L1890" s="87"/>
      <c r="M1890" s="87"/>
      <c r="N1890" s="87"/>
      <c r="O1890" s="87"/>
      <c r="P1890" s="87"/>
      <c r="Q1890" s="87"/>
      <c r="R1890" s="87"/>
      <c r="S1890" s="88">
        <f>MIN($B$8,AVERAGE(T1944:T1945)/(1+I1890+$D$8/10000))+$B$7</f>
        <v>61.500243704606106</v>
      </c>
      <c r="T1890" s="88">
        <f>MIN($B$8,AVERAGE(U1942:U1943)/(1+J1890+$D$8/10000))+$B$7</f>
        <v>69.48670253423326</v>
      </c>
      <c r="U1890" s="88">
        <f t="shared" si="69"/>
        <v>81.540943744505157</v>
      </c>
    </row>
    <row r="1891" spans="1:21" x14ac:dyDescent="0.35">
      <c r="A1891" s="30"/>
      <c r="B1891" s="4"/>
      <c r="C1891" s="4"/>
      <c r="D1891" s="4"/>
      <c r="E1891" s="4"/>
      <c r="F1891" s="4"/>
      <c r="G1891" s="4"/>
      <c r="H1891" s="17"/>
      <c r="I1891" s="40">
        <f>(H1863-$B$1579)*EXP(10*$I$22)</f>
        <v>0.33269679622129972</v>
      </c>
      <c r="J1891" s="40">
        <f>(I1863-$B$1579)*EXP(10*$J$22)</f>
        <v>0.40008478411665505</v>
      </c>
      <c r="K1891" s="40">
        <f>(J1863-$B$1579)*EXP(10*$K$22)</f>
        <v>0.49575839737138905</v>
      </c>
      <c r="L1891" s="87"/>
      <c r="M1891" s="87"/>
      <c r="N1891" s="87"/>
      <c r="O1891" s="87"/>
      <c r="P1891" s="87"/>
      <c r="Q1891" s="87"/>
      <c r="R1891" s="87"/>
      <c r="S1891" s="88">
        <f>MIN($B$8,AVERAGE(T1946:T1947)/(1+I1891+$D$8/10000))+$B$7</f>
        <v>61.676177140606399</v>
      </c>
      <c r="T1891" s="88">
        <f>MIN($B$8,AVERAGE(U1944:U1945)/(1+J1891+$D$8/10000))+$B$7</f>
        <v>69.664187624254453</v>
      </c>
      <c r="U1891" s="88">
        <f t="shared" si="69"/>
        <v>81.691464042015426</v>
      </c>
    </row>
    <row r="1892" spans="1:21" x14ac:dyDescent="0.35">
      <c r="A1892" s="30"/>
      <c r="B1892" s="4"/>
      <c r="C1892" s="4"/>
      <c r="D1892" s="4"/>
      <c r="E1892" s="4"/>
      <c r="F1892" s="4"/>
      <c r="G1892" s="4"/>
      <c r="H1892" s="17"/>
      <c r="I1892" s="8">
        <f>H1864*EXP(10*I$22)</f>
        <v>0.33304825563683177</v>
      </c>
      <c r="J1892" s="8">
        <f>I1864*EXP(10*J$22)</f>
        <v>0.40707045155377308</v>
      </c>
      <c r="K1892" s="8">
        <f>J1864*EXP(10*K$22)</f>
        <v>0.51066657391169978</v>
      </c>
      <c r="L1892" s="87"/>
      <c r="M1892" s="87"/>
      <c r="N1892" s="87"/>
      <c r="O1892" s="87"/>
      <c r="P1892" s="87"/>
      <c r="Q1892" s="87"/>
      <c r="R1892" s="87"/>
      <c r="S1892" s="88">
        <f>MIN($B$8,AVERAGE(T1948:T1949)/(1+I1892+$D$8/10000))+$B$7</f>
        <v>61.707099777149921</v>
      </c>
      <c r="T1892" s="88">
        <f>MIN($B$8,AVERAGE(U1946:U1947)/(1+J1892+$D$8/10000))+$B$7</f>
        <v>69.4492957478937</v>
      </c>
      <c r="U1892" s="88">
        <f t="shared" si="69"/>
        <v>80.835751618769791</v>
      </c>
    </row>
    <row r="1893" spans="1:21" x14ac:dyDescent="0.35">
      <c r="A1893" s="30"/>
      <c r="B1893" s="4"/>
      <c r="C1893" s="4"/>
      <c r="D1893" s="4"/>
      <c r="E1893" s="4"/>
      <c r="F1893" s="4"/>
      <c r="G1893" s="4"/>
      <c r="H1893" s="17"/>
      <c r="I1893" s="40">
        <f>(H1864-$B$1579)*EXP(10*$I$22)</f>
        <v>0.33042363243198619</v>
      </c>
      <c r="J1893" s="40">
        <f>(I1864-$B$1579)*EXP(10*$J$22)</f>
        <v>0.40442474715092969</v>
      </c>
      <c r="K1893" s="40">
        <f>(J1864-$B$1579)*EXP(10*$K$22)</f>
        <v>0.50806806614408817</v>
      </c>
      <c r="L1893" s="87"/>
      <c r="M1893" s="87"/>
      <c r="N1893" s="87"/>
      <c r="O1893" s="87"/>
      <c r="P1893" s="87"/>
      <c r="Q1893" s="87"/>
      <c r="R1893" s="87"/>
      <c r="S1893" s="88">
        <f>MIN($B$8,AVERAGE(T1950:T1951)/(1+I1893+$D$8/10000))+$B$7</f>
        <v>62.046974154743118</v>
      </c>
      <c r="T1893" s="88">
        <f>MIN($B$8,AVERAGE(U1948:U1949)/(1+J1893+$D$8/10000))+$B$7</f>
        <v>69.187297248332882</v>
      </c>
      <c r="U1893" s="88">
        <f t="shared" si="69"/>
        <v>80.983543958341301</v>
      </c>
    </row>
    <row r="1894" spans="1:21" x14ac:dyDescent="0.35">
      <c r="A1894" s="30"/>
      <c r="B1894" s="4"/>
      <c r="C1894" s="4"/>
      <c r="D1894" s="4"/>
      <c r="E1894" s="4"/>
      <c r="F1894" s="4"/>
      <c r="G1894" s="4"/>
      <c r="H1894" s="17"/>
      <c r="I1894" s="8">
        <f>H1865*EXP(10*I$22)</f>
        <v>0.33621985929151066</v>
      </c>
      <c r="J1894" s="8">
        <f>I1865*EXP(10*J$22)</f>
        <v>0.40376379575907562</v>
      </c>
      <c r="K1894" s="8">
        <f>J1865*EXP(10*K$22)</f>
        <v>0.50739281989189378</v>
      </c>
      <c r="L1894" s="87"/>
      <c r="M1894" s="87"/>
      <c r="N1894" s="87"/>
      <c r="O1894" s="87"/>
      <c r="P1894" s="87"/>
      <c r="Q1894" s="87"/>
      <c r="R1894" s="87"/>
      <c r="S1894" s="88">
        <f>MIN($B$8,AVERAGE(T1952:T1953)/(1+I1894+$D$8/10000))+$B$7</f>
        <v>61.355173368442792</v>
      </c>
      <c r="T1894" s="88">
        <f>MIN($B$8,AVERAGE(U1950:U1951)/(1+J1894+$D$8/10000))+$B$7</f>
        <v>69.37313784888822</v>
      </c>
      <c r="U1894" s="88">
        <f t="shared" si="69"/>
        <v>81.022042277907474</v>
      </c>
    </row>
    <row r="1895" spans="1:21" x14ac:dyDescent="0.35">
      <c r="A1895" s="30"/>
      <c r="B1895" s="4"/>
      <c r="C1895" s="4"/>
      <c r="D1895" s="4"/>
      <c r="E1895" s="4"/>
      <c r="F1895" s="4"/>
      <c r="G1895" s="4"/>
      <c r="H1895" s="17"/>
      <c r="I1895" s="40">
        <f>(H1865-$B$1579)*EXP(10*$I$22)</f>
        <v>0.33359523608666508</v>
      </c>
      <c r="J1895" s="40">
        <f>(I1865-$B$1579)*EXP(10*$J$22)</f>
        <v>0.40111809135623222</v>
      </c>
      <c r="K1895" s="40">
        <f>(J1865-$B$1579)*EXP(10*$K$22)</f>
        <v>0.50479431212428227</v>
      </c>
      <c r="L1895" s="87"/>
      <c r="M1895" s="87"/>
      <c r="N1895" s="87"/>
      <c r="O1895" s="87"/>
      <c r="P1895" s="87"/>
      <c r="Q1895" s="87"/>
      <c r="R1895" s="87"/>
      <c r="S1895" s="88">
        <f>MIN($B$8,AVERAGE(T1954:T1955)/(1+I1895+$D$8/10000))+$B$7</f>
        <v>61.530535554828653</v>
      </c>
      <c r="T1895" s="88">
        <f>MIN($B$8,AVERAGE(U1952:U1953)/(1+J1895+$D$8/10000))+$B$7</f>
        <v>69.550161470513231</v>
      </c>
      <c r="U1895" s="88">
        <f t="shared" si="69"/>
        <v>81.170552833047836</v>
      </c>
    </row>
    <row r="1896" spans="1:21" x14ac:dyDescent="0.35">
      <c r="A1896" s="30"/>
      <c r="B1896" s="4"/>
      <c r="C1896" s="4"/>
      <c r="D1896" s="4"/>
      <c r="E1896" s="4"/>
      <c r="F1896" s="4"/>
      <c r="G1896" s="4"/>
      <c r="H1896" s="17"/>
      <c r="I1896" s="8">
        <f>H1866*EXP(10*I$22)</f>
        <v>0.3370400360281029</v>
      </c>
      <c r="J1896" s="8">
        <f>I1866*EXP(10*J$22)</f>
        <v>0.41106622572199125</v>
      </c>
      <c r="K1896" s="8">
        <f>J1866*EXP(10*K$22)</f>
        <v>0.50657496878439534</v>
      </c>
      <c r="L1896" s="87"/>
      <c r="M1896" s="87"/>
      <c r="N1896" s="87"/>
      <c r="O1896" s="87"/>
      <c r="P1896" s="87"/>
      <c r="Q1896" s="87"/>
      <c r="R1896" s="87"/>
      <c r="S1896" s="88">
        <f>MIN($B$8,AVERAGE(T1956:T1957)/(1+I1896+$D$8/10000))+$B$7</f>
        <v>61.153920012354796</v>
      </c>
      <c r="T1896" s="88">
        <f>MIN($B$8,AVERAGE(U1954:U1955)/(1+J1896+$D$8/10000))+$B$7</f>
        <v>69.181435838389177</v>
      </c>
      <c r="U1896" s="88">
        <f t="shared" si="69"/>
        <v>81.068722627262886</v>
      </c>
    </row>
    <row r="1897" spans="1:21" x14ac:dyDescent="0.35">
      <c r="A1897" s="30"/>
      <c r="B1897" s="4"/>
      <c r="C1897" s="4"/>
      <c r="D1897" s="4"/>
      <c r="E1897" s="4"/>
      <c r="F1897" s="4"/>
      <c r="G1897" s="4"/>
      <c r="H1897" s="17"/>
      <c r="I1897" s="40">
        <f>(H1866-$B$1579)*EXP(10*$I$22)</f>
        <v>0.33441541282325737</v>
      </c>
      <c r="J1897" s="40">
        <f>(I1866-$B$1579)*EXP(10*$J$22)</f>
        <v>0.40842052131914786</v>
      </c>
      <c r="K1897" s="40">
        <f>(J1866-$B$1579)*EXP(10*$K$22)</f>
        <v>0.50397646101678384</v>
      </c>
      <c r="L1897" s="87"/>
      <c r="M1897" s="87"/>
      <c r="N1897" s="87"/>
      <c r="O1897" s="87"/>
      <c r="P1897" s="87"/>
      <c r="Q1897" s="87"/>
      <c r="R1897" s="87"/>
      <c r="S1897" s="88">
        <f>MIN($B$8,AVERAGE(T1958:T1959)/(1+I1897+$D$8/10000))+$B$7</f>
        <v>61.398028651979388</v>
      </c>
      <c r="T1897" s="88">
        <f>MIN($B$8,AVERAGE(U1956:U1957)/(1+J1897+$D$8/10000))+$B$7</f>
        <v>68.752894092313923</v>
      </c>
      <c r="U1897" s="88">
        <f t="shared" si="69"/>
        <v>81.217413424754128</v>
      </c>
    </row>
    <row r="1898" spans="1:21" x14ac:dyDescent="0.35">
      <c r="A1898" s="30"/>
      <c r="B1898" s="4"/>
      <c r="C1898" s="4"/>
      <c r="D1898" s="4"/>
      <c r="E1898" s="4"/>
      <c r="F1898" s="4"/>
      <c r="G1898" s="4"/>
      <c r="H1898" s="17"/>
      <c r="I1898" s="8">
        <f>H1867*EXP(10*I$22)</f>
        <v>0.34021163968278179</v>
      </c>
      <c r="J1898" s="8">
        <f>I1867*EXP(10*J$22)</f>
        <v>0.40775956992729367</v>
      </c>
      <c r="K1898" s="8">
        <f>J1867*EXP(10*K$22)</f>
        <v>0.50330121476458933</v>
      </c>
      <c r="L1898" s="87"/>
      <c r="M1898" s="87"/>
      <c r="N1898" s="87"/>
      <c r="O1898" s="87"/>
      <c r="P1898" s="87"/>
      <c r="Q1898" s="87"/>
      <c r="R1898" s="87"/>
      <c r="S1898" s="88">
        <f>MIN($B$8,AVERAGE(T1960:T1961)/(1+I1898+$D$8/10000))+$B$7</f>
        <v>60.716764988337168</v>
      </c>
      <c r="T1898" s="88">
        <f>MIN($B$8,AVERAGE(U1958:U1959)/(1+J1898+$D$8/10000))+$B$7</f>
        <v>68.936807646582878</v>
      </c>
      <c r="U1898" s="88">
        <f t="shared" si="69"/>
        <v>81.256146067710219</v>
      </c>
    </row>
    <row r="1899" spans="1:21" x14ac:dyDescent="0.35">
      <c r="A1899" s="30"/>
      <c r="B1899" s="4"/>
      <c r="C1899" s="4"/>
      <c r="D1899" s="4"/>
      <c r="E1899" s="4"/>
      <c r="F1899" s="4"/>
      <c r="G1899" s="4"/>
      <c r="H1899" s="17"/>
      <c r="I1899" s="40">
        <f>(H1867-$B$1579)*EXP(10*$I$22)</f>
        <v>0.33758701647793626</v>
      </c>
      <c r="J1899" s="40">
        <f>(I1867-$B$1579)*EXP(10*$J$22)</f>
        <v>0.40511386552445033</v>
      </c>
      <c r="K1899" s="40">
        <f>(J1867-$B$1579)*EXP(10*$K$22)</f>
        <v>0.50070270699697783</v>
      </c>
      <c r="L1899" s="87"/>
      <c r="M1899" s="87"/>
      <c r="N1899" s="87"/>
      <c r="O1899" s="87"/>
      <c r="P1899" s="87"/>
      <c r="Q1899" s="87"/>
      <c r="R1899" s="87"/>
      <c r="S1899" s="88">
        <f>MIN($B$8,AVERAGE(T1962:T1963)/(1+I1899+$D$8/10000))+$B$7</f>
        <v>60.889617581594578</v>
      </c>
      <c r="T1899" s="88">
        <f>MIN($B$8,AVERAGE(U1960:U1961)/(1+J1899+$D$8/10000))+$B$7</f>
        <v>69.11206188899547</v>
      </c>
      <c r="U1899" s="88">
        <f t="shared" si="69"/>
        <v>81.405561647981528</v>
      </c>
    </row>
    <row r="1900" spans="1:21" x14ac:dyDescent="0.35">
      <c r="A1900" s="30"/>
      <c r="B1900" s="4"/>
      <c r="C1900" s="4"/>
      <c r="D1900" s="4"/>
      <c r="E1900" s="4"/>
      <c r="F1900" s="4"/>
      <c r="G1900" s="4"/>
      <c r="H1900" s="17"/>
      <c r="I1900" s="4"/>
      <c r="J1900" s="8">
        <f>I1868*EXP(10*J$22)</f>
        <v>0.40563984364391481</v>
      </c>
      <c r="K1900" s="8">
        <f>J1868*EXP(10*K$22)</f>
        <v>0.4898563071441035</v>
      </c>
      <c r="L1900" s="87"/>
      <c r="M1900" s="87"/>
      <c r="N1900" s="87"/>
      <c r="O1900" s="87"/>
      <c r="P1900" s="87"/>
      <c r="Q1900" s="87"/>
      <c r="R1900" s="87"/>
      <c r="S1900" s="87"/>
      <c r="T1900" s="88">
        <f>MIN($B$8,AVERAGE(U1962:U1963)/(1+J1900+$D$8/10000))+$B$7</f>
        <v>69.235491334879697</v>
      </c>
      <c r="U1900" s="88">
        <f t="shared" ref="U1900:U1963" si="73">MIN($B$8,((100+$B$7)/(1+K1900+$D$8/10000)))+$B$7</f>
        <v>82.035527206528542</v>
      </c>
    </row>
    <row r="1901" spans="1:21" x14ac:dyDescent="0.35">
      <c r="A1901" s="30"/>
      <c r="B1901" s="4"/>
      <c r="C1901" s="4"/>
      <c r="D1901" s="4"/>
      <c r="E1901" s="4"/>
      <c r="F1901" s="4"/>
      <c r="G1901" s="4"/>
      <c r="H1901" s="17"/>
      <c r="I1901" s="38"/>
      <c r="J1901" s="40">
        <f>(I1868-$B$1579)*EXP(10*$J$22)</f>
        <v>0.40299413924107141</v>
      </c>
      <c r="K1901" s="40">
        <f>(J1868-$B$1579)*EXP(10*$K$22)</f>
        <v>0.48725779937649194</v>
      </c>
      <c r="L1901" s="87"/>
      <c r="M1901" s="87"/>
      <c r="N1901" s="87"/>
      <c r="O1901" s="87"/>
      <c r="P1901" s="87"/>
      <c r="Q1901" s="87"/>
      <c r="R1901" s="87"/>
      <c r="S1901" s="87"/>
      <c r="T1901" s="88">
        <f>MIN($B$8,AVERAGE(U1964:U1965)/(1+J1901+$D$8/10000))+$B$7</f>
        <v>69.343910703559757</v>
      </c>
      <c r="U1901" s="88">
        <f t="shared" si="73"/>
        <v>82.187975658241882</v>
      </c>
    </row>
    <row r="1902" spans="1:21" x14ac:dyDescent="0.35">
      <c r="A1902" s="30"/>
      <c r="B1902" s="4"/>
      <c r="C1902" s="4"/>
      <c r="D1902" s="4"/>
      <c r="E1902" s="4"/>
      <c r="F1902" s="4"/>
      <c r="G1902" s="4"/>
      <c r="H1902" s="17"/>
      <c r="J1902" s="8">
        <f>I1869*EXP(10*J$22)</f>
        <v>0.40233318784921734</v>
      </c>
      <c r="K1902" s="8">
        <f>J1869*EXP(10*K$22)</f>
        <v>0.48658255312429749</v>
      </c>
      <c r="L1902" s="87"/>
      <c r="M1902" s="87"/>
      <c r="N1902" s="87"/>
      <c r="O1902" s="87"/>
      <c r="P1902" s="87"/>
      <c r="Q1902" s="87"/>
      <c r="R1902" s="87"/>
      <c r="S1902" s="87"/>
      <c r="T1902" s="88">
        <f>MIN($B$8,AVERAGE(U1966:U1967)/(1+J1902+$D$8/10000))+$B$7</f>
        <v>69.321971843363826</v>
      </c>
      <c r="U1902" s="88">
        <f t="shared" si="73"/>
        <v>82.227688348556271</v>
      </c>
    </row>
    <row r="1903" spans="1:21" x14ac:dyDescent="0.35">
      <c r="A1903" s="30"/>
      <c r="B1903" s="4"/>
      <c r="C1903" s="4"/>
      <c r="D1903" s="4"/>
      <c r="E1903" s="4"/>
      <c r="F1903" s="4"/>
      <c r="G1903" s="4"/>
      <c r="H1903" s="17"/>
      <c r="J1903" s="40">
        <f>(I1869-$B$1579)*EXP(10*$J$22)</f>
        <v>0.39968748344637395</v>
      </c>
      <c r="K1903" s="40">
        <f>(J1869-$B$1579)*EXP(10*$K$22)</f>
        <v>0.48398404535668593</v>
      </c>
      <c r="L1903" s="87"/>
      <c r="M1903" s="87"/>
      <c r="N1903" s="87"/>
      <c r="O1903" s="87"/>
      <c r="P1903" s="87"/>
      <c r="Q1903" s="87"/>
      <c r="R1903" s="87"/>
      <c r="S1903" s="87"/>
      <c r="T1903" s="88">
        <f>MIN($B$8,AVERAGE(U1968:U1969)/(1+J1903+$D$8/10000))+$B$7</f>
        <v>69.708110761589509</v>
      </c>
      <c r="U1903" s="88">
        <f t="shared" si="73"/>
        <v>82.380889265060532</v>
      </c>
    </row>
    <row r="1904" spans="1:21" x14ac:dyDescent="0.35">
      <c r="A1904" s="30"/>
      <c r="B1904" s="4"/>
      <c r="C1904" s="4"/>
      <c r="D1904" s="4"/>
      <c r="E1904" s="4"/>
      <c r="F1904" s="4"/>
      <c r="G1904" s="4"/>
      <c r="H1904" s="17"/>
      <c r="J1904" s="8">
        <f>I1870*EXP(10*J$22)</f>
        <v>0.40963561781213292</v>
      </c>
      <c r="K1904" s="8">
        <f>J1870*EXP(10*K$22)</f>
        <v>0.48576470201679911</v>
      </c>
      <c r="L1904" s="87"/>
      <c r="M1904" s="87"/>
      <c r="N1904" s="87"/>
      <c r="O1904" s="87"/>
      <c r="P1904" s="87"/>
      <c r="Q1904" s="87"/>
      <c r="R1904" s="87"/>
      <c r="S1904" s="87"/>
      <c r="T1904" s="88">
        <f>MIN($B$8,AVERAGE(U1970:U1971)/(1+J1904+$D$8/10000))+$B$7</f>
        <v>69.338110634757086</v>
      </c>
      <c r="U1904" s="88">
        <f t="shared" si="73"/>
        <v>82.275841991883368</v>
      </c>
    </row>
    <row r="1905" spans="1:21" x14ac:dyDescent="0.35">
      <c r="A1905" s="30"/>
      <c r="B1905" s="4"/>
      <c r="C1905" s="4"/>
      <c r="D1905" s="4"/>
      <c r="E1905" s="4"/>
      <c r="F1905" s="4"/>
      <c r="G1905" s="4"/>
      <c r="H1905" s="17"/>
      <c r="J1905" s="40">
        <f>(I1870-$B$1579)*EXP(10*$J$22)</f>
        <v>0.40698991340928958</v>
      </c>
      <c r="K1905" s="40">
        <f>(J1870-$B$1579)*EXP(10*$K$22)</f>
        <v>0.48316619424918755</v>
      </c>
      <c r="L1905" s="87"/>
      <c r="M1905" s="87"/>
      <c r="N1905" s="87"/>
      <c r="O1905" s="87"/>
      <c r="P1905" s="87"/>
      <c r="Q1905" s="87"/>
      <c r="R1905" s="87"/>
      <c r="S1905" s="87"/>
      <c r="T1905" s="88">
        <f>MIN($B$8,AVERAGE(U1972:U1973)/(1+J1905+$D$8/10000))+$B$7</f>
        <v>68.907913462619845</v>
      </c>
      <c r="U1905" s="88">
        <f t="shared" si="73"/>
        <v>82.429231759307783</v>
      </c>
    </row>
    <row r="1906" spans="1:21" x14ac:dyDescent="0.35">
      <c r="A1906" s="30"/>
      <c r="B1906" s="4"/>
      <c r="C1906" s="4"/>
      <c r="D1906" s="4"/>
      <c r="E1906" s="4"/>
      <c r="F1906" s="4"/>
      <c r="G1906" s="4"/>
      <c r="H1906" s="17"/>
      <c r="J1906" s="8">
        <f>I1871*EXP(10*J$22)</f>
        <v>0.40632896201743546</v>
      </c>
      <c r="K1906" s="8">
        <f>J1871*EXP(10*K$22)</f>
        <v>0.4824909479969931</v>
      </c>
      <c r="L1906" s="87"/>
      <c r="M1906" s="87"/>
      <c r="N1906" s="87"/>
      <c r="O1906" s="87"/>
      <c r="P1906" s="87"/>
      <c r="Q1906" s="87"/>
      <c r="R1906" s="87"/>
      <c r="S1906" s="87"/>
      <c r="T1906" s="88">
        <f>MIN($B$8,AVERAGE(U1974:U1975)/(1+J1906+$D$8/10000))+$B$7</f>
        <v>69.092513872750132</v>
      </c>
      <c r="U1906" s="88">
        <f t="shared" si="73"/>
        <v>82.469189964571029</v>
      </c>
    </row>
    <row r="1907" spans="1:21" x14ac:dyDescent="0.35">
      <c r="A1907" s="30"/>
      <c r="B1907" s="4"/>
      <c r="C1907" s="4"/>
      <c r="D1907" s="4"/>
      <c r="E1907" s="4"/>
      <c r="F1907" s="4"/>
      <c r="G1907" s="4"/>
      <c r="H1907" s="17"/>
      <c r="J1907" s="40">
        <f>(I1871-$B$1579)*EXP(10*$J$22)</f>
        <v>0.40368325761459212</v>
      </c>
      <c r="K1907" s="40">
        <f>(J1871-$B$1579)*EXP(10*$K$22)</f>
        <v>0.47989244022938154</v>
      </c>
      <c r="L1907" s="87"/>
      <c r="M1907" s="87"/>
      <c r="N1907" s="87"/>
      <c r="O1907" s="87"/>
      <c r="P1907" s="87"/>
      <c r="Q1907" s="87"/>
      <c r="R1907" s="87"/>
      <c r="S1907" s="87"/>
      <c r="T1907" s="88">
        <f>MIN($B$8,AVERAGE(U1976:U1977)/(1+J1907+$D$8/10000))+$B$7</f>
        <v>69.268398861424913</v>
      </c>
      <c r="U1907" s="88">
        <f t="shared" si="73"/>
        <v>82.623339185504278</v>
      </c>
    </row>
    <row r="1908" spans="1:21" x14ac:dyDescent="0.35">
      <c r="A1908" s="30"/>
      <c r="B1908" s="4"/>
      <c r="C1908" s="4"/>
      <c r="D1908" s="4"/>
      <c r="E1908" s="4"/>
      <c r="F1908" s="4"/>
      <c r="G1908" s="4"/>
      <c r="H1908" s="17"/>
      <c r="J1908" s="8">
        <f>I1872*EXP(10*J$22)</f>
        <v>0.41066892505171015</v>
      </c>
      <c r="K1908" s="8">
        <f>J1872*EXP(10*K$22)</f>
        <v>0.49480061676969228</v>
      </c>
      <c r="L1908" s="87"/>
      <c r="M1908" s="87"/>
      <c r="N1908" s="87"/>
      <c r="O1908" s="87"/>
      <c r="P1908" s="87"/>
      <c r="Q1908" s="87"/>
      <c r="R1908" s="87"/>
      <c r="S1908" s="87"/>
      <c r="T1908" s="88">
        <f>MIN($B$8,AVERAGE(U1978:U1979)/(1+J1908+$D$8/10000))+$B$7</f>
        <v>69.055325329051797</v>
      </c>
      <c r="U1908" s="88">
        <f t="shared" si="73"/>
        <v>81.747091620467103</v>
      </c>
    </row>
    <row r="1909" spans="1:21" x14ac:dyDescent="0.35">
      <c r="A1909" s="30"/>
      <c r="B1909" s="4"/>
      <c r="C1909" s="4"/>
      <c r="D1909" s="4"/>
      <c r="E1909" s="4"/>
      <c r="F1909" s="4"/>
      <c r="G1909" s="4"/>
      <c r="H1909" s="17"/>
      <c r="J1909" s="40">
        <f>(I1872-$B$1579)*EXP(10*$J$22)</f>
        <v>0.40802322064886676</v>
      </c>
      <c r="K1909" s="40">
        <f>(J1872-$B$1579)*EXP(10*$K$22)</f>
        <v>0.49220210900208072</v>
      </c>
      <c r="L1909" s="87"/>
      <c r="M1909" s="87"/>
      <c r="N1909" s="87"/>
      <c r="O1909" s="87"/>
      <c r="P1909" s="87"/>
      <c r="Q1909" s="87"/>
      <c r="R1909" s="87"/>
      <c r="S1909" s="87"/>
      <c r="T1909" s="88">
        <f>MIN($B$8,AVERAGE(U1980:U1981)/(1+J1909+$D$8/10000))+$B$7</f>
        <v>68.795888402292931</v>
      </c>
      <c r="U1909" s="88">
        <f t="shared" si="73"/>
        <v>81.898414099697078</v>
      </c>
    </row>
    <row r="1910" spans="1:21" x14ac:dyDescent="0.35">
      <c r="A1910" s="30"/>
      <c r="B1910" s="4"/>
      <c r="C1910" s="4"/>
      <c r="D1910" s="4"/>
      <c r="E1910" s="4"/>
      <c r="F1910" s="4"/>
      <c r="G1910" s="4"/>
      <c r="H1910" s="17"/>
      <c r="J1910" s="8">
        <f>I1873*EXP(10*J$22)</f>
        <v>0.40736226925701263</v>
      </c>
      <c r="K1910" s="8">
        <f>J1873*EXP(10*K$22)</f>
        <v>0.49152686274988627</v>
      </c>
      <c r="L1910" s="87"/>
      <c r="M1910" s="87"/>
      <c r="N1910" s="87"/>
      <c r="O1910" s="87"/>
      <c r="P1910" s="87"/>
      <c r="Q1910" s="87"/>
      <c r="R1910" s="87"/>
      <c r="S1910" s="87"/>
      <c r="T1910" s="88">
        <f>MIN($B$8,AVERAGE(U1982:U1983)/(1+J1910+$D$8/10000))+$B$7</f>
        <v>68.979992363139928</v>
      </c>
      <c r="U1910" s="88">
        <f t="shared" si="73"/>
        <v>81.937833116363763</v>
      </c>
    </row>
    <row r="1911" spans="1:21" x14ac:dyDescent="0.35">
      <c r="A1911" s="30"/>
      <c r="B1911" s="4"/>
      <c r="C1911" s="4"/>
      <c r="D1911" s="4"/>
      <c r="E1911" s="4"/>
      <c r="F1911" s="4"/>
      <c r="G1911" s="4"/>
      <c r="H1911" s="17"/>
      <c r="J1911" s="40">
        <f>(I1873-$B$1579)*EXP(10*$J$22)</f>
        <v>0.40471656485416929</v>
      </c>
      <c r="K1911" s="40">
        <f>(J1873-$B$1579)*EXP(10*$K$22)</f>
        <v>0.48892835498227472</v>
      </c>
      <c r="L1911" s="87"/>
      <c r="M1911" s="87"/>
      <c r="N1911" s="87"/>
      <c r="O1911" s="87"/>
      <c r="P1911" s="87"/>
      <c r="Q1911" s="87"/>
      <c r="R1911" s="87"/>
      <c r="S1911" s="87"/>
      <c r="T1911" s="88">
        <f>MIN($B$8,AVERAGE(U1984:U1985)/(1+J1911+$D$8/10000))+$B$7</f>
        <v>69.155421467465374</v>
      </c>
      <c r="U1911" s="88">
        <f t="shared" si="73"/>
        <v>82.089899729140427</v>
      </c>
    </row>
    <row r="1912" spans="1:21" x14ac:dyDescent="0.35">
      <c r="A1912" s="30"/>
      <c r="B1912" s="4"/>
      <c r="C1912" s="4"/>
      <c r="D1912" s="4"/>
      <c r="E1912" s="4"/>
      <c r="F1912" s="4"/>
      <c r="G1912" s="4"/>
      <c r="H1912" s="17"/>
      <c r="J1912" s="8">
        <f>I1874*EXP(10*J$22)</f>
        <v>0.41466469921992827</v>
      </c>
      <c r="K1912" s="8">
        <f>J1874*EXP(10*K$22)</f>
        <v>0.49070901164238795</v>
      </c>
      <c r="L1912" s="87"/>
      <c r="M1912" s="87"/>
      <c r="N1912" s="87"/>
      <c r="O1912" s="87"/>
      <c r="P1912" s="87"/>
      <c r="Q1912" s="87"/>
      <c r="R1912" s="87"/>
      <c r="S1912" s="87"/>
      <c r="T1912" s="88">
        <f>MIN($B$8,AVERAGE(U1986:U1987)/(1+J1912+$D$8/10000))+$B$7</f>
        <v>68.789875552522361</v>
      </c>
      <c r="U1912" s="88">
        <f t="shared" si="73"/>
        <v>81.985630466632301</v>
      </c>
    </row>
    <row r="1913" spans="1:21" x14ac:dyDescent="0.35">
      <c r="A1913" s="30"/>
      <c r="B1913" s="4"/>
      <c r="C1913" s="4"/>
      <c r="D1913" s="4"/>
      <c r="E1913" s="4"/>
      <c r="F1913" s="4"/>
      <c r="G1913" s="4"/>
      <c r="H1913" s="17"/>
      <c r="J1913" s="40">
        <f>(I1874-$B$1579)*EXP(10*$J$22)</f>
        <v>0.41201899481708493</v>
      </c>
      <c r="K1913" s="40">
        <f>(J1874-$B$1579)*EXP(10*$K$22)</f>
        <v>0.48811050387477639</v>
      </c>
      <c r="L1913" s="87"/>
      <c r="M1913" s="87"/>
      <c r="N1913" s="87"/>
      <c r="O1913" s="87"/>
      <c r="P1913" s="87"/>
      <c r="Q1913" s="87"/>
      <c r="R1913" s="87"/>
      <c r="S1913" s="87"/>
      <c r="T1913" s="88">
        <f>MIN($B$8,AVERAGE(U1988:U1989)/(1+J1913+$D$8/10000))+$B$7</f>
        <v>68.365460505066039</v>
      </c>
      <c r="U1913" s="88">
        <f t="shared" si="73"/>
        <v>82.137883836189317</v>
      </c>
    </row>
    <row r="1914" spans="1:21" x14ac:dyDescent="0.35">
      <c r="A1914" s="30"/>
      <c r="B1914" s="4"/>
      <c r="C1914" s="4"/>
      <c r="D1914" s="4"/>
      <c r="E1914" s="4"/>
      <c r="F1914" s="4"/>
      <c r="G1914" s="4"/>
      <c r="H1914" s="17"/>
      <c r="J1914" s="8">
        <f>I1875*EXP(10*J$22)</f>
        <v>0.41135804342523075</v>
      </c>
      <c r="K1914" s="8">
        <f>J1875*EXP(10*K$22)</f>
        <v>0.48743525762258189</v>
      </c>
      <c r="L1914" s="87"/>
      <c r="M1914" s="87"/>
      <c r="N1914" s="87"/>
      <c r="O1914" s="87"/>
      <c r="P1914" s="87"/>
      <c r="Q1914" s="87"/>
      <c r="R1914" s="87"/>
      <c r="S1914" s="87"/>
      <c r="T1914" s="88">
        <f>MIN($B$8,AVERAGE(U1990:U1991)/(1+J1914+$D$8/10000))+$B$7</f>
        <v>68.547661425422334</v>
      </c>
      <c r="U1914" s="88">
        <f t="shared" si="73"/>
        <v>82.177545645321061</v>
      </c>
    </row>
    <row r="1915" spans="1:21" x14ac:dyDescent="0.35">
      <c r="A1915" s="30"/>
      <c r="B1915" s="4"/>
      <c r="C1915" s="4"/>
      <c r="D1915" s="4"/>
      <c r="E1915" s="4"/>
      <c r="F1915" s="4"/>
      <c r="G1915" s="4"/>
      <c r="H1915" s="17"/>
      <c r="J1915" s="40">
        <f>(I1875-$B$1579)*EXP(10*$J$22)</f>
        <v>0.40871233902238735</v>
      </c>
      <c r="K1915" s="40">
        <f>(J1875-$B$1579)*EXP(10*$K$22)</f>
        <v>0.48483674985497038</v>
      </c>
      <c r="L1915" s="87"/>
      <c r="M1915" s="87"/>
      <c r="N1915" s="87"/>
      <c r="O1915" s="87"/>
      <c r="P1915" s="87"/>
      <c r="Q1915" s="87"/>
      <c r="R1915" s="87"/>
      <c r="S1915" s="87"/>
      <c r="T1915" s="88">
        <f t="array" ref="T1915">MIN($B$8,AVERAGE(U1992:U1993/(1+J1915+$D$8/10000))+$B$7)</f>
        <v>68.721342515035872</v>
      </c>
      <c r="U1915" s="88">
        <f t="shared" si="73"/>
        <v>82.330550034004304</v>
      </c>
    </row>
    <row r="1916" spans="1:21" x14ac:dyDescent="0.35">
      <c r="A1916" s="30"/>
      <c r="B1916" s="4"/>
      <c r="C1916" s="4"/>
      <c r="D1916" s="4"/>
      <c r="E1916" s="4"/>
      <c r="F1916" s="4"/>
      <c r="G1916" s="4"/>
      <c r="H1916" s="17"/>
      <c r="J1916" s="8">
        <f>I1876*EXP(10*J$22)</f>
        <v>0.41180083281718016</v>
      </c>
      <c r="K1916" s="8">
        <f>J1876*EXP(10*K$22)</f>
        <v>0.496079215287964</v>
      </c>
      <c r="L1916" s="87"/>
      <c r="M1916" s="87"/>
      <c r="N1916" s="87"/>
      <c r="O1916" s="87"/>
      <c r="P1916" s="87"/>
      <c r="Q1916" s="87"/>
      <c r="R1916" s="87"/>
      <c r="S1916" s="87"/>
      <c r="T1916" s="88">
        <f>MIN($B$8,AVERAGE(U1994:U1995)/(1+J1916+$D$8/10000))+$B$7</f>
        <v>68.711154612678769</v>
      </c>
      <c r="U1916" s="88">
        <f t="shared" si="73"/>
        <v>81.672848837387022</v>
      </c>
    </row>
    <row r="1917" spans="1:21" x14ac:dyDescent="0.35">
      <c r="A1917" s="30"/>
      <c r="B1917" s="4"/>
      <c r="C1917" s="4"/>
      <c r="D1917" s="4"/>
      <c r="E1917" s="4"/>
      <c r="F1917" s="4"/>
      <c r="G1917" s="4"/>
      <c r="H1917" s="17"/>
      <c r="J1917" s="40">
        <f>(I1876-$B$1579)*EXP(10*$J$22)</f>
        <v>0.40915512841433677</v>
      </c>
      <c r="K1917" s="40">
        <f>(J1876-$B$1579)*EXP(10*$K$22)</f>
        <v>0.49348070752035245</v>
      </c>
      <c r="L1917" s="87"/>
      <c r="M1917" s="87"/>
      <c r="N1917" s="87"/>
      <c r="O1917" s="87"/>
      <c r="P1917" s="87"/>
      <c r="Q1917" s="87"/>
      <c r="R1917" s="87"/>
      <c r="S1917" s="87"/>
      <c r="T1917" s="88">
        <f>MIN($B$8,AVERAGE(U1996:U1997)/(1+J1917+$D$8/10000))+$B$7</f>
        <v>68.673512631226231</v>
      </c>
      <c r="U1917" s="88">
        <f t="shared" si="73"/>
        <v>81.823882170104724</v>
      </c>
    </row>
    <row r="1918" spans="1:21" x14ac:dyDescent="0.35">
      <c r="A1918" s="30"/>
      <c r="B1918" s="4"/>
      <c r="C1918" s="4"/>
      <c r="D1918" s="4"/>
      <c r="E1918" s="4"/>
      <c r="F1918" s="4"/>
      <c r="G1918" s="4"/>
      <c r="H1918" s="17"/>
      <c r="J1918" s="8">
        <f>I1877*EXP(10*J$22)</f>
        <v>0.40849417702248264</v>
      </c>
      <c r="K1918" s="8">
        <f>J1877*EXP(10*K$22)</f>
        <v>0.49280546126815805</v>
      </c>
      <c r="L1918" s="87"/>
      <c r="M1918" s="87"/>
      <c r="N1918" s="87"/>
      <c r="O1918" s="87"/>
      <c r="P1918" s="87"/>
      <c r="Q1918" s="87"/>
      <c r="R1918" s="87"/>
      <c r="S1918" s="87"/>
      <c r="T1918" s="88">
        <f>MIN($B$8,AVERAGE(U1998:U1999)/(1+J1918+$D$8/10000))+$B$7</f>
        <v>68.857074817773665</v>
      </c>
      <c r="U1918" s="88">
        <f t="shared" si="73"/>
        <v>81.863225772866357</v>
      </c>
    </row>
    <row r="1919" spans="1:21" x14ac:dyDescent="0.35">
      <c r="A1919" s="30"/>
      <c r="B1919" s="4"/>
      <c r="C1919" s="4"/>
      <c r="D1919" s="4"/>
      <c r="E1919" s="4"/>
      <c r="F1919" s="4"/>
      <c r="G1919" s="4"/>
      <c r="H1919" s="17"/>
      <c r="J1919" s="40">
        <f>(I1877-$B$1579)*EXP(10*$J$22)</f>
        <v>0.4058484726196393</v>
      </c>
      <c r="K1919" s="40">
        <f>(J1877-$B$1579)*EXP(10*$K$22)</f>
        <v>0.49020695350054649</v>
      </c>
      <c r="L1919" s="87"/>
      <c r="M1919" s="87"/>
      <c r="N1919" s="87"/>
      <c r="O1919" s="87"/>
      <c r="P1919" s="87"/>
      <c r="Q1919" s="87"/>
      <c r="R1919" s="87"/>
      <c r="S1919" s="87"/>
      <c r="T1919" s="88">
        <f>MIN($B$8,AVERAGE(U2000:U2001)/(1+J1919+$D$8/10000))+$B$7</f>
        <v>69.032006358237112</v>
      </c>
      <c r="U1919" s="88">
        <f t="shared" si="73"/>
        <v>82.015001104703572</v>
      </c>
    </row>
    <row r="1920" spans="1:21" x14ac:dyDescent="0.35">
      <c r="A1920" s="30"/>
      <c r="B1920" s="4"/>
      <c r="C1920" s="4"/>
      <c r="D1920" s="4"/>
      <c r="E1920" s="4"/>
      <c r="F1920" s="4"/>
      <c r="G1920" s="4"/>
      <c r="H1920" s="17"/>
      <c r="J1920" s="8">
        <f>I1878*EXP(10*J$22)</f>
        <v>0.41579660698539828</v>
      </c>
      <c r="K1920" s="8">
        <f>J1878*EXP(10*K$22)</f>
        <v>0.49198761016065962</v>
      </c>
      <c r="L1920" s="87"/>
      <c r="M1920" s="87"/>
      <c r="N1920" s="87"/>
      <c r="O1920" s="87"/>
      <c r="P1920" s="87"/>
      <c r="Q1920" s="87"/>
      <c r="R1920" s="87"/>
      <c r="S1920" s="87"/>
      <c r="T1920" s="88">
        <f>MIN($B$8,AVERAGE(U2002:U2003)/(1+J1920+$D$8/10000))+$B$7</f>
        <v>68.667452979107338</v>
      </c>
      <c r="U1920" s="88">
        <f t="shared" si="73"/>
        <v>81.910931629241603</v>
      </c>
    </row>
    <row r="1921" spans="1:21" x14ac:dyDescent="0.35">
      <c r="A1921" s="30"/>
      <c r="B1921" s="4"/>
      <c r="C1921" s="4"/>
      <c r="D1921" s="4"/>
      <c r="E1921" s="4"/>
      <c r="F1921" s="4"/>
      <c r="G1921" s="4"/>
      <c r="H1921" s="17"/>
      <c r="J1921" s="40">
        <f>(I1878-$B$1579)*EXP(10*$J$22)</f>
        <v>0.41315090258255494</v>
      </c>
      <c r="K1921" s="40">
        <f>(J1878-$B$1579)*EXP(10*$K$22)</f>
        <v>0.48938910239304806</v>
      </c>
      <c r="L1921" s="87"/>
      <c r="M1921" s="87"/>
      <c r="N1921" s="87"/>
      <c r="O1921" s="87"/>
      <c r="P1921" s="87"/>
      <c r="Q1921" s="87"/>
      <c r="R1921" s="87"/>
      <c r="S1921" s="87"/>
      <c r="T1921" s="88">
        <f>MIN($B$8,AVERAGE(U2004:U2005)/(1+J1921+$D$8/10000))+$B$7</f>
        <v>68.244325067295165</v>
      </c>
      <c r="U1921" s="88">
        <f t="shared" si="73"/>
        <v>82.062893181357694</v>
      </c>
    </row>
    <row r="1922" spans="1:21" x14ac:dyDescent="0.35">
      <c r="A1922" s="30"/>
      <c r="B1922" s="4"/>
      <c r="C1922" s="4"/>
      <c r="D1922" s="4"/>
      <c r="E1922" s="4"/>
      <c r="F1922" s="4"/>
      <c r="G1922" s="4"/>
      <c r="H1922" s="17"/>
      <c r="J1922" s="8">
        <f>I1879*EXP(10*J$22)</f>
        <v>0.41248995119070081</v>
      </c>
      <c r="K1922" s="8">
        <f>J1879*EXP(10*K$22)</f>
        <v>0.48871385614085361</v>
      </c>
      <c r="L1922" s="87"/>
      <c r="M1922" s="87"/>
      <c r="N1922" s="87"/>
      <c r="O1922" s="87"/>
      <c r="P1922" s="87"/>
      <c r="Q1922" s="87"/>
      <c r="R1922" s="87"/>
      <c r="S1922" s="87"/>
      <c r="T1922" s="88">
        <f>MIN($B$8,AVERAGE(U2006:U2007)/(1+J1922+$D$8/10000))+$B$7</f>
        <v>68.425991686898612</v>
      </c>
      <c r="U1922" s="88">
        <f t="shared" si="73"/>
        <v>82.102478879106357</v>
      </c>
    </row>
    <row r="1923" spans="1:21" x14ac:dyDescent="0.35">
      <c r="A1923" s="30"/>
      <c r="B1923" s="4"/>
      <c r="C1923" s="4"/>
      <c r="D1923" s="4"/>
      <c r="E1923" s="4"/>
      <c r="F1923" s="4"/>
      <c r="G1923" s="4"/>
      <c r="H1923" s="17"/>
      <c r="J1923" s="40">
        <f>(I1879-$B$1579)*EXP(10*$J$22)</f>
        <v>0.40984424678785741</v>
      </c>
      <c r="K1923" s="40">
        <f>(J1879-$B$1579)*EXP(10*$K$22)</f>
        <v>0.48611534837324205</v>
      </c>
      <c r="L1923" s="87"/>
      <c r="M1923" s="87"/>
      <c r="N1923" s="87"/>
      <c r="O1923" s="87"/>
      <c r="P1923" s="87"/>
      <c r="Q1923" s="87"/>
      <c r="R1923" s="87"/>
      <c r="S1923" s="87"/>
      <c r="T1923" s="88">
        <f>MIN($B$8,AVERAGE(U2008:U2009)/(1+J1923+$D$8/10000))+$B$7</f>
        <v>68.599181865866996</v>
      </c>
      <c r="U1923" s="88">
        <f t="shared" si="73"/>
        <v>82.255189289560079</v>
      </c>
    </row>
    <row r="1924" spans="1:21" x14ac:dyDescent="0.35">
      <c r="A1924" s="30"/>
      <c r="B1924" s="4"/>
      <c r="C1924" s="4"/>
      <c r="D1924" s="4"/>
      <c r="E1924" s="4"/>
      <c r="F1924" s="4"/>
      <c r="G1924" s="4"/>
      <c r="H1924" s="17"/>
      <c r="J1924" s="8">
        <f>I1880*EXP(10*J$22)</f>
        <v>0.41682991422497551</v>
      </c>
      <c r="K1924" s="8">
        <f>J1880*EXP(10*K$22)</f>
        <v>0.50102352491355284</v>
      </c>
      <c r="L1924" s="87"/>
      <c r="M1924" s="87"/>
      <c r="N1924" s="87"/>
      <c r="O1924" s="87"/>
      <c r="P1924" s="87"/>
      <c r="Q1924" s="87"/>
      <c r="R1924" s="87"/>
      <c r="S1924" s="87"/>
      <c r="T1924" s="88">
        <f>MIN($B$8,AVERAGE(U2010:U2011)/(1+J1924+$D$8/10000))+$B$7</f>
        <v>68.389173636935013</v>
      </c>
      <c r="U1924" s="88">
        <f t="shared" si="73"/>
        <v>81.387083181824167</v>
      </c>
    </row>
    <row r="1925" spans="1:21" x14ac:dyDescent="0.35">
      <c r="A1925" s="30"/>
      <c r="B1925" s="4"/>
      <c r="C1925" s="4"/>
      <c r="D1925" s="4"/>
      <c r="E1925" s="4"/>
      <c r="F1925" s="4"/>
      <c r="G1925" s="4"/>
      <c r="H1925" s="17"/>
      <c r="J1925" s="40">
        <f>(I1880-$B$1579)*EXP(10*$J$22)</f>
        <v>0.41418420982213211</v>
      </c>
      <c r="K1925" s="40">
        <f>(J1880-$B$1579)*EXP(10*$K$22)</f>
        <v>0.49842501714594128</v>
      </c>
      <c r="L1925" s="87"/>
      <c r="M1925" s="87"/>
      <c r="N1925" s="87"/>
      <c r="O1925" s="87"/>
      <c r="P1925" s="87"/>
      <c r="Q1925" s="87"/>
      <c r="R1925" s="87"/>
      <c r="S1925" s="87"/>
      <c r="T1925" s="88">
        <f>MIN($B$8,AVERAGE(U2012:U2013)/(1+J1925+$D$8/10000))+$B$7</f>
        <v>68.134045877870207</v>
      </c>
      <c r="U1925" s="88">
        <f t="shared" si="73"/>
        <v>81.537006154913755</v>
      </c>
    </row>
    <row r="1926" spans="1:21" x14ac:dyDescent="0.35">
      <c r="A1926" s="30"/>
      <c r="B1926" s="4"/>
      <c r="C1926" s="4"/>
      <c r="D1926" s="4"/>
      <c r="E1926" s="4"/>
      <c r="F1926" s="4"/>
      <c r="G1926" s="4"/>
      <c r="H1926" s="17"/>
      <c r="J1926" s="8">
        <f>I1881*EXP(10*J$22)</f>
        <v>0.41352325843027793</v>
      </c>
      <c r="K1926" s="8">
        <f>J1881*EXP(10*K$22)</f>
        <v>0.49774977089374678</v>
      </c>
      <c r="L1926" s="87"/>
      <c r="M1926" s="87"/>
      <c r="N1926" s="87"/>
      <c r="O1926" s="87"/>
      <c r="P1926" s="87"/>
      <c r="Q1926" s="87"/>
      <c r="R1926" s="87"/>
      <c r="S1926" s="87"/>
      <c r="T1926" s="88">
        <f>MIN($B$8,AVERAGE(U2014:U2015)/(1+J1926+$D$8/10000))+$B$7</f>
        <v>68.315226567898236</v>
      </c>
      <c r="U1926" s="88">
        <f t="shared" si="73"/>
        <v>81.576060161089998</v>
      </c>
    </row>
    <row r="1927" spans="1:21" x14ac:dyDescent="0.35">
      <c r="A1927" s="30"/>
      <c r="B1927" s="4"/>
      <c r="C1927" s="4"/>
      <c r="D1927" s="4"/>
      <c r="E1927" s="4"/>
      <c r="F1927" s="4"/>
      <c r="G1927" s="4"/>
      <c r="H1927" s="17"/>
      <c r="J1927" s="40">
        <f>(I1881-$B$1579)*EXP(10*$J$22)</f>
        <v>0.41087755402743453</v>
      </c>
      <c r="K1927" s="40">
        <f>(J1881-$B$1579)*EXP(10*$K$22)</f>
        <v>0.49515126312613522</v>
      </c>
      <c r="L1927" s="87"/>
      <c r="M1927" s="87"/>
      <c r="N1927" s="87"/>
      <c r="O1927" s="87"/>
      <c r="P1927" s="87"/>
      <c r="Q1927" s="87"/>
      <c r="R1927" s="87"/>
      <c r="S1927" s="87"/>
      <c r="T1927" s="88">
        <f>MIN($B$8,AVERAGE(U2016:U2017)/(1+J1927+$D$8/10000))+$B$7</f>
        <v>68.487970227524329</v>
      </c>
      <c r="U1927" s="88">
        <f t="shared" si="73"/>
        <v>81.72671695591427</v>
      </c>
    </row>
    <row r="1928" spans="1:21" x14ac:dyDescent="0.35">
      <c r="A1928" s="30"/>
      <c r="B1928" s="4"/>
      <c r="C1928" s="4"/>
      <c r="D1928" s="4"/>
      <c r="E1928" s="4"/>
      <c r="F1928" s="4"/>
      <c r="G1928" s="4"/>
      <c r="H1928" s="17"/>
      <c r="J1928" s="8">
        <f>I1882*EXP(10*J$22)</f>
        <v>0.42082568839319362</v>
      </c>
      <c r="K1928" s="8">
        <f>J1882*EXP(10*K$22)</f>
        <v>0.49693191978624845</v>
      </c>
      <c r="L1928" s="87"/>
      <c r="M1928" s="87"/>
      <c r="N1928" s="87"/>
      <c r="O1928" s="87"/>
      <c r="P1928" s="87"/>
      <c r="Q1928" s="87"/>
      <c r="R1928" s="87"/>
      <c r="S1928" s="87"/>
      <c r="T1928" s="88">
        <f>MIN($B$8,AVERAGE(U2018:U2019)/(1+J1928+$D$8/10000))+$B$7</f>
        <v>68.127783004716846</v>
      </c>
      <c r="U1928" s="88">
        <f t="shared" si="73"/>
        <v>81.623414673560191</v>
      </c>
    </row>
    <row r="1929" spans="1:21" x14ac:dyDescent="0.35">
      <c r="A1929" s="30"/>
      <c r="B1929" s="4"/>
      <c r="C1929" s="4"/>
      <c r="D1929" s="4"/>
      <c r="E1929" s="4"/>
      <c r="F1929" s="4"/>
      <c r="G1929" s="4"/>
      <c r="H1929" s="17"/>
      <c r="J1929" s="40">
        <f>(I1882-$B$1579)*EXP(10*$J$22)</f>
        <v>0.41817998399035028</v>
      </c>
      <c r="K1929" s="40">
        <f>(J1882-$B$1579)*EXP(10*$K$22)</f>
        <v>0.4943334120186369</v>
      </c>
      <c r="L1929" s="87"/>
      <c r="M1929" s="87"/>
      <c r="N1929" s="87"/>
      <c r="O1929" s="87"/>
      <c r="P1929" s="87"/>
      <c r="Q1929" s="87"/>
      <c r="R1929" s="87"/>
      <c r="S1929" s="87"/>
      <c r="T1929" s="88">
        <f>MIN($B$8,AVERAGE(U2020:U2021)/(1+J1929+$D$8/10000))+$B$7</f>
        <v>67.710311534173599</v>
      </c>
      <c r="U1929" s="88">
        <f t="shared" si="73"/>
        <v>81.774255633256288</v>
      </c>
    </row>
    <row r="1930" spans="1:21" x14ac:dyDescent="0.35">
      <c r="A1930" s="30"/>
      <c r="B1930" s="4"/>
      <c r="C1930" s="4"/>
      <c r="D1930" s="4"/>
      <c r="E1930" s="4"/>
      <c r="F1930" s="4"/>
      <c r="G1930" s="4"/>
      <c r="H1930" s="17"/>
      <c r="J1930" s="8">
        <f>I1883*EXP(10*J$22)</f>
        <v>0.4175190325984961</v>
      </c>
      <c r="K1930" s="8">
        <f>J1883*EXP(10*K$22)</f>
        <v>0.49365816576644245</v>
      </c>
      <c r="L1930" s="87"/>
      <c r="M1930" s="87"/>
      <c r="N1930" s="87"/>
      <c r="O1930" s="87"/>
      <c r="P1930" s="87"/>
      <c r="Q1930" s="87"/>
      <c r="R1930" s="87"/>
      <c r="S1930" s="87"/>
      <c r="T1930" s="88">
        <f>MIN($B$8,AVERAGE(U2022:U2023)/(1+J1930+$D$8/10000))+$B$7</f>
        <v>67.889629421253929</v>
      </c>
      <c r="U1930" s="88">
        <f t="shared" si="73"/>
        <v>81.813549062290349</v>
      </c>
    </row>
    <row r="1931" spans="1:21" x14ac:dyDescent="0.35">
      <c r="A1931" s="30"/>
      <c r="B1931" s="4"/>
      <c r="C1931" s="4"/>
      <c r="D1931" s="4"/>
      <c r="E1931" s="4"/>
      <c r="F1931" s="4"/>
      <c r="G1931" s="4"/>
      <c r="H1931" s="17"/>
      <c r="J1931" s="40">
        <f>(I1883-$B$1579)*EXP(10*$J$22)</f>
        <v>0.4148733281956527</v>
      </c>
      <c r="K1931" s="40">
        <f>(J1883-$B$1579)*EXP(10*$K$22)</f>
        <v>0.49105965799883089</v>
      </c>
      <c r="L1931" s="87"/>
      <c r="M1931" s="87"/>
      <c r="N1931" s="87"/>
      <c r="O1931" s="87"/>
      <c r="P1931" s="87"/>
      <c r="Q1931" s="87"/>
      <c r="R1931" s="87"/>
      <c r="S1931" s="87"/>
      <c r="T1931" s="88">
        <f>MIN($B$8,AVERAGE(U2024:U2025)/(1+J1931+$D$8/10000))+$B$7</f>
        <v>68.060660898176764</v>
      </c>
      <c r="U1931" s="88">
        <f t="shared" si="73"/>
        <v>81.965130602179883</v>
      </c>
    </row>
    <row r="1932" spans="1:21" x14ac:dyDescent="0.35">
      <c r="A1932" s="30"/>
      <c r="B1932" s="4"/>
      <c r="C1932" s="4"/>
      <c r="D1932" s="4"/>
      <c r="E1932" s="4"/>
      <c r="F1932" s="4"/>
      <c r="G1932" s="4"/>
      <c r="H1932" s="17"/>
      <c r="J1932" s="8">
        <f>I1884*EXP(10*J$22)</f>
        <v>0.41343293287324673</v>
      </c>
      <c r="K1932" s="8">
        <f>J1884*EXP(10*K$22)</f>
        <v>0.49747982058358003</v>
      </c>
      <c r="L1932" s="87"/>
      <c r="M1932" s="87"/>
      <c r="N1932" s="87"/>
      <c r="O1932" s="87"/>
      <c r="P1932" s="87"/>
      <c r="Q1932" s="87"/>
      <c r="R1932" s="87"/>
      <c r="S1932" s="87"/>
      <c r="T1932" s="88">
        <f>MIN($B$8,AVERAGE(U2026:U2027)/(1+J1932+$D$8/10000))+$B$7</f>
        <v>68.281375640722885</v>
      </c>
      <c r="U1932" s="88">
        <f t="shared" si="73"/>
        <v>81.591684202799414</v>
      </c>
    </row>
    <row r="1933" spans="1:21" x14ac:dyDescent="0.35">
      <c r="A1933" s="30"/>
      <c r="B1933" s="4"/>
      <c r="C1933" s="4"/>
      <c r="D1933" s="4"/>
      <c r="E1933" s="4"/>
      <c r="F1933" s="4"/>
      <c r="G1933" s="4"/>
      <c r="H1933" s="17"/>
      <c r="J1933" s="40">
        <f>(I1884-$B$1579)*EXP(10*$J$22)</f>
        <v>0.41078722847040333</v>
      </c>
      <c r="K1933" s="40">
        <f>(J1884-$B$1579)*EXP(10*$K$22)</f>
        <v>0.49488131281596848</v>
      </c>
      <c r="L1933" s="87"/>
      <c r="M1933" s="87"/>
      <c r="N1933" s="87"/>
      <c r="O1933" s="87"/>
      <c r="P1933" s="87"/>
      <c r="Q1933" s="87"/>
      <c r="R1933" s="87"/>
      <c r="S1933" s="87"/>
      <c r="T1933" s="88">
        <f>MIN($B$8,AVERAGE(U2028:U2029)/(1+J1933+$D$8/10000))+$B$7</f>
        <v>68.497680003402053</v>
      </c>
      <c r="U1933" s="88">
        <f t="shared" si="73"/>
        <v>81.742401748109543</v>
      </c>
    </row>
    <row r="1934" spans="1:21" x14ac:dyDescent="0.35">
      <c r="A1934" s="30"/>
      <c r="B1934" s="4"/>
      <c r="C1934" s="4"/>
      <c r="D1934" s="4"/>
      <c r="E1934" s="4"/>
      <c r="F1934" s="4"/>
      <c r="G1934" s="4"/>
      <c r="H1934" s="17"/>
      <c r="J1934" s="8">
        <f>I1885*EXP(10*J$22)</f>
        <v>0.41012627707854915</v>
      </c>
      <c r="K1934" s="8">
        <f>J1885*EXP(10*K$22)</f>
        <v>0.49420606656377403</v>
      </c>
      <c r="L1934" s="87"/>
      <c r="M1934" s="87"/>
      <c r="N1934" s="87"/>
      <c r="O1934" s="87"/>
      <c r="P1934" s="87"/>
      <c r="Q1934" s="87"/>
      <c r="R1934" s="87"/>
      <c r="S1934" s="87"/>
      <c r="T1934" s="88">
        <f>MIN($B$8,AVERAGE(U2030:U2031)/(1+J1934+$D$8/10000))+$B$7</f>
        <v>68.680464752161427</v>
      </c>
      <c r="U1934" s="88">
        <f t="shared" si="73"/>
        <v>81.78166298890936</v>
      </c>
    </row>
    <row r="1935" spans="1:21" x14ac:dyDescent="0.35">
      <c r="A1935" s="30"/>
      <c r="B1935" s="4"/>
      <c r="C1935" s="4"/>
      <c r="D1935" s="4"/>
      <c r="E1935" s="4"/>
      <c r="F1935" s="4"/>
      <c r="G1935" s="4"/>
      <c r="H1935" s="17"/>
      <c r="J1935" s="40">
        <f>(I1885-$B$1579)*EXP(10*$J$22)</f>
        <v>0.40748057267570581</v>
      </c>
      <c r="K1935" s="40">
        <f>(J1885-$B$1579)*EXP(10*$K$22)</f>
        <v>0.49160755879616252</v>
      </c>
      <c r="L1935" s="87"/>
      <c r="M1935" s="87"/>
      <c r="N1935" s="87"/>
      <c r="O1935" s="87"/>
      <c r="P1935" s="87"/>
      <c r="Q1935" s="87"/>
      <c r="R1935" s="87"/>
      <c r="S1935" s="87"/>
      <c r="T1935" s="88">
        <f>MIN($B$8,AVERAGE(U2032:U2033)/(1+J1935+$D$8/10000))+$B$7</f>
        <v>68.854682190072424</v>
      </c>
      <c r="U1935" s="88">
        <f t="shared" si="73"/>
        <v>81.933120204598126</v>
      </c>
    </row>
    <row r="1936" spans="1:21" x14ac:dyDescent="0.35">
      <c r="A1936" s="30"/>
      <c r="B1936" s="4"/>
      <c r="C1936" s="4"/>
      <c r="D1936" s="4"/>
      <c r="E1936" s="4"/>
      <c r="F1936" s="4"/>
      <c r="G1936" s="4"/>
      <c r="H1936" s="17"/>
      <c r="J1936" s="8">
        <f>I1886*EXP(10*J$22)</f>
        <v>0.4174287070414649</v>
      </c>
      <c r="K1936" s="8">
        <f>J1886*EXP(10*K$22)</f>
        <v>0.49338821545627565</v>
      </c>
      <c r="L1936" s="87"/>
      <c r="M1936" s="87"/>
      <c r="N1936" s="87"/>
      <c r="O1936" s="87"/>
      <c r="P1936" s="87"/>
      <c r="Q1936" s="87"/>
      <c r="R1936" s="87"/>
      <c r="S1936" s="87"/>
      <c r="T1936" s="88">
        <f>MIN($B$8,AVERAGE(U2034:U2035)/(1+J1936+$D$8/10000))+$B$7</f>
        <v>68.491553559465657</v>
      </c>
      <c r="U1936" s="88">
        <f t="shared" si="73"/>
        <v>81.82926892201624</v>
      </c>
    </row>
    <row r="1937" spans="1:21" x14ac:dyDescent="0.35">
      <c r="A1937" s="30"/>
      <c r="B1937" s="4"/>
      <c r="C1937" s="4"/>
      <c r="D1937" s="4"/>
      <c r="E1937" s="4"/>
      <c r="F1937" s="4"/>
      <c r="G1937" s="4"/>
      <c r="H1937" s="17"/>
      <c r="J1937" s="40">
        <f>(I1886-$B$1579)*EXP(10*$J$22)</f>
        <v>0.4147830026386215</v>
      </c>
      <c r="K1937" s="40">
        <f>(J1886-$B$1579)*EXP(10*$K$22)</f>
        <v>0.49078970768866409</v>
      </c>
      <c r="L1937" s="87"/>
      <c r="M1937" s="87"/>
      <c r="N1937" s="87"/>
      <c r="O1937" s="87"/>
      <c r="P1937" s="87"/>
      <c r="Q1937" s="87"/>
      <c r="R1937" s="87"/>
      <c r="S1937" s="87"/>
      <c r="T1937" s="88">
        <f>MIN($B$8,AVERAGE(U2036:U2037)/(1+J1937+$D$8/10000))+$B$7</f>
        <v>68.070272451985474</v>
      </c>
      <c r="U1937" s="88">
        <f t="shared" si="73"/>
        <v>81.980911772644077</v>
      </c>
    </row>
    <row r="1938" spans="1:21" x14ac:dyDescent="0.35">
      <c r="A1938" s="30"/>
      <c r="B1938" s="4"/>
      <c r="C1938" s="4"/>
      <c r="D1938" s="4"/>
      <c r="E1938" s="4"/>
      <c r="F1938" s="4"/>
      <c r="G1938" s="4"/>
      <c r="H1938" s="17"/>
      <c r="J1938" s="8">
        <f>I1887*EXP(10*J$22)</f>
        <v>0.41412205124676732</v>
      </c>
      <c r="K1938" s="8">
        <f>J1887*EXP(10*K$22)</f>
        <v>0.49011446143646964</v>
      </c>
      <c r="L1938" s="87"/>
      <c r="M1938" s="87"/>
      <c r="N1938" s="87"/>
      <c r="O1938" s="87"/>
      <c r="P1938" s="87"/>
      <c r="Q1938" s="87"/>
      <c r="R1938" s="87"/>
      <c r="S1938" s="87"/>
      <c r="T1938" s="88">
        <f>MIN($B$8,AVERAGE(U2038:U2039)/(1+J1938+$D$8/10000))+$B$7</f>
        <v>68.251172345325017</v>
      </c>
      <c r="U1938" s="88">
        <f t="shared" si="73"/>
        <v>82.020414347460616</v>
      </c>
    </row>
    <row r="1939" spans="1:21" x14ac:dyDescent="0.35">
      <c r="A1939" s="30"/>
      <c r="B1939" s="4"/>
      <c r="C1939" s="4"/>
      <c r="D1939" s="4"/>
      <c r="E1939" s="4"/>
      <c r="F1939" s="4"/>
      <c r="G1939" s="4"/>
      <c r="H1939" s="17"/>
      <c r="J1939" s="40">
        <f>(I1887-$B$1579)*EXP(10*$J$22)</f>
        <v>0.41147634684392392</v>
      </c>
      <c r="K1939" s="40">
        <f>(J1887-$B$1579)*EXP(10*$K$22)</f>
        <v>0.48751595366885808</v>
      </c>
      <c r="L1939" s="87"/>
      <c r="M1939" s="87"/>
      <c r="N1939" s="87"/>
      <c r="O1939" s="87"/>
      <c r="P1939" s="87"/>
      <c r="Q1939" s="87"/>
      <c r="R1939" s="87"/>
      <c r="S1939" s="87"/>
      <c r="T1939" s="88">
        <f>MIN($B$8,AVERAGE(U2040:U2041)/(1+J1939+$D$8/10000))+$B$7</f>
        <v>68.423657959157623</v>
      </c>
      <c r="U1939" s="88">
        <f t="shared" si="73"/>
        <v>82.17280369895299</v>
      </c>
    </row>
    <row r="1940" spans="1:21" x14ac:dyDescent="0.35">
      <c r="A1940" s="30"/>
      <c r="B1940" s="4"/>
      <c r="C1940" s="4"/>
      <c r="D1940" s="4"/>
      <c r="E1940" s="4"/>
      <c r="F1940" s="4"/>
      <c r="G1940" s="4"/>
      <c r="H1940" s="17"/>
      <c r="J1940" s="8">
        <f>I1888*EXP(10*J$22)</f>
        <v>0.41846201428104191</v>
      </c>
      <c r="K1940" s="8">
        <f>J1888*EXP(10*K$22)</f>
        <v>0.50242413020916887</v>
      </c>
      <c r="L1940" s="87"/>
      <c r="M1940" s="87"/>
      <c r="N1940" s="87"/>
      <c r="O1940" s="87"/>
      <c r="P1940" s="87"/>
      <c r="Q1940" s="87"/>
      <c r="R1940" s="87"/>
      <c r="S1940" s="87"/>
      <c r="T1940" s="88">
        <f>MIN($B$8,AVERAGE(U2042:U2043)/(1+J1940+$D$8/10000))+$B$7</f>
        <v>68.214451774674401</v>
      </c>
      <c r="U1940" s="88">
        <f t="shared" si="73"/>
        <v>81.306514363390477</v>
      </c>
    </row>
    <row r="1941" spans="1:21" x14ac:dyDescent="0.35">
      <c r="A1941" s="30"/>
      <c r="B1941" s="4"/>
      <c r="C1941" s="4"/>
      <c r="D1941" s="4"/>
      <c r="E1941" s="4"/>
      <c r="F1941" s="4"/>
      <c r="G1941" s="4"/>
      <c r="H1941" s="17"/>
      <c r="J1941" s="40">
        <f>(I1888-$B$1579)*EXP(10*$J$22)</f>
        <v>0.41581630987819856</v>
      </c>
      <c r="K1941" s="40">
        <f>(J1888-$B$1579)*EXP(10*$K$22)</f>
        <v>0.49982562244155732</v>
      </c>
      <c r="L1941" s="87"/>
      <c r="M1941" s="87"/>
      <c r="N1941" s="87"/>
      <c r="O1941" s="87"/>
      <c r="P1941" s="87"/>
      <c r="Q1941" s="87"/>
      <c r="R1941" s="87"/>
      <c r="S1941" s="87"/>
      <c r="T1941" s="88">
        <f>MIN($B$8,AVERAGE(U2044:U2045)/(1+J1941+$D$8/10000))+$B$7</f>
        <v>67.960449637064656</v>
      </c>
      <c r="U1941" s="88">
        <f t="shared" si="73"/>
        <v>81.45612502324721</v>
      </c>
    </row>
    <row r="1942" spans="1:21" x14ac:dyDescent="0.35">
      <c r="A1942" s="30"/>
      <c r="B1942" s="4"/>
      <c r="C1942" s="4"/>
      <c r="D1942" s="4"/>
      <c r="E1942" s="4"/>
      <c r="F1942" s="4"/>
      <c r="G1942" s="4"/>
      <c r="H1942" s="17"/>
      <c r="J1942" s="8">
        <f>I1889*EXP(10*J$22)</f>
        <v>0.41515535848634444</v>
      </c>
      <c r="K1942" s="8">
        <f>J1889*EXP(10*K$22)</f>
        <v>0.49915037618936281</v>
      </c>
      <c r="L1942" s="87"/>
      <c r="M1942" s="87"/>
      <c r="N1942" s="87"/>
      <c r="O1942" s="87"/>
      <c r="P1942" s="87"/>
      <c r="Q1942" s="87"/>
      <c r="R1942" s="87"/>
      <c r="S1942" s="87"/>
      <c r="T1942" s="88">
        <f>MIN($B$8,AVERAGE(U2046:U2047)/(1+J1942+$D$8/10000))+$B$7</f>
        <v>68.140866340697144</v>
      </c>
      <c r="U1942" s="88">
        <f t="shared" si="73"/>
        <v>81.495097574677445</v>
      </c>
    </row>
    <row r="1943" spans="1:21" x14ac:dyDescent="0.35">
      <c r="A1943" s="30"/>
      <c r="B1943" s="4"/>
      <c r="C1943" s="4"/>
      <c r="D1943" s="4"/>
      <c r="E1943" s="4"/>
      <c r="F1943" s="4"/>
      <c r="G1943" s="4"/>
      <c r="H1943" s="17"/>
      <c r="J1943" s="40">
        <f>(I1889-$B$1579)*EXP(10*$J$22)</f>
        <v>0.41250965408350104</v>
      </c>
      <c r="K1943" s="40">
        <f>(J1889-$B$1579)*EXP(10*$K$22)</f>
        <v>0.49655186842175125</v>
      </c>
      <c r="L1943" s="87"/>
      <c r="M1943" s="87"/>
      <c r="N1943" s="87"/>
      <c r="O1943" s="87"/>
      <c r="P1943" s="87"/>
      <c r="Q1943" s="87"/>
      <c r="R1943" s="87"/>
      <c r="S1943" s="87"/>
      <c r="T1943" s="88">
        <f>MIN($B$8,AVERAGE(U2048:U2049)/(1+J1943+$D$8/10000))+$B$7</f>
        <v>68.312907875496592</v>
      </c>
      <c r="U1943" s="88">
        <f t="shared" si="73"/>
        <v>81.645439761666594</v>
      </c>
    </row>
    <row r="1944" spans="1:21" x14ac:dyDescent="0.35">
      <c r="A1944" s="30"/>
      <c r="B1944" s="4"/>
      <c r="C1944" s="4"/>
      <c r="D1944" s="4"/>
      <c r="E1944" s="4"/>
      <c r="F1944" s="4"/>
      <c r="G1944" s="4"/>
      <c r="H1944" s="17"/>
      <c r="J1944" s="8">
        <f>I1890*EXP(10*J$22)</f>
        <v>0.42245778844926007</v>
      </c>
      <c r="K1944" s="8">
        <f>J1890*EXP(10*K$22)</f>
        <v>0.49833252508186449</v>
      </c>
      <c r="L1944" s="87"/>
      <c r="M1944" s="87"/>
      <c r="N1944" s="87"/>
      <c r="O1944" s="87"/>
      <c r="P1944" s="87"/>
      <c r="Q1944" s="87"/>
      <c r="R1944" s="87"/>
      <c r="S1944" s="87"/>
      <c r="T1944" s="88">
        <f>MIN($B$8,AVERAGE(U2050:U2051)/(1+J1944+$D$8/10000))+$B$7</f>
        <v>67.954122441587529</v>
      </c>
      <c r="U1944" s="88">
        <f t="shared" si="73"/>
        <v>81.542353265143191</v>
      </c>
    </row>
    <row r="1945" spans="1:21" x14ac:dyDescent="0.35">
      <c r="A1945" s="30"/>
      <c r="B1945" s="4"/>
      <c r="C1945" s="4"/>
      <c r="D1945" s="4"/>
      <c r="E1945" s="4"/>
      <c r="F1945" s="4"/>
      <c r="G1945" s="4"/>
      <c r="H1945" s="17"/>
      <c r="J1945" s="40">
        <f>(I1890-$B$1579)*EXP(10*$J$22)</f>
        <v>0.41981208404641668</v>
      </c>
      <c r="K1945" s="40">
        <f>(J1890-$B$1579)*EXP(10*$K$22)</f>
        <v>0.49573401731425293</v>
      </c>
      <c r="L1945" s="87"/>
      <c r="M1945" s="87"/>
      <c r="N1945" s="87"/>
      <c r="O1945" s="87"/>
      <c r="P1945" s="87"/>
      <c r="Q1945" s="87"/>
      <c r="R1945" s="87"/>
      <c r="S1945" s="87"/>
      <c r="T1945" s="88">
        <f>MIN($B$8,AVERAGE(U2052:U2053)/(1+J1945+$D$8/10000))+$B$7</f>
        <v>67.53846505377075</v>
      </c>
      <c r="U1945" s="88">
        <f t="shared" si="73"/>
        <v>81.692879040258248</v>
      </c>
    </row>
    <row r="1946" spans="1:21" x14ac:dyDescent="0.35">
      <c r="A1946" s="30"/>
      <c r="B1946" s="4"/>
      <c r="C1946" s="4"/>
      <c r="D1946" s="4"/>
      <c r="E1946" s="4"/>
      <c r="F1946" s="4"/>
      <c r="G1946" s="4"/>
      <c r="H1946" s="17"/>
      <c r="J1946" s="8">
        <f>I1891*EXP(10*J$22)</f>
        <v>0.41915113265456261</v>
      </c>
      <c r="K1946" s="8">
        <f>J1891*EXP(10*K$22)</f>
        <v>0.49505877106205848</v>
      </c>
      <c r="L1946" s="87"/>
      <c r="M1946" s="87"/>
      <c r="N1946" s="87"/>
      <c r="O1946" s="87"/>
      <c r="P1946" s="87"/>
      <c r="Q1946" s="87"/>
      <c r="R1946" s="87"/>
      <c r="S1946" s="87"/>
      <c r="T1946" s="88">
        <f>MIN($B$8,AVERAGE(U2054:U2055)/(1+J1946+$D$8/10000))+$B$7</f>
        <v>67.717029434755148</v>
      </c>
      <c r="U1946" s="88">
        <f t="shared" si="73"/>
        <v>81.732090264748535</v>
      </c>
    </row>
    <row r="1947" spans="1:21" x14ac:dyDescent="0.35">
      <c r="A1947" s="30"/>
      <c r="B1947" s="4"/>
      <c r="C1947" s="4"/>
      <c r="D1947" s="4"/>
      <c r="E1947" s="4"/>
      <c r="F1947" s="4"/>
      <c r="G1947" s="4"/>
      <c r="H1947" s="17"/>
      <c r="J1947" s="40">
        <f>(I1891-$B$1579)*EXP(10*$J$22)</f>
        <v>0.41650542825171921</v>
      </c>
      <c r="K1947" s="40">
        <f>(J1891-$B$1579)*EXP(10*$K$22)</f>
        <v>0.49246026329444692</v>
      </c>
      <c r="L1947" s="87"/>
      <c r="M1947" s="87"/>
      <c r="N1947" s="87"/>
      <c r="O1947" s="87"/>
      <c r="P1947" s="87"/>
      <c r="Q1947" s="87"/>
      <c r="R1947" s="87"/>
      <c r="S1947" s="87"/>
      <c r="T1947" s="88">
        <f>MIN($B$8,AVERAGE(U2056:U2057)/(1+J1947+$D$8/10000))+$B$7</f>
        <v>67.887368124194495</v>
      </c>
      <c r="U1947" s="88">
        <f t="shared" si="73"/>
        <v>81.883354297248843</v>
      </c>
    </row>
    <row r="1948" spans="1:21" x14ac:dyDescent="0.35">
      <c r="A1948" s="30"/>
      <c r="B1948" s="4"/>
      <c r="C1948" s="4"/>
      <c r="D1948" s="4"/>
      <c r="E1948" s="4"/>
      <c r="F1948" s="4"/>
      <c r="G1948" s="4"/>
      <c r="H1948" s="17"/>
      <c r="J1948" s="8">
        <f>I1892*EXP(10*J$22)</f>
        <v>0.41959392204651208</v>
      </c>
      <c r="K1948" s="8">
        <f>J1892*EXP(10*K$22)</f>
        <v>0.50370272872744049</v>
      </c>
      <c r="L1948" s="87"/>
      <c r="M1948" s="87"/>
      <c r="N1948" s="87"/>
      <c r="O1948" s="87"/>
      <c r="P1948" s="87"/>
      <c r="Q1948" s="87"/>
      <c r="R1948" s="87"/>
      <c r="S1948" s="87"/>
      <c r="T1948" s="88">
        <f>MIN($B$8,AVERAGE(U2058:U2059)/(1+J1948+$D$8/10000))+$B$7</f>
        <v>67.877186865718912</v>
      </c>
      <c r="U1948" s="88">
        <f t="shared" si="73"/>
        <v>81.233110237041359</v>
      </c>
    </row>
    <row r="1949" spans="1:21" x14ac:dyDescent="0.35">
      <c r="A1949" s="30"/>
      <c r="B1949" s="4"/>
      <c r="C1949" s="4"/>
      <c r="D1949" s="4"/>
      <c r="E1949" s="4"/>
      <c r="F1949" s="4"/>
      <c r="G1949" s="4"/>
      <c r="H1949" s="17"/>
      <c r="J1949" s="40">
        <f>(I1892-$B$1579)*EXP(10*$J$22)</f>
        <v>0.41694821764366868</v>
      </c>
      <c r="K1949" s="40">
        <f>(J1892-$B$1579)*EXP(10*$K$22)</f>
        <v>0.50110422095982898</v>
      </c>
      <c r="L1949" s="87"/>
      <c r="M1949" s="87"/>
      <c r="N1949" s="87"/>
      <c r="O1949" s="87"/>
      <c r="P1949" s="87"/>
      <c r="Q1949" s="87"/>
      <c r="R1949" s="87"/>
      <c r="S1949" s="87"/>
      <c r="T1949" s="88">
        <f>MIN($B$8,AVERAGE(U2060:U2061)/(1+J1949+$D$8/10000))+$B$7</f>
        <v>67.840477349894542</v>
      </c>
      <c r="U1949" s="88">
        <f t="shared" si="73"/>
        <v>81.38243664058237</v>
      </c>
    </row>
    <row r="1950" spans="1:21" x14ac:dyDescent="0.35">
      <c r="A1950" s="30"/>
      <c r="B1950" s="4"/>
      <c r="C1950" s="4"/>
      <c r="D1950" s="4"/>
      <c r="E1950" s="4"/>
      <c r="F1950" s="4"/>
      <c r="G1950" s="4"/>
      <c r="H1950" s="17"/>
      <c r="J1950" s="8">
        <f>I1893*EXP(10*J$22)</f>
        <v>0.4162872662518145</v>
      </c>
      <c r="K1950" s="8">
        <f>J1893*EXP(10*K$22)</f>
        <v>0.50042897470763448</v>
      </c>
      <c r="L1950" s="87"/>
      <c r="M1950" s="87"/>
      <c r="N1950" s="87"/>
      <c r="O1950" s="87"/>
      <c r="P1950" s="87"/>
      <c r="Q1950" s="87"/>
      <c r="R1950" s="87"/>
      <c r="S1950" s="87"/>
      <c r="T1950" s="88">
        <f>MIN($B$8,AVERAGE(U2062:U2063)/(1+J1950+$D$8/10000))+$B$7</f>
        <v>68.020366735838195</v>
      </c>
      <c r="U1950" s="88">
        <f t="shared" si="73"/>
        <v>81.421335055091021</v>
      </c>
    </row>
    <row r="1951" spans="1:21" x14ac:dyDescent="0.35">
      <c r="A1951" s="30"/>
      <c r="B1951" s="4"/>
      <c r="C1951" s="4"/>
      <c r="D1951" s="4"/>
      <c r="E1951" s="4"/>
      <c r="F1951" s="4"/>
      <c r="G1951" s="4"/>
      <c r="H1951" s="17"/>
      <c r="J1951" s="40">
        <f>(I1893-$B$1579)*EXP(10*$J$22)</f>
        <v>0.41364156184897116</v>
      </c>
      <c r="K1951" s="40">
        <f>(J1893-$B$1579)*EXP(10*$K$22)</f>
        <v>0.49783046694002298</v>
      </c>
      <c r="L1951" s="87"/>
      <c r="M1951" s="87"/>
      <c r="N1951" s="87"/>
      <c r="O1951" s="87"/>
      <c r="P1951" s="87"/>
      <c r="Q1951" s="87"/>
      <c r="R1951" s="87"/>
      <c r="S1951" s="87"/>
      <c r="T1951" s="88">
        <f>MIN($B$8,AVERAGE(U2064:U2065)/(1+J1951+$D$8/10000))+$B$7</f>
        <v>68.191923579570158</v>
      </c>
      <c r="U1951" s="88">
        <f t="shared" si="73"/>
        <v>81.571390899390579</v>
      </c>
    </row>
    <row r="1952" spans="1:21" x14ac:dyDescent="0.35">
      <c r="A1952" s="30"/>
      <c r="B1952" s="4"/>
      <c r="C1952" s="4"/>
      <c r="D1952" s="4"/>
      <c r="E1952" s="4"/>
      <c r="F1952" s="4"/>
      <c r="G1952" s="4"/>
      <c r="H1952" s="17"/>
      <c r="J1952" s="8">
        <f>I1894*EXP(10*J$22)</f>
        <v>0.42358969621473019</v>
      </c>
      <c r="K1952" s="8">
        <f>J1894*EXP(10*K$22)</f>
        <v>0.49961112360013621</v>
      </c>
      <c r="L1952" s="87"/>
      <c r="M1952" s="87"/>
      <c r="N1952" s="87"/>
      <c r="O1952" s="87"/>
      <c r="P1952" s="87"/>
      <c r="Q1952" s="87"/>
      <c r="R1952" s="87"/>
      <c r="S1952" s="87"/>
      <c r="T1952" s="88">
        <f>MIN($B$8,AVERAGE(U2066:U2067)/(1+J1952+$D$8/10000))+$B$7</f>
        <v>67.834106006187</v>
      </c>
      <c r="U1952" s="88">
        <f t="shared" si="73"/>
        <v>81.468500801786206</v>
      </c>
    </row>
    <row r="1953" spans="1:21" x14ac:dyDescent="0.35">
      <c r="A1953" s="30"/>
      <c r="B1953" s="4"/>
      <c r="C1953" s="4"/>
      <c r="D1953" s="4"/>
      <c r="E1953" s="4"/>
      <c r="F1953" s="4"/>
      <c r="G1953" s="4"/>
      <c r="H1953" s="17"/>
      <c r="J1953" s="40">
        <f>(I1894-$B$1579)*EXP(10*$J$22)</f>
        <v>0.42094399181188685</v>
      </c>
      <c r="K1953" s="40">
        <f>(J1894-$B$1579)*EXP(10*$K$22)</f>
        <v>0.49701261583252465</v>
      </c>
      <c r="L1953" s="87"/>
      <c r="M1953" s="87"/>
      <c r="N1953" s="87"/>
      <c r="O1953" s="87"/>
      <c r="P1953" s="87"/>
      <c r="Q1953" s="87"/>
      <c r="R1953" s="87"/>
      <c r="S1953" s="87"/>
      <c r="T1953" s="88">
        <f>MIN($B$8,AVERAGE(U2068:U2069)/(1+J1953+$D$8/10000))+$B$7</f>
        <v>67.419700587087831</v>
      </c>
      <c r="U1953" s="88">
        <f t="shared" si="73"/>
        <v>81.618739709806945</v>
      </c>
    </row>
    <row r="1954" spans="1:21" x14ac:dyDescent="0.35">
      <c r="A1954" s="30"/>
      <c r="B1954" s="4"/>
      <c r="C1954" s="4"/>
      <c r="D1954" s="4"/>
      <c r="E1954" s="4"/>
      <c r="F1954" s="4"/>
      <c r="G1954" s="4"/>
      <c r="H1954" s="17"/>
      <c r="J1954" s="8">
        <f>I1895*EXP(10*J$22)</f>
        <v>0.42028304042003267</v>
      </c>
      <c r="K1954" s="8">
        <f>J1895*EXP(10*K$22)</f>
        <v>0.49633736958033015</v>
      </c>
      <c r="L1954" s="87"/>
      <c r="M1954" s="87"/>
      <c r="N1954" s="87"/>
      <c r="O1954" s="87"/>
      <c r="P1954" s="87"/>
      <c r="Q1954" s="87"/>
      <c r="R1954" s="87"/>
      <c r="S1954" s="87"/>
      <c r="T1954" s="88">
        <f>MIN($B$8,AVERAGE(U2070:U2071)/(1+J1954+$D$8/10000))+$B$7</f>
        <v>67.597744875423004</v>
      </c>
      <c r="U1954" s="88">
        <f t="shared" si="73"/>
        <v>81.65787611562402</v>
      </c>
    </row>
    <row r="1955" spans="1:21" x14ac:dyDescent="0.35">
      <c r="A1955" s="30"/>
      <c r="B1955" s="4"/>
      <c r="C1955" s="4"/>
      <c r="D1955" s="4"/>
      <c r="E1955" s="4"/>
      <c r="F1955" s="4"/>
      <c r="G1955" s="4"/>
      <c r="H1955" s="17"/>
      <c r="J1955" s="40">
        <f>(I1895-$B$1579)*EXP(10*$J$22)</f>
        <v>0.41763733601718928</v>
      </c>
      <c r="K1955" s="40">
        <f>(J1895-$B$1579)*EXP(10*$K$22)</f>
        <v>0.49373886181271859</v>
      </c>
      <c r="L1955" s="87"/>
      <c r="M1955" s="87"/>
      <c r="N1955" s="87"/>
      <c r="O1955" s="87"/>
      <c r="P1955" s="87"/>
      <c r="Q1955" s="87"/>
      <c r="R1955" s="87"/>
      <c r="S1955" s="87"/>
      <c r="T1955" s="88">
        <f>MIN($B$8,AVERAGE(U2072:U2073)/(1+J1955+$D$8/10000))+$B$7</f>
        <v>67.767605311984539</v>
      </c>
      <c r="U1955" s="88">
        <f t="shared" si="73"/>
        <v>81.808851169035691</v>
      </c>
    </row>
    <row r="1956" spans="1:21" x14ac:dyDescent="0.35">
      <c r="A1956" s="30"/>
      <c r="B1956" s="4"/>
      <c r="C1956" s="4"/>
      <c r="D1956" s="4"/>
      <c r="E1956" s="4"/>
      <c r="F1956" s="4"/>
      <c r="G1956" s="4"/>
      <c r="H1956" s="17"/>
      <c r="J1956" s="8">
        <f>I1896*EXP(10*J$22)</f>
        <v>0.42462300345430726</v>
      </c>
      <c r="K1956" s="8">
        <f>J1896*EXP(10*K$22)</f>
        <v>0.50864703835302938</v>
      </c>
      <c r="L1956" s="87"/>
      <c r="M1956" s="87"/>
      <c r="N1956" s="87"/>
      <c r="O1956" s="87"/>
      <c r="P1956" s="87"/>
      <c r="Q1956" s="87"/>
      <c r="R1956" s="87"/>
      <c r="S1956" s="87"/>
      <c r="T1956" s="88">
        <f>MIN($B$8,AVERAGE(U2074:U2075)/(1+J1956+$D$8/10000))+$B$7</f>
        <v>67.561389763530769</v>
      </c>
      <c r="U1956" s="88">
        <f t="shared" si="73"/>
        <v>80.950565215763248</v>
      </c>
    </row>
    <row r="1957" spans="1:21" x14ac:dyDescent="0.35">
      <c r="A1957" s="30"/>
      <c r="B1957" s="4"/>
      <c r="C1957" s="4"/>
      <c r="D1957" s="4"/>
      <c r="E1957" s="4"/>
      <c r="F1957" s="4"/>
      <c r="G1957" s="4"/>
      <c r="H1957" s="17"/>
      <c r="J1957" s="40">
        <f>(I1896-$B$1579)*EXP(10*$J$22)</f>
        <v>0.42197729905146386</v>
      </c>
      <c r="K1957" s="40">
        <f>(J1896-$B$1579)*EXP(10*$K$22)</f>
        <v>0.50604853058541777</v>
      </c>
      <c r="L1957" s="87"/>
      <c r="M1957" s="87"/>
      <c r="N1957" s="87"/>
      <c r="O1957" s="87"/>
      <c r="P1957" s="87"/>
      <c r="Q1957" s="87"/>
      <c r="R1957" s="87"/>
      <c r="S1957" s="87"/>
      <c r="T1957" s="88">
        <f>MIN($B$8,AVERAGE(U2076:U2077)/(1+J1957+$D$8/10000))+$B$7</f>
        <v>67.311577878318957</v>
      </c>
      <c r="U1957" s="88">
        <f t="shared" si="73"/>
        <v>81.098799995626862</v>
      </c>
    </row>
    <row r="1958" spans="1:21" x14ac:dyDescent="0.35">
      <c r="A1958" s="30"/>
      <c r="B1958" s="4"/>
      <c r="C1958" s="4"/>
      <c r="D1958" s="4"/>
      <c r="E1958" s="4"/>
      <c r="F1958" s="4"/>
      <c r="G1958" s="4"/>
      <c r="H1958" s="17"/>
      <c r="J1958" s="8">
        <f>I1897*EXP(10*J$22)</f>
        <v>0.42131634765960979</v>
      </c>
      <c r="K1958" s="8">
        <f>J1897*EXP(10*K$22)</f>
        <v>0.50537328433322337</v>
      </c>
      <c r="L1958" s="87"/>
      <c r="M1958" s="87"/>
      <c r="N1958" s="87"/>
      <c r="O1958" s="87"/>
      <c r="P1958" s="87"/>
      <c r="Q1958" s="87"/>
      <c r="R1958" s="87"/>
      <c r="S1958" s="87"/>
      <c r="T1958" s="88">
        <f>MIN($B$8,AVERAGE(U2078:U2079)/(1+J1958+$D$8/10000))+$B$7</f>
        <v>67.48914914685534</v>
      </c>
      <c r="U1958" s="88">
        <f t="shared" si="73"/>
        <v>81.137413706038544</v>
      </c>
    </row>
    <row r="1959" spans="1:21" x14ac:dyDescent="0.35">
      <c r="A1959" s="30"/>
      <c r="B1959" s="4"/>
      <c r="C1959" s="4"/>
      <c r="D1959" s="4"/>
      <c r="E1959" s="4"/>
      <c r="F1959" s="4"/>
      <c r="G1959" s="4"/>
      <c r="H1959" s="17"/>
      <c r="J1959" s="40">
        <f>(I1897-$B$1579)*EXP(10*$J$22)</f>
        <v>0.41867064325676639</v>
      </c>
      <c r="K1959" s="40">
        <f>(J1897-$B$1579)*EXP(10*$K$22)</f>
        <v>0.50277477656561176</v>
      </c>
      <c r="L1959" s="87"/>
      <c r="M1959" s="87"/>
      <c r="N1959" s="87"/>
      <c r="O1959" s="87"/>
      <c r="P1959" s="87"/>
      <c r="Q1959" s="87"/>
      <c r="R1959" s="87"/>
      <c r="S1959" s="87"/>
      <c r="T1959" s="88">
        <f>MIN($B$8,AVERAGE(U2080:U2081)/(1+J1959+$D$8/10000))+$B$7</f>
        <v>67.658574566718073</v>
      </c>
      <c r="U1959" s="88">
        <f t="shared" si="73"/>
        <v>81.286369932956148</v>
      </c>
    </row>
    <row r="1960" spans="1:21" x14ac:dyDescent="0.35">
      <c r="A1960" s="30"/>
      <c r="B1960" s="4"/>
      <c r="C1960" s="4"/>
      <c r="D1960" s="4"/>
      <c r="E1960" s="4"/>
      <c r="F1960" s="4"/>
      <c r="G1960" s="4"/>
      <c r="H1960" s="17"/>
      <c r="J1960" s="8">
        <f>I1898*EXP(10*J$22)</f>
        <v>0.42861877762252543</v>
      </c>
      <c r="K1960" s="8">
        <f>J1898*EXP(10*K$22)</f>
        <v>0.50455543322572483</v>
      </c>
      <c r="L1960" s="87"/>
      <c r="M1960" s="87"/>
      <c r="N1960" s="87"/>
      <c r="O1960" s="87"/>
      <c r="P1960" s="87"/>
      <c r="Q1960" s="87"/>
      <c r="R1960" s="87"/>
      <c r="S1960" s="87"/>
      <c r="T1960" s="88">
        <f>MIN($B$8,AVERAGE(U2082:U2083)/(1+J1960+$D$8/10000))+$B$7</f>
        <v>67.305014874656365</v>
      </c>
      <c r="U1960" s="88">
        <f t="shared" si="73"/>
        <v>81.18423404776091</v>
      </c>
    </row>
    <row r="1961" spans="1:21" x14ac:dyDescent="0.35">
      <c r="A1961" s="30"/>
      <c r="B1961" s="4"/>
      <c r="C1961" s="4"/>
      <c r="D1961" s="4"/>
      <c r="E1961" s="4"/>
      <c r="F1961" s="4"/>
      <c r="G1961" s="4"/>
      <c r="H1961" s="17"/>
      <c r="J1961" s="40">
        <f>(I1898-$B$1579)*EXP(10*$J$22)</f>
        <v>0.42597307321968203</v>
      </c>
      <c r="K1961" s="40">
        <f>(J1898-$B$1579)*EXP(10*$K$22)</f>
        <v>0.50195692545811332</v>
      </c>
      <c r="L1961" s="87"/>
      <c r="M1961" s="87"/>
      <c r="N1961" s="87"/>
      <c r="O1961" s="87"/>
      <c r="P1961" s="87"/>
      <c r="Q1961" s="87"/>
      <c r="R1961" s="87"/>
      <c r="S1961" s="87"/>
      <c r="T1961" s="88">
        <f>MIN($B$8,AVERAGE(U2084:U2085)/(1+J1961+$D$8/10000))+$B$7</f>
        <v>66.896111765153506</v>
      </c>
      <c r="U1961" s="88">
        <f t="shared" si="73"/>
        <v>81.333371329230744</v>
      </c>
    </row>
    <row r="1962" spans="1:21" x14ac:dyDescent="0.35">
      <c r="A1962" s="30"/>
      <c r="B1962" s="4"/>
      <c r="C1962" s="4"/>
      <c r="D1962" s="4"/>
      <c r="E1962" s="4"/>
      <c r="F1962" s="4"/>
      <c r="G1962" s="4"/>
      <c r="H1962" s="17"/>
      <c r="J1962" s="8">
        <f>I1899*EXP(10*J$22)</f>
        <v>0.4253121218278279</v>
      </c>
      <c r="K1962" s="8">
        <f>J1899*EXP(10*K$22)</f>
        <v>0.50128167920591893</v>
      </c>
      <c r="L1962" s="87"/>
      <c r="M1962" s="87"/>
      <c r="N1962" s="87"/>
      <c r="O1962" s="87"/>
      <c r="P1962" s="87"/>
      <c r="Q1962" s="87"/>
      <c r="R1962" s="87"/>
      <c r="S1962" s="87"/>
      <c r="T1962" s="88">
        <f>MIN($B$8,AVERAGE(U2086:U2087)/(1+J1962+$D$8/10000))+$B$7</f>
        <v>67.071869613497853</v>
      </c>
      <c r="U1962" s="88">
        <f t="shared" si="73"/>
        <v>81.372220418933537</v>
      </c>
    </row>
    <row r="1963" spans="1:21" x14ac:dyDescent="0.35">
      <c r="A1963" s="30"/>
      <c r="B1963" s="4"/>
      <c r="C1963" s="4"/>
      <c r="D1963" s="4"/>
      <c r="E1963" s="4"/>
      <c r="F1963" s="4"/>
      <c r="G1963" s="4"/>
      <c r="H1963" s="17"/>
      <c r="J1963" s="40">
        <f>(I1899-$B$1579)*EXP(10*$J$22)</f>
        <v>0.42266641742498456</v>
      </c>
      <c r="K1963" s="40">
        <f>(J1899-$B$1579)*EXP(10*$K$22)</f>
        <v>0.49868317143830737</v>
      </c>
      <c r="L1963" s="87"/>
      <c r="M1963" s="87"/>
      <c r="N1963" s="87"/>
      <c r="O1963" s="87"/>
      <c r="P1963" s="87"/>
      <c r="Q1963" s="87"/>
      <c r="R1963" s="87"/>
      <c r="S1963" s="87"/>
      <c r="T1963" s="88">
        <f>MIN($B$8,AVERAGE(U2088:U2089)/(1+J1963+$D$8/10000))+$B$7</f>
        <v>67.239626864381918</v>
      </c>
      <c r="U1963" s="88">
        <f t="shared" si="73"/>
        <v>81.522085754155697</v>
      </c>
    </row>
    <row r="1964" spans="1:21" x14ac:dyDescent="0.35">
      <c r="A1964" s="30"/>
      <c r="B1964" s="4"/>
      <c r="C1964" s="4"/>
      <c r="D1964" s="4"/>
      <c r="E1964" s="4"/>
      <c r="F1964" s="4"/>
      <c r="G1964" s="4"/>
      <c r="H1964" s="17"/>
      <c r="J1964" s="38"/>
      <c r="K1964" s="8">
        <f>J1900*EXP(10*K$22)</f>
        <v>0.50193251645783421</v>
      </c>
      <c r="L1964" s="87"/>
      <c r="M1964" s="87"/>
      <c r="N1964" s="87"/>
      <c r="O1964" s="87"/>
      <c r="P1964" s="87"/>
      <c r="Q1964" s="87"/>
      <c r="R1964" s="87"/>
      <c r="S1964" s="87"/>
      <c r="T1964" s="87"/>
      <c r="U1964" s="88">
        <f t="shared" ref="U1964:U2027" si="74">MIN($B$8,((100+$B$7)/(1+K1964+$D$8/10000)))+$B$7</f>
        <v>81.334774977914662</v>
      </c>
    </row>
    <row r="1965" spans="1:21" x14ac:dyDescent="0.35">
      <c r="A1965" s="30"/>
      <c r="B1965" s="4"/>
      <c r="C1965" s="4"/>
      <c r="D1965" s="4"/>
      <c r="E1965" s="4"/>
      <c r="F1965" s="4"/>
      <c r="G1965" s="4"/>
      <c r="H1965" s="17"/>
      <c r="K1965" s="40">
        <f>(J1900-$B$1579)*EXP(10*$K$22)</f>
        <v>0.49933400869022265</v>
      </c>
      <c r="L1965" s="87"/>
      <c r="M1965" s="87"/>
      <c r="N1965" s="87"/>
      <c r="O1965" s="87"/>
      <c r="P1965" s="87"/>
      <c r="Q1965" s="87"/>
      <c r="R1965" s="87"/>
      <c r="S1965" s="87"/>
      <c r="T1965" s="87"/>
      <c r="U1965" s="88">
        <f t="shared" si="74"/>
        <v>81.484495148757176</v>
      </c>
    </row>
    <row r="1966" spans="1:21" x14ac:dyDescent="0.35">
      <c r="A1966" s="30"/>
      <c r="B1966" s="4"/>
      <c r="C1966" s="4"/>
      <c r="D1966" s="4"/>
      <c r="E1966" s="4"/>
      <c r="F1966" s="4"/>
      <c r="G1966" s="4"/>
      <c r="H1966" s="17"/>
      <c r="K1966" s="8">
        <f>J1901*EXP(10*K$22)</f>
        <v>0.4986587624380282</v>
      </c>
      <c r="L1966" s="87"/>
      <c r="M1966" s="87"/>
      <c r="N1966" s="87"/>
      <c r="O1966" s="87"/>
      <c r="P1966" s="87"/>
      <c r="Q1966" s="87"/>
      <c r="R1966" s="87"/>
      <c r="S1966" s="87"/>
      <c r="T1966" s="87"/>
      <c r="U1966" s="88">
        <f t="shared" si="74"/>
        <v>81.523496261828583</v>
      </c>
    </row>
    <row r="1967" spans="1:21" x14ac:dyDescent="0.35">
      <c r="A1967" s="30"/>
      <c r="B1967" s="4"/>
      <c r="C1967" s="4"/>
      <c r="D1967" s="4"/>
      <c r="E1967" s="4"/>
      <c r="F1967" s="4"/>
      <c r="G1967" s="4"/>
      <c r="H1967" s="17"/>
      <c r="K1967" s="40">
        <f>(J1901-$B$1579)*EXP(10*$J$22)</f>
        <v>0.50507018536391046</v>
      </c>
      <c r="L1967" s="87"/>
      <c r="M1967" s="87"/>
      <c r="N1967" s="87"/>
      <c r="O1967" s="87"/>
      <c r="P1967" s="87"/>
      <c r="Q1967" s="87"/>
      <c r="R1967" s="87"/>
      <c r="S1967" s="87"/>
      <c r="T1967" s="87"/>
      <c r="U1967" s="88">
        <f t="shared" si="74"/>
        <v>81.154758890078327</v>
      </c>
    </row>
    <row r="1968" spans="1:21" x14ac:dyDescent="0.35">
      <c r="A1968" s="30"/>
      <c r="B1968" s="4"/>
      <c r="C1968" s="4"/>
      <c r="D1968" s="4"/>
      <c r="E1968" s="4"/>
      <c r="F1968" s="4"/>
      <c r="G1968" s="4"/>
      <c r="H1968" s="17"/>
      <c r="K1968" s="8">
        <f>J1902*EXP(10*K$22)</f>
        <v>0.49784091133052988</v>
      </c>
      <c r="L1968" s="87"/>
      <c r="M1968" s="87"/>
      <c r="N1968" s="87"/>
      <c r="O1968" s="87"/>
      <c r="P1968" s="87"/>
      <c r="Q1968" s="87"/>
      <c r="R1968" s="87"/>
      <c r="S1968" s="87"/>
      <c r="T1968" s="87"/>
      <c r="U1968" s="88">
        <f t="shared" si="74"/>
        <v>81.570786603645786</v>
      </c>
    </row>
    <row r="1969" spans="1:21" x14ac:dyDescent="0.35">
      <c r="A1969" s="30"/>
      <c r="B1969" s="4"/>
      <c r="C1969" s="4"/>
      <c r="D1969" s="4"/>
      <c r="E1969" s="4"/>
      <c r="F1969" s="4"/>
      <c r="G1969" s="4"/>
      <c r="H1969" s="17"/>
      <c r="K1969" s="40">
        <f>(J1902-$B$1579)*EXP(10*$K$22)</f>
        <v>0.49524240356291832</v>
      </c>
      <c r="L1969" s="87"/>
      <c r="M1969" s="87"/>
      <c r="N1969" s="87"/>
      <c r="O1969" s="87"/>
      <c r="P1969" s="87"/>
      <c r="Q1969" s="87"/>
      <c r="R1969" s="87"/>
      <c r="S1969" s="87"/>
      <c r="T1969" s="87"/>
      <c r="U1969" s="88">
        <f t="shared" si="74"/>
        <v>81.721422896226741</v>
      </c>
    </row>
    <row r="1970" spans="1:21" x14ac:dyDescent="0.35">
      <c r="A1970" s="30"/>
      <c r="B1970" s="4"/>
      <c r="C1970" s="4"/>
      <c r="D1970" s="4"/>
      <c r="E1970" s="4"/>
      <c r="F1970" s="4"/>
      <c r="G1970" s="4"/>
      <c r="H1970" s="17"/>
      <c r="K1970" s="8">
        <f>J1903*EXP(10*K$22)</f>
        <v>0.49456715731072382</v>
      </c>
      <c r="L1970" s="87"/>
      <c r="M1970" s="87"/>
      <c r="N1970" s="87"/>
      <c r="O1970" s="87"/>
      <c r="P1970" s="87"/>
      <c r="Q1970" s="87"/>
      <c r="R1970" s="87"/>
      <c r="S1970" s="87"/>
      <c r="T1970" s="87"/>
      <c r="U1970" s="88">
        <f t="shared" si="74"/>
        <v>81.76066294518084</v>
      </c>
    </row>
    <row r="1971" spans="1:21" x14ac:dyDescent="0.35">
      <c r="A1971" s="30"/>
      <c r="B1971" s="4"/>
      <c r="C1971" s="4"/>
      <c r="D1971" s="4"/>
      <c r="E1971" s="4"/>
      <c r="F1971" s="4"/>
      <c r="G1971" s="4"/>
      <c r="H1971" s="17"/>
      <c r="K1971" s="40">
        <f>(J1903-$B$1579)*EXP(10*$K$22)</f>
        <v>0.49196864954311226</v>
      </c>
      <c r="L1971" s="87"/>
      <c r="M1971" s="87"/>
      <c r="N1971" s="87"/>
      <c r="O1971" s="87"/>
      <c r="P1971" s="87"/>
      <c r="Q1971" s="87"/>
      <c r="R1971" s="87"/>
      <c r="S1971" s="87"/>
      <c r="T1971" s="87"/>
      <c r="U1971" s="88">
        <f t="shared" si="74"/>
        <v>81.912038309347025</v>
      </c>
    </row>
    <row r="1972" spans="1:21" x14ac:dyDescent="0.35">
      <c r="A1972" s="30"/>
      <c r="B1972" s="4"/>
      <c r="C1972" s="4"/>
      <c r="D1972" s="4"/>
      <c r="E1972" s="4"/>
      <c r="F1972" s="4"/>
      <c r="G1972" s="4"/>
      <c r="H1972" s="17"/>
      <c r="K1972" s="8">
        <f>J1904*EXP(10*K$22)</f>
        <v>0.50687682608342299</v>
      </c>
      <c r="L1972" s="87"/>
      <c r="M1972" s="87"/>
      <c r="N1972" s="87"/>
      <c r="O1972" s="87"/>
      <c r="P1972" s="87"/>
      <c r="Q1972" s="87"/>
      <c r="R1972" s="87"/>
      <c r="S1972" s="87"/>
      <c r="T1972" s="87"/>
      <c r="U1972" s="88">
        <f t="shared" si="74"/>
        <v>81.051486982768523</v>
      </c>
    </row>
    <row r="1973" spans="1:21" x14ac:dyDescent="0.35">
      <c r="A1973" s="30"/>
      <c r="B1973" s="4"/>
      <c r="C1973" s="4"/>
      <c r="D1973" s="4"/>
      <c r="E1973" s="4"/>
      <c r="F1973" s="4"/>
      <c r="G1973" s="4"/>
      <c r="H1973" s="17"/>
      <c r="K1973" s="40">
        <f>(J1904-$B$1579)*EXP(10*$K$22)</f>
        <v>0.50427831831581138</v>
      </c>
      <c r="L1973" s="87"/>
      <c r="M1973" s="87"/>
      <c r="N1973" s="87"/>
      <c r="O1973" s="87"/>
      <c r="P1973" s="87"/>
      <c r="Q1973" s="87"/>
      <c r="R1973" s="87"/>
      <c r="S1973" s="87"/>
      <c r="T1973" s="87"/>
      <c r="U1973" s="88">
        <f t="shared" si="74"/>
        <v>81.200111217166906</v>
      </c>
    </row>
    <row r="1974" spans="1:21" x14ac:dyDescent="0.35">
      <c r="A1974" s="30"/>
      <c r="B1974" s="4"/>
      <c r="C1974" s="4"/>
      <c r="D1974" s="4"/>
      <c r="E1974" s="4"/>
      <c r="F1974" s="4"/>
      <c r="G1974" s="4"/>
      <c r="H1974" s="17"/>
      <c r="K1974" s="8">
        <f>J1905*EXP(10*K$22)</f>
        <v>0.50360307206361699</v>
      </c>
      <c r="L1974" s="87"/>
      <c r="M1974" s="87"/>
      <c r="N1974" s="87"/>
      <c r="O1974" s="87"/>
      <c r="P1974" s="87"/>
      <c r="Q1974" s="87"/>
      <c r="R1974" s="87"/>
      <c r="S1974" s="87"/>
      <c r="T1974" s="87"/>
      <c r="U1974" s="88">
        <f t="shared" si="74"/>
        <v>81.238826499967544</v>
      </c>
    </row>
    <row r="1975" spans="1:21" x14ac:dyDescent="0.35">
      <c r="A1975" s="30"/>
      <c r="B1975" s="4"/>
      <c r="C1975" s="4"/>
      <c r="D1975" s="4"/>
      <c r="E1975" s="4"/>
      <c r="F1975" s="4"/>
      <c r="G1975" s="4"/>
      <c r="H1975" s="17"/>
      <c r="K1975" s="40">
        <f>(J1905-$B$1579)*EXP(10*$K$22)</f>
        <v>0.50100456429600548</v>
      </c>
      <c r="L1975" s="87"/>
      <c r="M1975" s="87"/>
      <c r="N1975" s="87"/>
      <c r="O1975" s="87"/>
      <c r="P1975" s="87"/>
      <c r="Q1975" s="87"/>
      <c r="R1975" s="87"/>
      <c r="S1975" s="87"/>
      <c r="T1975" s="87"/>
      <c r="U1975" s="88">
        <f t="shared" si="74"/>
        <v>81.388175029922422</v>
      </c>
    </row>
    <row r="1976" spans="1:21" x14ac:dyDescent="0.35">
      <c r="A1976" s="30"/>
      <c r="B1976" s="4"/>
      <c r="C1976" s="4"/>
      <c r="D1976" s="4"/>
      <c r="E1976" s="4"/>
      <c r="F1976" s="4"/>
      <c r="G1976" s="4"/>
      <c r="H1976" s="17"/>
      <c r="K1976" s="8">
        <f>J1906*EXP(10*K$22)</f>
        <v>0.50278522095611866</v>
      </c>
      <c r="L1976" s="87"/>
      <c r="M1976" s="87"/>
      <c r="N1976" s="87"/>
      <c r="O1976" s="87"/>
      <c r="P1976" s="87"/>
      <c r="Q1976" s="87"/>
      <c r="R1976" s="87"/>
      <c r="S1976" s="87"/>
      <c r="T1976" s="87"/>
      <c r="U1976" s="88">
        <f t="shared" si="74"/>
        <v>81.28577006976991</v>
      </c>
    </row>
    <row r="1977" spans="1:21" x14ac:dyDescent="0.35">
      <c r="A1977" s="30"/>
      <c r="B1977" s="4"/>
      <c r="C1977" s="4"/>
      <c r="D1977" s="4"/>
      <c r="E1977" s="4"/>
      <c r="F1977" s="4"/>
      <c r="G1977" s="4"/>
      <c r="H1977" s="17"/>
      <c r="K1977" s="40">
        <f>(J1906-$B$1579)*EXP(10*$K$22)</f>
        <v>0.50018671318850705</v>
      </c>
      <c r="L1977" s="87"/>
      <c r="M1977" s="87"/>
      <c r="N1977" s="87"/>
      <c r="O1977" s="87"/>
      <c r="P1977" s="87"/>
      <c r="Q1977" s="87"/>
      <c r="R1977" s="87"/>
      <c r="S1977" s="87"/>
      <c r="T1977" s="87"/>
      <c r="U1977" s="88">
        <f t="shared" si="74"/>
        <v>81.435300370225605</v>
      </c>
    </row>
    <row r="1978" spans="1:21" x14ac:dyDescent="0.35">
      <c r="A1978" s="30"/>
      <c r="B1978" s="4"/>
      <c r="C1978" s="4"/>
      <c r="D1978" s="4"/>
      <c r="E1978" s="4"/>
      <c r="F1978" s="4"/>
      <c r="G1978" s="4"/>
      <c r="H1978" s="17"/>
      <c r="K1978" s="8">
        <f>J1907*EXP(10*K$22)</f>
        <v>0.49951146693631265</v>
      </c>
      <c r="L1978" s="87"/>
      <c r="M1978" s="87"/>
      <c r="N1978" s="87"/>
      <c r="O1978" s="87"/>
      <c r="P1978" s="87"/>
      <c r="Q1978" s="87"/>
      <c r="R1978" s="87"/>
      <c r="S1978" s="87"/>
      <c r="T1978" s="87"/>
      <c r="U1978" s="88">
        <f t="shared" si="74"/>
        <v>81.474251963085337</v>
      </c>
    </row>
    <row r="1979" spans="1:21" x14ac:dyDescent="0.35">
      <c r="A1979" s="30"/>
      <c r="B1979" s="4"/>
      <c r="C1979" s="4"/>
      <c r="D1979" s="4"/>
      <c r="E1979" s="4"/>
      <c r="F1979" s="4"/>
      <c r="G1979" s="4"/>
      <c r="H1979" s="17"/>
      <c r="K1979" s="40">
        <f>(J1907-$B$1579)*EXP(10*$K$22)</f>
        <v>0.4969129591687011</v>
      </c>
      <c r="L1979" s="87"/>
      <c r="M1979" s="87"/>
      <c r="N1979" s="87"/>
      <c r="O1979" s="87"/>
      <c r="P1979" s="87"/>
      <c r="Q1979" s="87"/>
      <c r="R1979" s="87"/>
      <c r="S1979" s="87"/>
      <c r="T1979" s="87"/>
      <c r="U1979" s="88">
        <f t="shared" si="74"/>
        <v>81.624513200652416</v>
      </c>
    </row>
    <row r="1980" spans="1:21" x14ac:dyDescent="0.35">
      <c r="A1980" s="30"/>
      <c r="B1980" s="4"/>
      <c r="C1980" s="4"/>
      <c r="D1980" s="4"/>
      <c r="E1980" s="4"/>
      <c r="F1980" s="4"/>
      <c r="G1980" s="4"/>
      <c r="H1980" s="17"/>
      <c r="K1980" s="8">
        <f>J1908*EXP(10*K$22)</f>
        <v>0.50815542460169472</v>
      </c>
      <c r="L1980" s="87"/>
      <c r="M1980" s="87"/>
      <c r="N1980" s="87"/>
      <c r="O1980" s="87"/>
      <c r="P1980" s="87"/>
      <c r="Q1980" s="87"/>
      <c r="R1980" s="87"/>
      <c r="S1980" s="87"/>
      <c r="T1980" s="87"/>
      <c r="U1980" s="88">
        <f t="shared" si="74"/>
        <v>80.978566136652077</v>
      </c>
    </row>
    <row r="1981" spans="1:21" x14ac:dyDescent="0.35">
      <c r="A1981" s="30"/>
      <c r="B1981" s="4"/>
      <c r="C1981" s="4"/>
      <c r="D1981" s="4"/>
      <c r="E1981" s="4"/>
      <c r="F1981" s="4"/>
      <c r="G1981" s="4"/>
      <c r="H1981" s="17"/>
      <c r="K1981" s="40">
        <f>(J1908-$B$1579)*EXP(10*$K$22)</f>
        <v>0.50555691683408321</v>
      </c>
      <c r="L1981" s="87"/>
      <c r="M1981" s="87"/>
      <c r="N1981" s="87"/>
      <c r="O1981" s="87"/>
      <c r="P1981" s="87"/>
      <c r="Q1981" s="87"/>
      <c r="R1981" s="87"/>
      <c r="S1981" s="87"/>
      <c r="T1981" s="87"/>
      <c r="U1981" s="88">
        <f t="shared" si="74"/>
        <v>81.126908920045423</v>
      </c>
    </row>
    <row r="1982" spans="1:21" x14ac:dyDescent="0.35">
      <c r="A1982" s="30"/>
      <c r="B1982" s="4"/>
      <c r="C1982" s="4"/>
      <c r="D1982" s="4"/>
      <c r="E1982" s="4"/>
      <c r="F1982" s="4"/>
      <c r="G1982" s="4"/>
      <c r="H1982" s="17"/>
      <c r="K1982" s="8">
        <f>J1909*EXP(10*K$22)</f>
        <v>0.50488167058188871</v>
      </c>
      <c r="L1982" s="87"/>
      <c r="M1982" s="87"/>
      <c r="N1982" s="87"/>
      <c r="O1982" s="87"/>
      <c r="P1982" s="87"/>
      <c r="Q1982" s="87"/>
      <c r="R1982" s="87"/>
      <c r="S1982" s="87"/>
      <c r="T1982" s="87"/>
      <c r="U1982" s="88">
        <f t="shared" si="74"/>
        <v>81.165550798462917</v>
      </c>
    </row>
    <row r="1983" spans="1:21" x14ac:dyDescent="0.35">
      <c r="A1983" s="30"/>
      <c r="B1983" s="4"/>
      <c r="C1983" s="4"/>
      <c r="D1983" s="4"/>
      <c r="E1983" s="4"/>
      <c r="F1983" s="4"/>
      <c r="G1983" s="4"/>
      <c r="H1983" s="17"/>
      <c r="K1983" s="40">
        <f>(J1909-$B$1579)*EXP(10*$K$22)</f>
        <v>0.50228316281427721</v>
      </c>
      <c r="L1983" s="87"/>
      <c r="M1983" s="87"/>
      <c r="N1983" s="87"/>
      <c r="O1983" s="87"/>
      <c r="P1983" s="87"/>
      <c r="Q1983" s="87"/>
      <c r="R1983" s="87"/>
      <c r="S1983" s="87"/>
      <c r="T1983" s="87"/>
      <c r="U1983" s="88">
        <f t="shared" si="74"/>
        <v>81.314615818480661</v>
      </c>
    </row>
    <row r="1984" spans="1:21" x14ac:dyDescent="0.35">
      <c r="A1984" s="30"/>
      <c r="B1984" s="4"/>
      <c r="C1984" s="4"/>
      <c r="D1984" s="4"/>
      <c r="E1984" s="4"/>
      <c r="F1984" s="4"/>
      <c r="G1984" s="4"/>
      <c r="H1984" s="17"/>
      <c r="K1984" s="8">
        <f>J1910*EXP(10*K$22)</f>
        <v>0.50406381947439027</v>
      </c>
      <c r="L1984" s="87"/>
      <c r="M1984" s="87"/>
      <c r="N1984" s="87"/>
      <c r="O1984" s="87"/>
      <c r="P1984" s="87"/>
      <c r="Q1984" s="87"/>
      <c r="R1984" s="87"/>
      <c r="S1984" s="87"/>
      <c r="T1984" s="87"/>
      <c r="U1984" s="88">
        <f t="shared" si="74"/>
        <v>81.212405313709908</v>
      </c>
    </row>
    <row r="1985" spans="1:21" x14ac:dyDescent="0.35">
      <c r="A1985" s="30"/>
      <c r="B1985" s="4"/>
      <c r="C1985" s="4"/>
      <c r="D1985" s="4"/>
      <c r="E1985" s="4"/>
      <c r="F1985" s="4"/>
      <c r="G1985" s="4"/>
      <c r="H1985" s="17"/>
      <c r="K1985" s="40">
        <f>(J1910-$B$1579)*EXP(10*$K$22)</f>
        <v>0.50146531170677877</v>
      </c>
      <c r="L1985" s="87"/>
      <c r="M1985" s="87"/>
      <c r="N1985" s="87"/>
      <c r="O1985" s="87"/>
      <c r="P1985" s="87"/>
      <c r="Q1985" s="87"/>
      <c r="R1985" s="87"/>
      <c r="S1985" s="87"/>
      <c r="T1985" s="87"/>
      <c r="U1985" s="88">
        <f t="shared" si="74"/>
        <v>81.361651586731568</v>
      </c>
    </row>
    <row r="1986" spans="1:21" x14ac:dyDescent="0.35">
      <c r="A1986" s="30"/>
      <c r="B1986" s="4"/>
      <c r="C1986" s="4"/>
      <c r="D1986" s="4"/>
      <c r="E1986" s="4"/>
      <c r="F1986" s="4"/>
      <c r="G1986" s="4"/>
      <c r="H1986" s="17"/>
      <c r="K1986" s="8">
        <f>J1911*EXP(10*K$22)</f>
        <v>0.50079006545458438</v>
      </c>
      <c r="L1986" s="87"/>
      <c r="M1986" s="87"/>
      <c r="N1986" s="87"/>
      <c r="O1986" s="87"/>
      <c r="P1986" s="87"/>
      <c r="Q1986" s="87"/>
      <c r="R1986" s="87"/>
      <c r="S1986" s="87"/>
      <c r="T1986" s="87"/>
      <c r="U1986" s="88">
        <f t="shared" si="74"/>
        <v>81.400529102437034</v>
      </c>
    </row>
    <row r="1987" spans="1:21" x14ac:dyDescent="0.35">
      <c r="A1987" s="30"/>
      <c r="B1987" s="4"/>
      <c r="C1987" s="4"/>
      <c r="D1987" s="4"/>
      <c r="E1987" s="4"/>
      <c r="F1987" s="4"/>
      <c r="G1987" s="4"/>
      <c r="H1987" s="17"/>
      <c r="K1987" s="40">
        <f>(J1911-$B$1579)*EXP(10*$K$22)</f>
        <v>0.49819155768697282</v>
      </c>
      <c r="L1987" s="87"/>
      <c r="M1987" s="87"/>
      <c r="N1987" s="87"/>
      <c r="O1987" s="87"/>
      <c r="P1987" s="87"/>
      <c r="Q1987" s="87"/>
      <c r="R1987" s="87"/>
      <c r="S1987" s="87"/>
      <c r="T1987" s="87"/>
      <c r="U1987" s="88">
        <f t="shared" si="74"/>
        <v>81.550504228438569</v>
      </c>
    </row>
    <row r="1988" spans="1:21" x14ac:dyDescent="0.35">
      <c r="A1988" s="30"/>
      <c r="B1988" s="4"/>
      <c r="C1988" s="4"/>
      <c r="D1988" s="4"/>
      <c r="E1988" s="4"/>
      <c r="F1988" s="4"/>
      <c r="G1988" s="4"/>
      <c r="H1988" s="17"/>
      <c r="K1988" s="8">
        <f>J1912*EXP(10*K$22)</f>
        <v>0.5130997342272835</v>
      </c>
      <c r="L1988" s="87"/>
      <c r="M1988" s="87"/>
      <c r="N1988" s="87"/>
      <c r="O1988" s="87"/>
      <c r="P1988" s="87"/>
      <c r="Q1988" s="87"/>
      <c r="R1988" s="87"/>
      <c r="S1988" s="87"/>
      <c r="T1988" s="87"/>
      <c r="U1988" s="88">
        <f t="shared" si="74"/>
        <v>80.697877080026217</v>
      </c>
    </row>
    <row r="1989" spans="1:21" x14ac:dyDescent="0.35">
      <c r="A1989" s="30"/>
      <c r="B1989" s="4"/>
      <c r="C1989" s="4"/>
      <c r="D1989" s="4"/>
      <c r="E1989" s="4"/>
      <c r="F1989" s="4"/>
      <c r="G1989" s="4"/>
      <c r="H1989" s="17"/>
      <c r="K1989" s="40">
        <f>(J1912-$B$1579)*EXP(10*$K$22)</f>
        <v>0.510501226459672</v>
      </c>
      <c r="L1989" s="87"/>
      <c r="M1989" s="87"/>
      <c r="N1989" s="87"/>
      <c r="O1989" s="87"/>
      <c r="P1989" s="87"/>
      <c r="Q1989" s="87"/>
      <c r="R1989" s="87"/>
      <c r="S1989" s="87"/>
      <c r="T1989" s="87"/>
      <c r="U1989" s="88">
        <f t="shared" si="74"/>
        <v>80.845138988256011</v>
      </c>
    </row>
    <row r="1990" spans="1:21" x14ac:dyDescent="0.35">
      <c r="A1990" s="30"/>
      <c r="B1990" s="4"/>
      <c r="C1990" s="4"/>
      <c r="D1990" s="4"/>
      <c r="E1990" s="4"/>
      <c r="F1990" s="4"/>
      <c r="G1990" s="4"/>
      <c r="H1990" s="17"/>
      <c r="K1990" s="8">
        <f>J1913*EXP(10*K$22)</f>
        <v>0.50982598020747749</v>
      </c>
      <c r="L1990" s="87"/>
      <c r="M1990" s="87"/>
      <c r="N1990" s="87"/>
      <c r="O1990" s="87"/>
      <c r="P1990" s="87"/>
      <c r="Q1990" s="87"/>
      <c r="R1990" s="87"/>
      <c r="S1990" s="87"/>
      <c r="T1990" s="87"/>
      <c r="U1990" s="88">
        <f t="shared" si="74"/>
        <v>80.883498969257232</v>
      </c>
    </row>
    <row r="1991" spans="1:21" x14ac:dyDescent="0.35">
      <c r="A1991" s="30"/>
      <c r="B1991" s="4"/>
      <c r="C1991" s="4"/>
      <c r="D1991" s="4"/>
      <c r="E1991" s="4"/>
      <c r="F1991" s="4"/>
      <c r="G1991" s="4"/>
      <c r="H1991" s="17"/>
      <c r="K1991" s="40">
        <f>(J1913-$B$1579)*EXP(10*$K$22)</f>
        <v>0.50722747243986599</v>
      </c>
      <c r="L1991" s="87"/>
      <c r="M1991" s="87"/>
      <c r="N1991" s="87"/>
      <c r="O1991" s="87"/>
      <c r="P1991" s="87"/>
      <c r="Q1991" s="87"/>
      <c r="R1991" s="87"/>
      <c r="S1991" s="87"/>
      <c r="T1991" s="87"/>
      <c r="U1991" s="88">
        <f t="shared" si="74"/>
        <v>81.031475225306153</v>
      </c>
    </row>
    <row r="1992" spans="1:21" x14ac:dyDescent="0.35">
      <c r="A1992" s="30"/>
      <c r="B1992" s="4"/>
      <c r="C1992" s="4"/>
      <c r="D1992" s="4"/>
      <c r="E1992" s="4"/>
      <c r="F1992" s="4"/>
      <c r="G1992" s="4"/>
      <c r="H1992" s="17"/>
      <c r="K1992" s="8">
        <f>J1914*EXP(10*K$22)</f>
        <v>0.50900812909997906</v>
      </c>
      <c r="L1992" s="87"/>
      <c r="M1992" s="87"/>
      <c r="N1992" s="87"/>
      <c r="O1992" s="87"/>
      <c r="P1992" s="87"/>
      <c r="Q1992" s="87"/>
      <c r="R1992" s="87"/>
      <c r="S1992" s="87"/>
      <c r="T1992" s="87"/>
      <c r="U1992" s="88">
        <f t="shared" si="74"/>
        <v>80.930011486492958</v>
      </c>
    </row>
    <row r="1993" spans="1:21" x14ac:dyDescent="0.35">
      <c r="A1993" s="30"/>
      <c r="B1993" s="4"/>
      <c r="C1993" s="4"/>
      <c r="D1993" s="4"/>
      <c r="E1993" s="4"/>
      <c r="F1993" s="4"/>
      <c r="G1993" s="4"/>
      <c r="H1993" s="17"/>
      <c r="K1993" s="40">
        <f>(J1914-$B$1579)*EXP(10*$K$22)</f>
        <v>0.50640962133236755</v>
      </c>
      <c r="L1993" s="87"/>
      <c r="M1993" s="87"/>
      <c r="N1993" s="87"/>
      <c r="O1993" s="87"/>
      <c r="P1993" s="87"/>
      <c r="Q1993" s="87"/>
      <c r="R1993" s="87"/>
      <c r="S1993" s="87"/>
      <c r="T1993" s="87"/>
      <c r="U1993" s="88">
        <f t="shared" si="74"/>
        <v>81.078167012782387</v>
      </c>
    </row>
    <row r="1994" spans="1:21" x14ac:dyDescent="0.35">
      <c r="A1994" s="30"/>
      <c r="B1994" s="4"/>
      <c r="C1994" s="4"/>
      <c r="D1994" s="4"/>
      <c r="E1994" s="4"/>
      <c r="F1994" s="4"/>
      <c r="G1994" s="4"/>
      <c r="H1994" s="17"/>
      <c r="K1994" s="8">
        <f>J1915*EXP(10*K$22)</f>
        <v>0.50573437508017305</v>
      </c>
      <c r="L1994" s="87"/>
      <c r="M1994" s="87"/>
      <c r="N1994" s="87"/>
      <c r="O1994" s="87"/>
      <c r="P1994" s="87"/>
      <c r="Q1994" s="87"/>
      <c r="R1994" s="87"/>
      <c r="S1994" s="87"/>
      <c r="T1994" s="87"/>
      <c r="U1994" s="88">
        <f t="shared" si="74"/>
        <v>81.116760053382833</v>
      </c>
    </row>
    <row r="1995" spans="1:21" x14ac:dyDescent="0.35">
      <c r="A1995" s="30"/>
      <c r="B1995" s="4"/>
      <c r="C1995" s="4"/>
      <c r="D1995" s="4"/>
      <c r="E1995" s="4"/>
      <c r="F1995" s="4"/>
      <c r="G1995" s="4"/>
      <c r="H1995" s="17"/>
      <c r="K1995" s="40">
        <f>(J1915-$B$1579)*EXP(10*$K$22)</f>
        <v>0.50313586731256144</v>
      </c>
      <c r="L1995" s="87"/>
      <c r="M1995" s="87"/>
      <c r="N1995" s="87"/>
      <c r="O1995" s="87"/>
      <c r="P1995" s="87"/>
      <c r="Q1995" s="87"/>
      <c r="R1995" s="87"/>
      <c r="S1995" s="87"/>
      <c r="T1995" s="87"/>
      <c r="U1995" s="88">
        <f t="shared" si="74"/>
        <v>81.2656364475191</v>
      </c>
    </row>
    <row r="1996" spans="1:21" x14ac:dyDescent="0.35">
      <c r="A1996" s="30"/>
      <c r="B1996" s="4"/>
      <c r="C1996" s="4"/>
      <c r="D1996" s="4"/>
      <c r="E1996" s="4"/>
      <c r="F1996" s="4"/>
      <c r="G1996" s="4"/>
      <c r="H1996" s="17"/>
      <c r="K1996" s="8">
        <f>J1916*EXP(10*K$22)</f>
        <v>0.50955602989731075</v>
      </c>
      <c r="L1996" s="87"/>
      <c r="M1996" s="87"/>
      <c r="N1996" s="87"/>
      <c r="O1996" s="87"/>
      <c r="P1996" s="87"/>
      <c r="Q1996" s="87"/>
      <c r="R1996" s="87"/>
      <c r="S1996" s="87"/>
      <c r="T1996" s="87"/>
      <c r="U1996" s="88">
        <f t="shared" si="74"/>
        <v>80.898845260983833</v>
      </c>
    </row>
    <row r="1997" spans="1:21" x14ac:dyDescent="0.35">
      <c r="A1997" s="30"/>
      <c r="B1997" s="4"/>
      <c r="C1997" s="4"/>
      <c r="D1997" s="4"/>
      <c r="E1997" s="4"/>
      <c r="F1997" s="4"/>
      <c r="G1997" s="4"/>
      <c r="H1997" s="17"/>
      <c r="K1997" s="40">
        <f>(J1916-$B$1579)*EXP(10*$K$22)</f>
        <v>0.50695752212969925</v>
      </c>
      <c r="L1997" s="87"/>
      <c r="M1997" s="87"/>
      <c r="N1997" s="87"/>
      <c r="O1997" s="87"/>
      <c r="P1997" s="87"/>
      <c r="Q1997" s="87"/>
      <c r="R1997" s="87"/>
      <c r="S1997" s="87"/>
      <c r="T1997" s="87"/>
      <c r="U1997" s="88">
        <f t="shared" si="74"/>
        <v>81.046880653250653</v>
      </c>
    </row>
    <row r="1998" spans="1:21" x14ac:dyDescent="0.35">
      <c r="A1998" s="30"/>
      <c r="B1998" s="4"/>
      <c r="C1998" s="4"/>
      <c r="D1998" s="4"/>
      <c r="E1998" s="4"/>
      <c r="F1998" s="4"/>
      <c r="G1998" s="4"/>
      <c r="H1998" s="17"/>
      <c r="K1998" s="8">
        <f>J1917*EXP(10*K$22)</f>
        <v>0.50628227587750474</v>
      </c>
      <c r="L1998" s="87"/>
      <c r="M1998" s="87"/>
      <c r="N1998" s="87"/>
      <c r="O1998" s="87"/>
      <c r="P1998" s="87"/>
      <c r="Q1998" s="87"/>
      <c r="R1998" s="87"/>
      <c r="S1998" s="87"/>
      <c r="T1998" s="87"/>
      <c r="U1998" s="88">
        <f t="shared" si="74"/>
        <v>81.085442362210117</v>
      </c>
    </row>
    <row r="1999" spans="1:21" x14ac:dyDescent="0.35">
      <c r="A1999" s="30"/>
      <c r="B1999" s="4"/>
      <c r="C1999" s="4"/>
      <c r="D1999" s="4"/>
      <c r="E1999" s="4"/>
      <c r="F1999" s="4"/>
      <c r="G1999" s="4"/>
      <c r="H1999" s="17"/>
      <c r="K1999" s="40">
        <f>(J1917-$B$1579)*EXP(10*$K$22)</f>
        <v>0.50368376810989324</v>
      </c>
      <c r="L1999" s="87"/>
      <c r="M1999" s="87"/>
      <c r="N1999" s="87"/>
      <c r="O1999" s="87"/>
      <c r="P1999" s="87"/>
      <c r="Q1999" s="87"/>
      <c r="R1999" s="87"/>
      <c r="S1999" s="87"/>
      <c r="T1999" s="87"/>
      <c r="U1999" s="88">
        <f t="shared" si="74"/>
        <v>81.234197744647716</v>
      </c>
    </row>
    <row r="2000" spans="1:21" x14ac:dyDescent="0.35">
      <c r="A2000" s="30"/>
      <c r="B2000" s="4"/>
      <c r="C2000" s="4"/>
      <c r="D2000" s="4"/>
      <c r="E2000" s="4"/>
      <c r="F2000" s="4"/>
      <c r="G2000" s="4"/>
      <c r="H2000" s="17"/>
      <c r="K2000" s="8">
        <f>J1918*EXP(10*K$22)</f>
        <v>0.5054644247700063</v>
      </c>
      <c r="L2000" s="87"/>
      <c r="M2000" s="87"/>
      <c r="N2000" s="87"/>
      <c r="O2000" s="87"/>
      <c r="P2000" s="87"/>
      <c r="Q2000" s="87"/>
      <c r="R2000" s="87"/>
      <c r="S2000" s="87"/>
      <c r="T2000" s="87"/>
      <c r="U2000" s="88">
        <f t="shared" si="74"/>
        <v>81.132199615640559</v>
      </c>
    </row>
    <row r="2001" spans="1:21" x14ac:dyDescent="0.35">
      <c r="A2001" s="30"/>
      <c r="B2001" s="4"/>
      <c r="C2001" s="4"/>
      <c r="D2001" s="4"/>
      <c r="E2001" s="4"/>
      <c r="F2001" s="4"/>
      <c r="G2001" s="4"/>
      <c r="H2001" s="17"/>
      <c r="K2001" s="40">
        <f>(J1918-$B$1579)*EXP(10*$K$22)</f>
        <v>0.5028659170023948</v>
      </c>
      <c r="L2001" s="87"/>
      <c r="M2001" s="87"/>
      <c r="N2001" s="87"/>
      <c r="O2001" s="87"/>
      <c r="P2001" s="87"/>
      <c r="Q2001" s="87"/>
      <c r="R2001" s="87"/>
      <c r="S2001" s="87"/>
      <c r="T2001" s="87"/>
      <c r="U2001" s="88">
        <f t="shared" si="74"/>
        <v>81.28113568645648</v>
      </c>
    </row>
    <row r="2002" spans="1:21" x14ac:dyDescent="0.35">
      <c r="A2002" s="30"/>
      <c r="B2002" s="4"/>
      <c r="C2002" s="4"/>
      <c r="D2002" s="4"/>
      <c r="E2002" s="4"/>
      <c r="F2002" s="4"/>
      <c r="G2002" s="4"/>
      <c r="H2002" s="17"/>
      <c r="K2002" s="8">
        <f>J1919*EXP(10*K$22)</f>
        <v>0.50219067075020041</v>
      </c>
      <c r="L2002" s="87"/>
      <c r="M2002" s="87"/>
      <c r="N2002" s="87"/>
      <c r="O2002" s="87"/>
      <c r="P2002" s="87"/>
      <c r="Q2002" s="87"/>
      <c r="R2002" s="87"/>
      <c r="S2002" s="87"/>
      <c r="T2002" s="87"/>
      <c r="U2002" s="88">
        <f t="shared" si="74"/>
        <v>81.31993229866319</v>
      </c>
    </row>
    <row r="2003" spans="1:21" x14ac:dyDescent="0.35">
      <c r="A2003" s="30"/>
      <c r="B2003" s="4"/>
      <c r="C2003" s="4"/>
      <c r="D2003" s="4"/>
      <c r="E2003" s="4"/>
      <c r="F2003" s="4"/>
      <c r="G2003" s="4"/>
      <c r="H2003" s="17"/>
      <c r="K2003" s="40">
        <f>(J1919-$B$1579)*EXP(10*$K$22)</f>
        <v>0.49959216298258885</v>
      </c>
      <c r="L2003" s="87"/>
      <c r="M2003" s="87"/>
      <c r="N2003" s="87"/>
      <c r="O2003" s="87"/>
      <c r="P2003" s="87"/>
      <c r="Q2003" s="87"/>
      <c r="R2003" s="87"/>
      <c r="S2003" s="87"/>
      <c r="T2003" s="87"/>
      <c r="U2003" s="88">
        <f t="shared" si="74"/>
        <v>81.469594948538472</v>
      </c>
    </row>
    <row r="2004" spans="1:21" x14ac:dyDescent="0.35">
      <c r="A2004" s="30"/>
      <c r="B2004" s="4"/>
      <c r="C2004" s="4"/>
      <c r="D2004" s="4"/>
      <c r="E2004" s="4"/>
      <c r="F2004" s="4"/>
      <c r="G2004" s="4"/>
      <c r="H2004" s="17"/>
      <c r="K2004" s="8">
        <f>J1920*EXP(10*K$22)</f>
        <v>0.51450033952289953</v>
      </c>
      <c r="L2004" s="87"/>
      <c r="M2004" s="87"/>
      <c r="N2004" s="87"/>
      <c r="O2004" s="87"/>
      <c r="P2004" s="87"/>
      <c r="Q2004" s="87"/>
      <c r="R2004" s="87"/>
      <c r="S2004" s="87"/>
      <c r="T2004" s="87"/>
      <c r="U2004" s="88">
        <f t="shared" si="74"/>
        <v>80.618736222389273</v>
      </c>
    </row>
    <row r="2005" spans="1:21" x14ac:dyDescent="0.35">
      <c r="A2005" s="30"/>
      <c r="B2005" s="4"/>
      <c r="C2005" s="4"/>
      <c r="D2005" s="4"/>
      <c r="E2005" s="4"/>
      <c r="F2005" s="4"/>
      <c r="G2005" s="4"/>
      <c r="H2005" s="17"/>
      <c r="K2005" s="40">
        <f>(J1920-$B$1579)*EXP(10*$K$22)</f>
        <v>0.51190183175528803</v>
      </c>
      <c r="L2005" s="87"/>
      <c r="M2005" s="87"/>
      <c r="N2005" s="87"/>
      <c r="O2005" s="87"/>
      <c r="P2005" s="87"/>
      <c r="Q2005" s="87"/>
      <c r="R2005" s="87"/>
      <c r="S2005" s="87"/>
      <c r="T2005" s="87"/>
      <c r="U2005" s="88">
        <f t="shared" si="74"/>
        <v>80.765694091272977</v>
      </c>
    </row>
    <row r="2006" spans="1:21" x14ac:dyDescent="0.35">
      <c r="A2006" s="30"/>
      <c r="B2006" s="4"/>
      <c r="C2006" s="4"/>
      <c r="D2006" s="4"/>
      <c r="E2006" s="4"/>
      <c r="F2006" s="4"/>
      <c r="G2006" s="4"/>
      <c r="H2006" s="17"/>
      <c r="K2006" s="8">
        <f>J1921*EXP(10*K$22)</f>
        <v>0.51122658550309352</v>
      </c>
      <c r="L2006" s="87"/>
      <c r="M2006" s="87"/>
      <c r="N2006" s="87"/>
      <c r="O2006" s="87"/>
      <c r="P2006" s="87"/>
      <c r="Q2006" s="87"/>
      <c r="R2006" s="87"/>
      <c r="S2006" s="87"/>
      <c r="T2006" s="87"/>
      <c r="U2006" s="88">
        <f t="shared" si="74"/>
        <v>80.803974778032853</v>
      </c>
    </row>
    <row r="2007" spans="1:21" x14ac:dyDescent="0.35">
      <c r="A2007" s="30"/>
      <c r="B2007" s="4"/>
      <c r="C2007" s="4"/>
      <c r="D2007" s="4"/>
      <c r="E2007" s="4"/>
      <c r="F2007" s="4"/>
      <c r="G2007" s="4"/>
      <c r="H2007" s="17"/>
      <c r="K2007" s="40">
        <f>(J1921-$B$1579)*EXP(10*$K$22)</f>
        <v>0.50862807773548202</v>
      </c>
      <c r="L2007" s="87"/>
      <c r="M2007" s="87"/>
      <c r="N2007" s="87"/>
      <c r="O2007" s="87"/>
      <c r="P2007" s="87"/>
      <c r="Q2007" s="87"/>
      <c r="R2007" s="87"/>
      <c r="S2007" s="87"/>
      <c r="T2007" s="87"/>
      <c r="U2007" s="88">
        <f t="shared" si="74"/>
        <v>80.951644780922209</v>
      </c>
    </row>
    <row r="2008" spans="1:21" x14ac:dyDescent="0.35">
      <c r="A2008" s="30"/>
      <c r="B2008" s="4"/>
      <c r="C2008" s="4"/>
      <c r="D2008" s="4"/>
      <c r="E2008" s="4"/>
      <c r="F2008" s="4"/>
      <c r="G2008" s="4"/>
      <c r="H2008" s="17"/>
      <c r="K2008" s="8">
        <f>J1922*EXP(10*K$22)</f>
        <v>0.5104087343955952</v>
      </c>
      <c r="L2008" s="87"/>
      <c r="M2008" s="87"/>
      <c r="N2008" s="87"/>
      <c r="O2008" s="87"/>
      <c r="P2008" s="87"/>
      <c r="Q2008" s="87"/>
      <c r="R2008" s="87"/>
      <c r="S2008" s="87"/>
      <c r="T2008" s="87"/>
      <c r="U2008" s="88">
        <f t="shared" si="74"/>
        <v>80.85039109585118</v>
      </c>
    </row>
    <row r="2009" spans="1:21" x14ac:dyDescent="0.35">
      <c r="A2009" s="30"/>
      <c r="B2009" s="4"/>
      <c r="C2009" s="4"/>
      <c r="D2009" s="4"/>
      <c r="E2009" s="4"/>
      <c r="F2009" s="4"/>
      <c r="G2009" s="4"/>
      <c r="H2009" s="17"/>
      <c r="K2009" s="40">
        <f>(J1922-$B$1579)*EXP(10*$K$22)</f>
        <v>0.50781022662798359</v>
      </c>
      <c r="L2009" s="87"/>
      <c r="M2009" s="87"/>
      <c r="N2009" s="87"/>
      <c r="O2009" s="87"/>
      <c r="P2009" s="87"/>
      <c r="Q2009" s="87"/>
      <c r="R2009" s="87"/>
      <c r="S2009" s="87"/>
      <c r="T2009" s="87"/>
      <c r="U2009" s="88">
        <f t="shared" si="74"/>
        <v>80.998239812571569</v>
      </c>
    </row>
    <row r="2010" spans="1:21" x14ac:dyDescent="0.35">
      <c r="A2010" s="30"/>
      <c r="B2010" s="4"/>
      <c r="C2010" s="4"/>
      <c r="D2010" s="4"/>
      <c r="E2010" s="4"/>
      <c r="F2010" s="4"/>
      <c r="G2010" s="4"/>
      <c r="H2010" s="17"/>
      <c r="K2010" s="8">
        <f>J1923*EXP(10*K$22)</f>
        <v>0.50713498037578919</v>
      </c>
      <c r="L2010" s="87"/>
      <c r="M2010" s="87"/>
      <c r="N2010" s="87"/>
      <c r="O2010" s="87"/>
      <c r="P2010" s="87"/>
      <c r="Q2010" s="87"/>
      <c r="R2010" s="87"/>
      <c r="S2010" s="87"/>
      <c r="T2010" s="87"/>
      <c r="U2010" s="88">
        <f t="shared" si="74"/>
        <v>81.036752835571335</v>
      </c>
    </row>
    <row r="2011" spans="1:21" x14ac:dyDescent="0.35">
      <c r="A2011" s="30"/>
      <c r="B2011" s="4"/>
      <c r="C2011" s="4"/>
      <c r="D2011" s="4"/>
      <c r="E2011" s="4"/>
      <c r="F2011" s="4"/>
      <c r="G2011" s="4"/>
      <c r="H2011" s="17"/>
      <c r="K2011" s="40">
        <f>(J1923-$B$1579)*EXP(10*$K$22)</f>
        <v>0.50453647260817758</v>
      </c>
      <c r="L2011" s="87"/>
      <c r="M2011" s="87"/>
      <c r="N2011" s="87"/>
      <c r="O2011" s="87"/>
      <c r="P2011" s="87"/>
      <c r="Q2011" s="87"/>
      <c r="R2011" s="87"/>
      <c r="S2011" s="87"/>
      <c r="T2011" s="87"/>
      <c r="U2011" s="88">
        <f t="shared" si="74"/>
        <v>81.18532017935685</v>
      </c>
    </row>
    <row r="2012" spans="1:21" x14ac:dyDescent="0.35">
      <c r="A2012" s="30"/>
      <c r="B2012" s="4"/>
      <c r="C2012" s="4"/>
      <c r="D2012" s="4"/>
      <c r="E2012" s="4"/>
      <c r="F2012" s="4"/>
      <c r="G2012" s="4"/>
      <c r="H2012" s="17"/>
      <c r="K2012" s="8">
        <f>J1924*EXP(10*K$22)</f>
        <v>0.51577893804117125</v>
      </c>
      <c r="L2012" s="87"/>
      <c r="M2012" s="87"/>
      <c r="N2012" s="87"/>
      <c r="O2012" s="87"/>
      <c r="P2012" s="87"/>
      <c r="Q2012" s="87"/>
      <c r="R2012" s="87"/>
      <c r="S2012" s="87"/>
      <c r="T2012" s="87"/>
      <c r="U2012" s="88">
        <f t="shared" si="74"/>
        <v>80.546631795805723</v>
      </c>
    </row>
    <row r="2013" spans="1:21" x14ac:dyDescent="0.35">
      <c r="A2013" s="30"/>
      <c r="B2013" s="4"/>
      <c r="C2013" s="4"/>
      <c r="D2013" s="4"/>
      <c r="E2013" s="4"/>
      <c r="F2013" s="4"/>
      <c r="G2013" s="4"/>
      <c r="H2013" s="17"/>
      <c r="K2013" s="40">
        <f>(J1924-$B$1579)*EXP(10*$K$22)</f>
        <v>0.51318043027355975</v>
      </c>
      <c r="L2013" s="87"/>
      <c r="M2013" s="87"/>
      <c r="N2013" s="87"/>
      <c r="O2013" s="87"/>
      <c r="P2013" s="87"/>
      <c r="Q2013" s="87"/>
      <c r="R2013" s="87"/>
      <c r="S2013" s="87"/>
      <c r="T2013" s="87"/>
      <c r="U2013" s="88">
        <f t="shared" si="74"/>
        <v>80.693312931599309</v>
      </c>
    </row>
    <row r="2014" spans="1:21" x14ac:dyDescent="0.35">
      <c r="A2014" s="30"/>
      <c r="B2014" s="4"/>
      <c r="C2014" s="4"/>
      <c r="D2014" s="4"/>
      <c r="E2014" s="4"/>
      <c r="F2014" s="4"/>
      <c r="G2014" s="4"/>
      <c r="H2014" s="17"/>
      <c r="K2014" s="8">
        <f>J1925*EXP(10*K$22)</f>
        <v>0.51250518402136525</v>
      </c>
      <c r="L2014" s="87"/>
      <c r="M2014" s="87"/>
      <c r="N2014" s="87"/>
      <c r="O2014" s="87"/>
      <c r="P2014" s="87"/>
      <c r="Q2014" s="87"/>
      <c r="R2014" s="87"/>
      <c r="S2014" s="87"/>
      <c r="T2014" s="87"/>
      <c r="U2014" s="88">
        <f t="shared" si="74"/>
        <v>80.731521445917679</v>
      </c>
    </row>
    <row r="2015" spans="1:21" x14ac:dyDescent="0.35">
      <c r="A2015" s="30"/>
      <c r="B2015" s="4"/>
      <c r="C2015" s="4"/>
      <c r="D2015" s="4"/>
      <c r="E2015" s="4"/>
      <c r="F2015" s="4"/>
      <c r="G2015" s="4"/>
      <c r="H2015" s="17"/>
      <c r="K2015" s="40">
        <f>(J1925-$B$1579)*EXP(10*$K$22)</f>
        <v>0.50990667625375374</v>
      </c>
      <c r="L2015" s="87"/>
      <c r="M2015" s="87"/>
      <c r="N2015" s="87"/>
      <c r="O2015" s="87"/>
      <c r="P2015" s="87"/>
      <c r="Q2015" s="87"/>
      <c r="R2015" s="87"/>
      <c r="S2015" s="87"/>
      <c r="T2015" s="87"/>
      <c r="U2015" s="88">
        <f t="shared" si="74"/>
        <v>80.878912702728826</v>
      </c>
    </row>
    <row r="2016" spans="1:21" x14ac:dyDescent="0.35">
      <c r="A2016" s="30"/>
      <c r="B2016" s="4"/>
      <c r="C2016" s="4"/>
      <c r="D2016" s="4"/>
      <c r="E2016" s="4"/>
      <c r="F2016" s="4"/>
      <c r="G2016" s="4"/>
      <c r="H2016" s="17"/>
      <c r="K2016" s="8">
        <f>J1926*EXP(10*K$22)</f>
        <v>0.51168733291386681</v>
      </c>
      <c r="L2016" s="87"/>
      <c r="M2016" s="87"/>
      <c r="N2016" s="87"/>
      <c r="O2016" s="87"/>
      <c r="P2016" s="87"/>
      <c r="Q2016" s="87"/>
      <c r="R2016" s="87"/>
      <c r="S2016" s="87"/>
      <c r="T2016" s="87"/>
      <c r="U2016" s="88">
        <f t="shared" si="74"/>
        <v>80.777850204597513</v>
      </c>
    </row>
    <row r="2017" spans="1:21" x14ac:dyDescent="0.35">
      <c r="A2017" s="30"/>
      <c r="B2017" s="4"/>
      <c r="C2017" s="4"/>
      <c r="D2017" s="4"/>
      <c r="E2017" s="4"/>
      <c r="F2017" s="4"/>
      <c r="G2017" s="4"/>
      <c r="H2017" s="17"/>
      <c r="K2017" s="40">
        <f>(J1926-$B$1579)*EXP(10*$K$22)</f>
        <v>0.5090888251462552</v>
      </c>
      <c r="L2017" s="87"/>
      <c r="M2017" s="87"/>
      <c r="N2017" s="87"/>
      <c r="O2017" s="87"/>
      <c r="P2017" s="87"/>
      <c r="Q2017" s="87"/>
      <c r="R2017" s="87"/>
      <c r="S2017" s="87"/>
      <c r="T2017" s="87"/>
      <c r="U2017" s="88">
        <f t="shared" si="74"/>
        <v>80.9254196693078</v>
      </c>
    </row>
    <row r="2018" spans="1:21" x14ac:dyDescent="0.35">
      <c r="A2018" s="30"/>
      <c r="B2018" s="4"/>
      <c r="C2018" s="4"/>
      <c r="D2018" s="4"/>
      <c r="E2018" s="4"/>
      <c r="F2018" s="4"/>
      <c r="G2018" s="4"/>
      <c r="H2018" s="17"/>
      <c r="K2018" s="8">
        <f>J1927*EXP(10*K$22)</f>
        <v>0.5084135788940608</v>
      </c>
      <c r="L2018" s="87"/>
      <c r="M2018" s="87"/>
      <c r="N2018" s="87"/>
      <c r="O2018" s="87"/>
      <c r="P2018" s="87"/>
      <c r="Q2018" s="87"/>
      <c r="R2018" s="87"/>
      <c r="S2018" s="87"/>
      <c r="T2018" s="87"/>
      <c r="U2018" s="88">
        <f t="shared" si="74"/>
        <v>80.963859862130022</v>
      </c>
    </row>
    <row r="2019" spans="1:21" x14ac:dyDescent="0.35">
      <c r="A2019" s="30"/>
      <c r="B2019" s="4"/>
      <c r="C2019" s="4"/>
      <c r="D2019" s="4"/>
      <c r="E2019" s="4"/>
      <c r="F2019" s="4"/>
      <c r="G2019" s="4"/>
      <c r="H2019" s="17"/>
      <c r="K2019" s="40">
        <f>(J1927-$B$1579)*EXP(10*$K$22)</f>
        <v>0.50581507112644919</v>
      </c>
      <c r="L2019" s="87"/>
      <c r="M2019" s="87"/>
      <c r="N2019" s="87"/>
      <c r="O2019" s="87"/>
      <c r="P2019" s="87"/>
      <c r="Q2019" s="87"/>
      <c r="R2019" s="87"/>
      <c r="S2019" s="87"/>
      <c r="T2019" s="87"/>
      <c r="U2019" s="88">
        <f t="shared" si="74"/>
        <v>81.112145916419962</v>
      </c>
    </row>
    <row r="2020" spans="1:21" x14ac:dyDescent="0.35">
      <c r="A2020" s="30"/>
      <c r="B2020" s="4"/>
      <c r="C2020" s="4"/>
      <c r="D2020" s="4"/>
      <c r="E2020" s="4"/>
      <c r="F2020" s="4"/>
      <c r="G2020" s="4"/>
      <c r="H2020" s="17"/>
      <c r="K2020" s="8">
        <f>J1928*EXP(10*K$22)</f>
        <v>0.52072324766676004</v>
      </c>
      <c r="L2020" s="87"/>
      <c r="M2020" s="87"/>
      <c r="N2020" s="87"/>
      <c r="O2020" s="87"/>
      <c r="P2020" s="87"/>
      <c r="Q2020" s="87"/>
      <c r="R2020" s="87"/>
      <c r="S2020" s="87"/>
      <c r="T2020" s="87"/>
      <c r="U2020" s="88">
        <f t="shared" si="74"/>
        <v>80.269078171187829</v>
      </c>
    </row>
    <row r="2021" spans="1:21" x14ac:dyDescent="0.35">
      <c r="A2021" s="30"/>
      <c r="B2021" s="4"/>
      <c r="C2021" s="4"/>
      <c r="D2021" s="4"/>
      <c r="E2021" s="4"/>
      <c r="F2021" s="4"/>
      <c r="G2021" s="4"/>
      <c r="H2021" s="17"/>
      <c r="K2021" s="40">
        <f>(J1928-$B$1579)*EXP(10*$K$22)</f>
        <v>0.51812473989914853</v>
      </c>
      <c r="L2021" s="87"/>
      <c r="M2021" s="87"/>
      <c r="N2021" s="87"/>
      <c r="O2021" s="87"/>
      <c r="P2021" s="87"/>
      <c r="Q2021" s="87"/>
      <c r="R2021" s="87"/>
      <c r="S2021" s="87"/>
      <c r="T2021" s="87"/>
      <c r="U2021" s="88">
        <f t="shared" si="74"/>
        <v>80.414696509191899</v>
      </c>
    </row>
    <row r="2022" spans="1:21" x14ac:dyDescent="0.35">
      <c r="A2022" s="30"/>
      <c r="B2022" s="4"/>
      <c r="C2022" s="4"/>
      <c r="D2022" s="4"/>
      <c r="E2022" s="4"/>
      <c r="F2022" s="4"/>
      <c r="G2022" s="4"/>
      <c r="H2022" s="17"/>
      <c r="K2022" s="8">
        <f>J1929*EXP(10*K$22)</f>
        <v>0.51744949364695403</v>
      </c>
      <c r="L2022" s="87"/>
      <c r="M2022" s="87"/>
      <c r="N2022" s="87"/>
      <c r="O2022" s="87"/>
      <c r="P2022" s="87"/>
      <c r="Q2022" s="87"/>
      <c r="R2022" s="87"/>
      <c r="S2022" s="87"/>
      <c r="T2022" s="87"/>
      <c r="U2022" s="88">
        <f t="shared" si="74"/>
        <v>80.452627846404511</v>
      </c>
    </row>
    <row r="2023" spans="1:21" x14ac:dyDescent="0.35">
      <c r="A2023" s="30"/>
      <c r="B2023" s="4"/>
      <c r="C2023" s="4"/>
      <c r="D2023" s="4"/>
      <c r="E2023" s="4"/>
      <c r="F2023" s="4"/>
      <c r="G2023" s="4"/>
      <c r="H2023" s="17"/>
      <c r="K2023" s="40">
        <f>(J1929-$B$1579)*EXP(10*$K$22)</f>
        <v>0.51485098587934253</v>
      </c>
      <c r="L2023" s="87"/>
      <c r="M2023" s="87"/>
      <c r="N2023" s="87"/>
      <c r="O2023" s="87"/>
      <c r="P2023" s="87"/>
      <c r="Q2023" s="87"/>
      <c r="R2023" s="87"/>
      <c r="S2023" s="87"/>
      <c r="T2023" s="87"/>
      <c r="U2023" s="88">
        <f t="shared" si="74"/>
        <v>80.598948592256804</v>
      </c>
    </row>
    <row r="2024" spans="1:21" x14ac:dyDescent="0.35">
      <c r="A2024" s="30"/>
      <c r="B2024" s="4"/>
      <c r="C2024" s="4"/>
      <c r="D2024" s="4"/>
      <c r="E2024" s="4"/>
      <c r="F2024" s="4"/>
      <c r="G2024" s="4"/>
      <c r="H2024" s="17"/>
      <c r="K2024" s="8">
        <f>J1930*EXP(10*K$22)</f>
        <v>0.51663164253945559</v>
      </c>
      <c r="L2024" s="87"/>
      <c r="M2024" s="87"/>
      <c r="N2024" s="87"/>
      <c r="O2024" s="87"/>
      <c r="P2024" s="87"/>
      <c r="Q2024" s="87"/>
      <c r="R2024" s="87"/>
      <c r="S2024" s="87"/>
      <c r="T2024" s="87"/>
      <c r="U2024" s="88">
        <f t="shared" si="74"/>
        <v>80.49862033688693</v>
      </c>
    </row>
    <row r="2025" spans="1:21" x14ac:dyDescent="0.35">
      <c r="A2025" s="30"/>
      <c r="B2025" s="4"/>
      <c r="C2025" s="4"/>
      <c r="D2025" s="4"/>
      <c r="E2025" s="4"/>
      <c r="F2025" s="4"/>
      <c r="G2025" s="4"/>
      <c r="H2025" s="17"/>
      <c r="K2025" s="40">
        <f>(J1930-$B$1579)*EXP(10*$K$22)</f>
        <v>0.51403313477184409</v>
      </c>
      <c r="L2025" s="87"/>
      <c r="M2025" s="87"/>
      <c r="N2025" s="87"/>
      <c r="O2025" s="87"/>
      <c r="P2025" s="87"/>
      <c r="Q2025" s="87"/>
      <c r="R2025" s="87"/>
      <c r="S2025" s="87"/>
      <c r="T2025" s="87"/>
      <c r="U2025" s="88">
        <f t="shared" si="74"/>
        <v>80.645117352084995</v>
      </c>
    </row>
    <row r="2026" spans="1:21" x14ac:dyDescent="0.35">
      <c r="A2026" s="30"/>
      <c r="B2026" s="4"/>
      <c r="C2026" s="4"/>
      <c r="D2026" s="4"/>
      <c r="E2026" s="4"/>
      <c r="F2026" s="4"/>
      <c r="G2026" s="4"/>
      <c r="H2026" s="17"/>
      <c r="K2026" s="8">
        <f>J1931*EXP(10*K$22)</f>
        <v>0.51335788851964959</v>
      </c>
      <c r="L2026" s="87"/>
      <c r="M2026" s="87"/>
      <c r="N2026" s="87"/>
      <c r="O2026" s="87"/>
      <c r="P2026" s="87"/>
      <c r="Q2026" s="87"/>
      <c r="R2026" s="87"/>
      <c r="S2026" s="87"/>
      <c r="T2026" s="87"/>
      <c r="U2026" s="88">
        <f t="shared" si="74"/>
        <v>80.683277847588087</v>
      </c>
    </row>
    <row r="2027" spans="1:21" x14ac:dyDescent="0.35">
      <c r="A2027" s="30"/>
      <c r="B2027" s="4"/>
      <c r="C2027" s="4"/>
      <c r="D2027" s="4"/>
      <c r="E2027" s="4"/>
      <c r="F2027" s="4"/>
      <c r="G2027" s="4"/>
      <c r="H2027" s="17"/>
      <c r="K2027" s="40">
        <f>(J1931-$B$1579)*EXP(10*$K$22)</f>
        <v>0.51075938075203808</v>
      </c>
      <c r="L2027" s="87"/>
      <c r="M2027" s="87"/>
      <c r="N2027" s="87"/>
      <c r="O2027" s="87"/>
      <c r="P2027" s="87"/>
      <c r="Q2027" s="87"/>
      <c r="R2027" s="87"/>
      <c r="S2027" s="87"/>
      <c r="T2027" s="87"/>
      <c r="U2027" s="88">
        <f t="shared" si="74"/>
        <v>80.830483645545982</v>
      </c>
    </row>
    <row r="2028" spans="1:21" x14ac:dyDescent="0.35">
      <c r="A2028" s="30"/>
      <c r="B2028" s="4"/>
      <c r="C2028" s="4"/>
      <c r="D2028" s="4"/>
      <c r="E2028" s="4"/>
      <c r="F2028" s="4"/>
      <c r="G2028" s="4"/>
      <c r="H2028" s="17"/>
      <c r="K2028" s="8">
        <f>J1932*EXP(10*K$22)</f>
        <v>0.51157556545598137</v>
      </c>
      <c r="L2028" s="87"/>
      <c r="M2028" s="87"/>
      <c r="N2028" s="87"/>
      <c r="O2028" s="87"/>
      <c r="P2028" s="87"/>
      <c r="Q2028" s="87"/>
      <c r="R2028" s="87"/>
      <c r="S2028" s="87"/>
      <c r="T2028" s="87"/>
      <c r="U2028" s="88">
        <f t="shared" ref="U2028:U2091" si="75">MIN($B$8,((100+$B$7)/(1+K2028+$D$8/10000)))+$B$7</f>
        <v>80.784185833993149</v>
      </c>
    </row>
    <row r="2029" spans="1:21" x14ac:dyDescent="0.35">
      <c r="A2029" s="30"/>
      <c r="B2029" s="4"/>
      <c r="C2029" s="4"/>
      <c r="D2029" s="4"/>
      <c r="E2029" s="4"/>
      <c r="F2029" s="4"/>
      <c r="G2029" s="4"/>
      <c r="H2029" s="17"/>
      <c r="K2029" s="40">
        <f>(J1932-$B$1579)*EXP(10*$K$22)</f>
        <v>0.50897705768836976</v>
      </c>
      <c r="L2029" s="87"/>
      <c r="M2029" s="87"/>
      <c r="N2029" s="87"/>
      <c r="O2029" s="87"/>
      <c r="P2029" s="87"/>
      <c r="Q2029" s="87"/>
      <c r="R2029" s="87"/>
      <c r="S2029" s="87"/>
      <c r="T2029" s="87"/>
      <c r="U2029" s="88">
        <f t="shared" si="75"/>
        <v>80.93177967767879</v>
      </c>
    </row>
    <row r="2030" spans="1:21" x14ac:dyDescent="0.35">
      <c r="A2030" s="30"/>
      <c r="B2030" s="4"/>
      <c r="C2030" s="4"/>
      <c r="D2030" s="4"/>
      <c r="E2030" s="4"/>
      <c r="F2030" s="4"/>
      <c r="G2030" s="4"/>
      <c r="H2030" s="17"/>
      <c r="K2030" s="8">
        <f>J1933*EXP(10*K$22)</f>
        <v>0.50830181143617537</v>
      </c>
      <c r="L2030" s="87"/>
      <c r="M2030" s="87"/>
      <c r="N2030" s="87"/>
      <c r="O2030" s="87"/>
      <c r="P2030" s="87"/>
      <c r="Q2030" s="87"/>
      <c r="R2030" s="87"/>
      <c r="S2030" s="87"/>
      <c r="T2030" s="87"/>
      <c r="U2030" s="88">
        <f t="shared" si="75"/>
        <v>80.97022622863723</v>
      </c>
    </row>
    <row r="2031" spans="1:21" x14ac:dyDescent="0.35">
      <c r="A2031" s="30"/>
      <c r="B2031" s="4"/>
      <c r="C2031" s="4"/>
      <c r="D2031" s="4"/>
      <c r="E2031" s="4"/>
      <c r="F2031" s="4"/>
      <c r="G2031" s="4"/>
      <c r="H2031" s="17"/>
      <c r="K2031" s="40">
        <f>(J1933-$B$1579)*EXP(10*$K$22)</f>
        <v>0.50570330366856375</v>
      </c>
      <c r="L2031" s="87"/>
      <c r="M2031" s="87"/>
      <c r="N2031" s="87"/>
      <c r="O2031" s="87"/>
      <c r="P2031" s="87"/>
      <c r="Q2031" s="87"/>
      <c r="R2031" s="87"/>
      <c r="S2031" s="87"/>
      <c r="T2031" s="87"/>
      <c r="U2031" s="88">
        <f t="shared" si="75"/>
        <v>81.118536839699956</v>
      </c>
    </row>
    <row r="2032" spans="1:21" x14ac:dyDescent="0.35">
      <c r="A2032" s="30"/>
      <c r="B2032" s="4"/>
      <c r="C2032" s="4"/>
      <c r="D2032" s="4"/>
      <c r="E2032" s="4"/>
      <c r="F2032" s="4"/>
      <c r="G2032" s="4"/>
      <c r="H2032" s="17"/>
      <c r="K2032" s="8">
        <f>J1934*EXP(10*K$22)</f>
        <v>0.50748396032867682</v>
      </c>
      <c r="L2032" s="87"/>
      <c r="M2032" s="87"/>
      <c r="N2032" s="87"/>
      <c r="O2032" s="87"/>
      <c r="P2032" s="87"/>
      <c r="Q2032" s="87"/>
      <c r="R2032" s="87"/>
      <c r="S2032" s="87"/>
      <c r="T2032" s="87"/>
      <c r="U2032" s="88">
        <f t="shared" si="75"/>
        <v>81.016843772344217</v>
      </c>
    </row>
    <row r="2033" spans="1:21" x14ac:dyDescent="0.35">
      <c r="A2033" s="30"/>
      <c r="B2033" s="4"/>
      <c r="C2033" s="4"/>
      <c r="D2033" s="4"/>
      <c r="E2033" s="4"/>
      <c r="F2033" s="4"/>
      <c r="G2033" s="4"/>
      <c r="H2033" s="17"/>
      <c r="K2033" s="40">
        <f>(J1934-$B$1579)*EXP(10*$K$22)</f>
        <v>0.50488545256106532</v>
      </c>
      <c r="L2033" s="87"/>
      <c r="M2033" s="87"/>
      <c r="N2033" s="87"/>
      <c r="O2033" s="87"/>
      <c r="P2033" s="87"/>
      <c r="Q2033" s="87"/>
      <c r="R2033" s="87"/>
      <c r="S2033" s="87"/>
      <c r="T2033" s="87"/>
      <c r="U2033" s="88">
        <f t="shared" si="75"/>
        <v>81.165334261771704</v>
      </c>
    </row>
    <row r="2034" spans="1:21" x14ac:dyDescent="0.35">
      <c r="A2034" s="30"/>
      <c r="B2034" s="4"/>
      <c r="C2034" s="4"/>
      <c r="D2034" s="4"/>
      <c r="E2034" s="4"/>
      <c r="F2034" s="4"/>
      <c r="G2034" s="4"/>
      <c r="H2034" s="17"/>
      <c r="K2034" s="8">
        <f>J1935*EXP(10*K$22)</f>
        <v>0.50421020630887092</v>
      </c>
      <c r="L2034" s="87"/>
      <c r="M2034" s="87"/>
      <c r="N2034" s="87"/>
      <c r="O2034" s="87"/>
      <c r="P2034" s="87"/>
      <c r="Q2034" s="87"/>
      <c r="R2034" s="87"/>
      <c r="S2034" s="87"/>
      <c r="T2034" s="87"/>
      <c r="U2034" s="88">
        <f t="shared" si="75"/>
        <v>81.204014662920471</v>
      </c>
    </row>
    <row r="2035" spans="1:21" x14ac:dyDescent="0.35">
      <c r="A2035" s="30"/>
      <c r="B2035" s="4"/>
      <c r="C2035" s="4"/>
      <c r="D2035" s="4"/>
      <c r="E2035" s="4"/>
      <c r="F2035" s="4"/>
      <c r="G2035" s="4"/>
      <c r="H2035" s="17"/>
      <c r="K2035" s="40">
        <f>(J1935-$B$1579)*EXP(10*$K$22)</f>
        <v>0.50161169854125931</v>
      </c>
      <c r="L2035" s="87"/>
      <c r="M2035" s="87"/>
      <c r="N2035" s="87"/>
      <c r="O2035" s="87"/>
      <c r="P2035" s="87"/>
      <c r="Q2035" s="87"/>
      <c r="R2035" s="87"/>
      <c r="S2035" s="87"/>
      <c r="T2035" s="87"/>
      <c r="U2035" s="88">
        <f t="shared" si="75"/>
        <v>81.35322846925942</v>
      </c>
    </row>
    <row r="2036" spans="1:21" x14ac:dyDescent="0.35">
      <c r="A2036" s="30"/>
      <c r="B2036" s="4"/>
      <c r="C2036" s="4"/>
      <c r="D2036" s="4"/>
      <c r="E2036" s="4"/>
      <c r="F2036" s="4"/>
      <c r="G2036" s="4"/>
      <c r="H2036" s="17"/>
      <c r="K2036" s="8">
        <f>J1936*EXP(10*K$22)</f>
        <v>0.51651987508157016</v>
      </c>
      <c r="L2036" s="87"/>
      <c r="M2036" s="87"/>
      <c r="N2036" s="87"/>
      <c r="O2036" s="87"/>
      <c r="P2036" s="87"/>
      <c r="Q2036" s="87"/>
      <c r="R2036" s="87"/>
      <c r="S2036" s="87"/>
      <c r="T2036" s="87"/>
      <c r="U2036" s="88">
        <f t="shared" si="75"/>
        <v>80.504909964670361</v>
      </c>
    </row>
    <row r="2037" spans="1:21" x14ac:dyDescent="0.35">
      <c r="A2037" s="30"/>
      <c r="B2037" s="4"/>
      <c r="C2037" s="4"/>
      <c r="D2037" s="4"/>
      <c r="E2037" s="4"/>
      <c r="F2037" s="4"/>
      <c r="G2037" s="4"/>
      <c r="H2037" s="17"/>
      <c r="K2037" s="40">
        <f>(J1936-$B$1579)*EXP(10*$K$22)</f>
        <v>0.51392136731395865</v>
      </c>
      <c r="L2037" s="87"/>
      <c r="M2037" s="87"/>
      <c r="N2037" s="87"/>
      <c r="O2037" s="87"/>
      <c r="P2037" s="87"/>
      <c r="Q2037" s="87"/>
      <c r="R2037" s="87"/>
      <c r="S2037" s="87"/>
      <c r="T2037" s="87"/>
      <c r="U2037" s="88">
        <f t="shared" si="75"/>
        <v>80.651431093557818</v>
      </c>
    </row>
    <row r="2038" spans="1:21" x14ac:dyDescent="0.35">
      <c r="A2038" s="30"/>
      <c r="B2038" s="4"/>
      <c r="C2038" s="4"/>
      <c r="D2038" s="4"/>
      <c r="E2038" s="4"/>
      <c r="F2038" s="4"/>
      <c r="G2038" s="4"/>
      <c r="H2038" s="17"/>
      <c r="K2038" s="8">
        <f>J1937*EXP(10*K$22)</f>
        <v>0.51324612106176415</v>
      </c>
      <c r="L2038" s="87"/>
      <c r="M2038" s="87"/>
      <c r="N2038" s="87"/>
      <c r="O2038" s="87"/>
      <c r="P2038" s="87"/>
      <c r="Q2038" s="87"/>
      <c r="R2038" s="87"/>
      <c r="S2038" s="87"/>
      <c r="T2038" s="87"/>
      <c r="U2038" s="88">
        <f t="shared" si="75"/>
        <v>80.68959787792636</v>
      </c>
    </row>
    <row r="2039" spans="1:21" x14ac:dyDescent="0.35">
      <c r="A2039" s="30"/>
      <c r="B2039" s="4"/>
      <c r="C2039" s="4"/>
      <c r="D2039" s="4"/>
      <c r="E2039" s="4"/>
      <c r="F2039" s="4"/>
      <c r="G2039" s="4"/>
      <c r="H2039" s="17"/>
      <c r="K2039" s="40">
        <f>(J1937-$B$1579)*EXP(10*$K$22)</f>
        <v>0.51064761329415265</v>
      </c>
      <c r="L2039" s="87"/>
      <c r="M2039" s="87"/>
      <c r="N2039" s="87"/>
      <c r="O2039" s="87"/>
      <c r="P2039" s="87"/>
      <c r="Q2039" s="87"/>
      <c r="R2039" s="87"/>
      <c r="S2039" s="87"/>
      <c r="T2039" s="87"/>
      <c r="U2039" s="88">
        <f t="shared" si="75"/>
        <v>80.836827964792974</v>
      </c>
    </row>
    <row r="2040" spans="1:21" x14ac:dyDescent="0.35">
      <c r="A2040" s="30"/>
      <c r="B2040" s="4"/>
      <c r="C2040" s="4"/>
      <c r="D2040" s="4"/>
      <c r="E2040" s="4"/>
      <c r="F2040" s="4"/>
      <c r="G2040" s="4"/>
      <c r="H2040" s="17"/>
      <c r="K2040" s="8">
        <f>J1938*EXP(10*K$22)</f>
        <v>0.51242826995426571</v>
      </c>
      <c r="L2040" s="87"/>
      <c r="M2040" s="87"/>
      <c r="N2040" s="87"/>
      <c r="O2040" s="87"/>
      <c r="P2040" s="87"/>
      <c r="Q2040" s="87"/>
      <c r="R2040" s="87"/>
      <c r="S2040" s="87"/>
      <c r="T2040" s="87"/>
      <c r="U2040" s="88">
        <f t="shared" si="75"/>
        <v>80.735876010163764</v>
      </c>
    </row>
    <row r="2041" spans="1:21" x14ac:dyDescent="0.35">
      <c r="A2041" s="30"/>
      <c r="B2041" s="4"/>
      <c r="C2041" s="4"/>
      <c r="D2041" s="4"/>
      <c r="E2041" s="4"/>
      <c r="F2041" s="4"/>
      <c r="G2041" s="4"/>
      <c r="H2041" s="17"/>
      <c r="K2041" s="40">
        <f>(J1938-$B$1579)*EXP(10*$K$22)</f>
        <v>0.5098297621866541</v>
      </c>
      <c r="L2041" s="87"/>
      <c r="M2041" s="87"/>
      <c r="N2041" s="87"/>
      <c r="O2041" s="87"/>
      <c r="P2041" s="87"/>
      <c r="Q2041" s="87"/>
      <c r="R2041" s="87"/>
      <c r="S2041" s="87"/>
      <c r="T2041" s="87"/>
      <c r="U2041" s="88">
        <f t="shared" si="75"/>
        <v>80.883284012619953</v>
      </c>
    </row>
    <row r="2042" spans="1:21" x14ac:dyDescent="0.35">
      <c r="A2042" s="30"/>
      <c r="B2042" s="4"/>
      <c r="C2042" s="4"/>
      <c r="D2042" s="4"/>
      <c r="E2042" s="4"/>
      <c r="F2042" s="4"/>
      <c r="G2042" s="4"/>
      <c r="H2042" s="17"/>
      <c r="K2042" s="8">
        <f>J1939*EXP(10*K$22)</f>
        <v>0.50915451593445971</v>
      </c>
      <c r="L2042" s="87"/>
      <c r="M2042" s="87"/>
      <c r="N2042" s="87"/>
      <c r="O2042" s="87"/>
      <c r="P2042" s="87"/>
      <c r="Q2042" s="87"/>
      <c r="R2042" s="87"/>
      <c r="S2042" s="87"/>
      <c r="T2042" s="87"/>
      <c r="U2042" s="88">
        <f t="shared" si="75"/>
        <v>80.921682095475745</v>
      </c>
    </row>
    <row r="2043" spans="1:21" x14ac:dyDescent="0.35">
      <c r="A2043" s="30"/>
      <c r="B2043" s="4"/>
      <c r="C2043" s="4"/>
      <c r="D2043" s="4"/>
      <c r="E2043" s="4"/>
      <c r="F2043" s="4"/>
      <c r="G2043" s="4"/>
      <c r="H2043" s="17"/>
      <c r="K2043" s="40">
        <f>(J1939-$B$1579)*EXP(10*$K$22)</f>
        <v>0.50655600816684809</v>
      </c>
      <c r="L2043" s="87"/>
      <c r="M2043" s="87"/>
      <c r="N2043" s="87"/>
      <c r="O2043" s="87"/>
      <c r="P2043" s="87"/>
      <c r="Q2043" s="87"/>
      <c r="R2043" s="87"/>
      <c r="S2043" s="87"/>
      <c r="T2043" s="87"/>
      <c r="U2043" s="88">
        <f t="shared" si="75"/>
        <v>81.069805510330028</v>
      </c>
    </row>
    <row r="2044" spans="1:21" x14ac:dyDescent="0.35">
      <c r="A2044" s="30"/>
      <c r="B2044" s="4"/>
      <c r="C2044" s="4"/>
      <c r="D2044" s="4"/>
      <c r="E2044" s="4"/>
      <c r="F2044" s="4"/>
      <c r="G2044" s="4"/>
      <c r="H2044" s="17"/>
      <c r="K2044" s="8">
        <f>J1940*EXP(10*K$22)</f>
        <v>0.51779847359984166</v>
      </c>
      <c r="L2044" s="87"/>
      <c r="M2044" s="87"/>
      <c r="N2044" s="87"/>
      <c r="O2044" s="87"/>
      <c r="P2044" s="87"/>
      <c r="Q2044" s="87"/>
      <c r="R2044" s="87"/>
      <c r="S2044" s="87"/>
      <c r="T2044" s="87"/>
      <c r="U2044" s="88">
        <f t="shared" si="75"/>
        <v>80.433019517864807</v>
      </c>
    </row>
    <row r="2045" spans="1:21" x14ac:dyDescent="0.35">
      <c r="A2045" s="30"/>
      <c r="B2045" s="4"/>
      <c r="C2045" s="4"/>
      <c r="D2045" s="4"/>
      <c r="E2045" s="4"/>
      <c r="F2045" s="4"/>
      <c r="G2045" s="4"/>
      <c r="H2045" s="17"/>
      <c r="K2045" s="40">
        <f>(J1940-$B$1579)*EXP(10*$K$22)</f>
        <v>0.51519996583223016</v>
      </c>
      <c r="L2045" s="87"/>
      <c r="M2045" s="87"/>
      <c r="N2045" s="87"/>
      <c r="O2045" s="87"/>
      <c r="P2045" s="87"/>
      <c r="Q2045" s="87"/>
      <c r="R2045" s="87"/>
      <c r="S2045" s="87"/>
      <c r="T2045" s="87"/>
      <c r="U2045" s="88">
        <f t="shared" si="75"/>
        <v>80.579265145789762</v>
      </c>
    </row>
    <row r="2046" spans="1:21" x14ac:dyDescent="0.35">
      <c r="A2046" s="30"/>
      <c r="B2046" s="4"/>
      <c r="C2046" s="4"/>
      <c r="D2046" s="4"/>
      <c r="E2046" s="4"/>
      <c r="F2046" s="4"/>
      <c r="G2046" s="4"/>
      <c r="H2046" s="17"/>
      <c r="K2046" s="8">
        <f>J1941*EXP(10*K$22)</f>
        <v>0.51452471958003565</v>
      </c>
      <c r="L2046" s="87"/>
      <c r="M2046" s="87"/>
      <c r="N2046" s="87"/>
      <c r="O2046" s="87"/>
      <c r="P2046" s="87"/>
      <c r="Q2046" s="87"/>
      <c r="R2046" s="87"/>
      <c r="S2046" s="87"/>
      <c r="T2046" s="87"/>
      <c r="U2046" s="88">
        <f t="shared" si="75"/>
        <v>80.617360079444353</v>
      </c>
    </row>
    <row r="2047" spans="1:21" x14ac:dyDescent="0.35">
      <c r="A2047" s="30"/>
      <c r="B2047" s="4"/>
      <c r="C2047" s="4"/>
      <c r="D2047" s="4"/>
      <c r="E2047" s="4"/>
      <c r="F2047" s="4"/>
      <c r="G2047" s="4"/>
      <c r="H2047" s="17"/>
      <c r="K2047" s="40">
        <f>(J1941-$B$1579)*EXP(10*$K$22)</f>
        <v>0.51192621181242415</v>
      </c>
      <c r="L2047" s="87"/>
      <c r="M2047" s="87"/>
      <c r="N2047" s="87"/>
      <c r="O2047" s="87"/>
      <c r="P2047" s="87"/>
      <c r="Q2047" s="87"/>
      <c r="R2047" s="87"/>
      <c r="S2047" s="87"/>
      <c r="T2047" s="87"/>
      <c r="U2047" s="88">
        <f t="shared" si="75"/>
        <v>80.764312664316137</v>
      </c>
    </row>
    <row r="2048" spans="1:21" x14ac:dyDescent="0.35">
      <c r="A2048" s="30"/>
      <c r="B2048" s="4"/>
      <c r="C2048" s="4"/>
      <c r="D2048" s="4"/>
      <c r="E2048" s="4"/>
      <c r="F2048" s="4"/>
      <c r="G2048" s="4"/>
      <c r="H2048" s="17"/>
      <c r="K2048" s="8">
        <f>J1942*EXP(10*K$22)</f>
        <v>0.51370686847253733</v>
      </c>
      <c r="L2048" s="87"/>
      <c r="M2048" s="87"/>
      <c r="N2048" s="87"/>
      <c r="O2048" s="87"/>
      <c r="P2048" s="87"/>
      <c r="Q2048" s="87"/>
      <c r="R2048" s="87"/>
      <c r="S2048" s="87"/>
      <c r="T2048" s="87"/>
      <c r="U2048" s="88">
        <f t="shared" si="75"/>
        <v>80.663551043075572</v>
      </c>
    </row>
    <row r="2049" spans="1:21" x14ac:dyDescent="0.35">
      <c r="A2049" s="30"/>
      <c r="B2049" s="4"/>
      <c r="C2049" s="4"/>
      <c r="D2049" s="4"/>
      <c r="E2049" s="4"/>
      <c r="F2049" s="4"/>
      <c r="G2049" s="4"/>
      <c r="H2049" s="17"/>
      <c r="K2049" s="40">
        <f>(J1942-$B$1579)*EXP(10*$K$22)</f>
        <v>0.51110836070492571</v>
      </c>
      <c r="L2049" s="87"/>
      <c r="M2049" s="87"/>
      <c r="N2049" s="87"/>
      <c r="O2049" s="87"/>
      <c r="P2049" s="87"/>
      <c r="Q2049" s="87"/>
      <c r="R2049" s="87"/>
      <c r="S2049" s="87"/>
      <c r="T2049" s="87"/>
      <c r="U2049" s="88">
        <f t="shared" si="75"/>
        <v>80.810681040614398</v>
      </c>
    </row>
    <row r="2050" spans="1:21" x14ac:dyDescent="0.35">
      <c r="A2050" s="30"/>
      <c r="B2050" s="4"/>
      <c r="C2050" s="4"/>
      <c r="D2050" s="4"/>
      <c r="E2050" s="4"/>
      <c r="F2050" s="4"/>
      <c r="G2050" s="4"/>
      <c r="H2050" s="17"/>
      <c r="K2050" s="8">
        <f>J1943*EXP(10*K$22)</f>
        <v>0.51043311445273132</v>
      </c>
      <c r="L2050" s="87"/>
      <c r="M2050" s="87"/>
      <c r="N2050" s="87"/>
      <c r="O2050" s="87"/>
      <c r="P2050" s="87"/>
      <c r="Q2050" s="87"/>
      <c r="R2050" s="87"/>
      <c r="S2050" s="87"/>
      <c r="T2050" s="87"/>
      <c r="U2050" s="88">
        <f t="shared" si="75"/>
        <v>80.849006618932563</v>
      </c>
    </row>
    <row r="2051" spans="1:21" x14ac:dyDescent="0.35">
      <c r="A2051" s="30"/>
      <c r="B2051" s="4"/>
      <c r="C2051" s="4"/>
      <c r="D2051" s="4"/>
      <c r="E2051" s="4"/>
      <c r="F2051" s="4"/>
      <c r="G2051" s="4"/>
      <c r="H2051" s="17"/>
      <c r="K2051" s="40">
        <f>(J1943-$B$1579)*EXP(10*$K$22)</f>
        <v>0.5078346066851197</v>
      </c>
      <c r="L2051" s="87"/>
      <c r="M2051" s="87"/>
      <c r="N2051" s="87"/>
      <c r="O2051" s="87"/>
      <c r="P2051" s="87"/>
      <c r="Q2051" s="87"/>
      <c r="R2051" s="87"/>
      <c r="S2051" s="87"/>
      <c r="T2051" s="87"/>
      <c r="U2051" s="88">
        <f t="shared" si="75"/>
        <v>80.996850003521743</v>
      </c>
    </row>
    <row r="2052" spans="1:21" x14ac:dyDescent="0.35">
      <c r="A2052" s="30"/>
      <c r="B2052" s="4"/>
      <c r="C2052" s="4"/>
      <c r="D2052" s="4"/>
      <c r="E2052" s="4"/>
      <c r="F2052" s="4"/>
      <c r="G2052" s="4"/>
      <c r="H2052" s="17"/>
      <c r="K2052" s="8">
        <f>J1944*EXP(10*K$22)</f>
        <v>0.52274278322543055</v>
      </c>
      <c r="L2052" s="87"/>
      <c r="M2052" s="87"/>
      <c r="N2052" s="87"/>
      <c r="O2052" s="87"/>
      <c r="P2052" s="87"/>
      <c r="Q2052" s="87"/>
      <c r="R2052" s="87"/>
      <c r="S2052" s="87"/>
      <c r="T2052" s="87"/>
      <c r="U2052" s="88">
        <f t="shared" si="75"/>
        <v>80.156287695523162</v>
      </c>
    </row>
    <row r="2053" spans="1:21" x14ac:dyDescent="0.35">
      <c r="A2053" s="30"/>
      <c r="B2053" s="4"/>
      <c r="C2053" s="4"/>
      <c r="D2053" s="4"/>
      <c r="E2053" s="4"/>
      <c r="F2053" s="4"/>
      <c r="G2053" s="4"/>
      <c r="H2053" s="17"/>
      <c r="K2053" s="40">
        <f>(J1944-$B$1579)*EXP(10*$K$22)</f>
        <v>0.52014427545781894</v>
      </c>
      <c r="L2053" s="87"/>
      <c r="M2053" s="87"/>
      <c r="N2053" s="87"/>
      <c r="O2053" s="87"/>
      <c r="P2053" s="87"/>
      <c r="Q2053" s="87"/>
      <c r="R2053" s="87"/>
      <c r="S2053" s="87"/>
      <c r="T2053" s="87"/>
      <c r="U2053" s="88">
        <f t="shared" si="75"/>
        <v>80.301475246888174</v>
      </c>
    </row>
    <row r="2054" spans="1:21" x14ac:dyDescent="0.35">
      <c r="A2054" s="30"/>
      <c r="B2054" s="4"/>
      <c r="C2054" s="4"/>
      <c r="D2054" s="4"/>
      <c r="E2054" s="4"/>
      <c r="F2054" s="4"/>
      <c r="G2054" s="4"/>
      <c r="H2054" s="17"/>
      <c r="K2054" s="8">
        <f>J1945*EXP(10*K$22)</f>
        <v>0.51946902920562443</v>
      </c>
      <c r="L2054" s="87"/>
      <c r="M2054" s="87"/>
      <c r="N2054" s="87"/>
      <c r="O2054" s="87"/>
      <c r="P2054" s="87"/>
      <c r="Q2054" s="87"/>
      <c r="R2054" s="87"/>
      <c r="S2054" s="87"/>
      <c r="T2054" s="87"/>
      <c r="U2054" s="88">
        <f t="shared" si="75"/>
        <v>80.339294236209369</v>
      </c>
    </row>
    <row r="2055" spans="1:21" x14ac:dyDescent="0.35">
      <c r="A2055" s="30"/>
      <c r="B2055" s="4"/>
      <c r="C2055" s="4"/>
      <c r="D2055" s="4"/>
      <c r="E2055" s="4"/>
      <c r="F2055" s="4"/>
      <c r="G2055" s="4"/>
      <c r="H2055" s="17"/>
      <c r="K2055" s="40">
        <f>(J1945-$B$1579)*EXP(10*$K$22)</f>
        <v>0.51687052143801293</v>
      </c>
      <c r="L2055" s="87"/>
      <c r="M2055" s="87"/>
      <c r="N2055" s="87"/>
      <c r="O2055" s="87"/>
      <c r="P2055" s="87"/>
      <c r="Q2055" s="87"/>
      <c r="R2055" s="87"/>
      <c r="S2055" s="87"/>
      <c r="T2055" s="87"/>
      <c r="U2055" s="88">
        <f t="shared" si="75"/>
        <v>80.485181077058229</v>
      </c>
    </row>
    <row r="2056" spans="1:21" x14ac:dyDescent="0.35">
      <c r="A2056" s="30"/>
      <c r="B2056" s="4"/>
      <c r="C2056" s="4"/>
      <c r="D2056" s="4"/>
      <c r="E2056" s="4"/>
      <c r="F2056" s="4"/>
      <c r="G2056" s="4"/>
      <c r="H2056" s="17"/>
      <c r="K2056" s="8">
        <f>J1946*EXP(10*K$22)</f>
        <v>0.51865117809812611</v>
      </c>
      <c r="L2056" s="87"/>
      <c r="M2056" s="87"/>
      <c r="N2056" s="87"/>
      <c r="O2056" s="87"/>
      <c r="P2056" s="87"/>
      <c r="Q2056" s="87"/>
      <c r="R2056" s="87"/>
      <c r="S2056" s="87"/>
      <c r="T2056" s="87"/>
      <c r="U2056" s="88">
        <f t="shared" si="75"/>
        <v>80.385150428049101</v>
      </c>
    </row>
    <row r="2057" spans="1:21" x14ac:dyDescent="0.35">
      <c r="A2057" s="30"/>
      <c r="B2057" s="4"/>
      <c r="C2057" s="4"/>
      <c r="D2057" s="4"/>
      <c r="E2057" s="4"/>
      <c r="F2057" s="4"/>
      <c r="G2057" s="4"/>
      <c r="H2057" s="17"/>
      <c r="K2057" s="40">
        <f>(J1946-$B$1579)*EXP(10*$K$22)</f>
        <v>0.51605267033051461</v>
      </c>
      <c r="L2057" s="87"/>
      <c r="M2057" s="87"/>
      <c r="N2057" s="87"/>
      <c r="O2057" s="87"/>
      <c r="P2057" s="87"/>
      <c r="Q2057" s="87"/>
      <c r="R2057" s="87"/>
      <c r="S2057" s="87"/>
      <c r="T2057" s="87"/>
      <c r="U2057" s="88">
        <f t="shared" si="75"/>
        <v>80.531212754516275</v>
      </c>
    </row>
    <row r="2058" spans="1:21" x14ac:dyDescent="0.35">
      <c r="A2058" s="30"/>
      <c r="B2058" s="4"/>
      <c r="C2058" s="4"/>
      <c r="D2058" s="4"/>
      <c r="E2058" s="4"/>
      <c r="F2058" s="4"/>
      <c r="G2058" s="4"/>
      <c r="H2058" s="17"/>
      <c r="K2058" s="8">
        <f>J1947*EXP(10*K$22)</f>
        <v>0.5153774240783201</v>
      </c>
      <c r="L2058" s="87"/>
      <c r="M2058" s="87"/>
      <c r="N2058" s="87"/>
      <c r="O2058" s="87"/>
      <c r="P2058" s="87"/>
      <c r="Q2058" s="87"/>
      <c r="R2058" s="87"/>
      <c r="S2058" s="87"/>
      <c r="T2058" s="87"/>
      <c r="U2058" s="88">
        <f t="shared" si="75"/>
        <v>80.569259883244285</v>
      </c>
    </row>
    <row r="2059" spans="1:21" x14ac:dyDescent="0.35">
      <c r="A2059" s="30"/>
      <c r="B2059" s="4"/>
      <c r="C2059" s="4"/>
      <c r="D2059" s="4"/>
      <c r="E2059" s="4"/>
      <c r="F2059" s="4"/>
      <c r="G2059" s="4"/>
      <c r="H2059" s="17"/>
      <c r="K2059" s="40">
        <f>(J1947-$B$1579)*EXP(10*$K$22)</f>
        <v>0.5127789163107086</v>
      </c>
      <c r="L2059" s="87"/>
      <c r="M2059" s="87"/>
      <c r="N2059" s="87"/>
      <c r="O2059" s="87"/>
      <c r="P2059" s="87"/>
      <c r="Q2059" s="87"/>
      <c r="R2059" s="87"/>
      <c r="S2059" s="87"/>
      <c r="T2059" s="87"/>
      <c r="U2059" s="88">
        <f t="shared" si="75"/>
        <v>80.716027836342604</v>
      </c>
    </row>
    <row r="2060" spans="1:21" x14ac:dyDescent="0.35">
      <c r="A2060" s="30"/>
      <c r="B2060" s="4"/>
      <c r="C2060" s="4"/>
      <c r="D2060" s="4"/>
      <c r="E2060" s="4"/>
      <c r="F2060" s="4"/>
      <c r="G2060" s="4"/>
      <c r="H2060" s="17"/>
      <c r="K2060" s="8">
        <f>J1948*EXP(10*K$22)</f>
        <v>0.51919907889545791</v>
      </c>
      <c r="L2060" s="87"/>
      <c r="M2060" s="87"/>
      <c r="N2060" s="87"/>
      <c r="O2060" s="87"/>
      <c r="P2060" s="87"/>
      <c r="Q2060" s="87"/>
      <c r="R2060" s="87"/>
      <c r="S2060" s="87"/>
      <c r="T2060" s="87"/>
      <c r="U2060" s="88">
        <f t="shared" si="75"/>
        <v>80.354424024027239</v>
      </c>
    </row>
    <row r="2061" spans="1:21" x14ac:dyDescent="0.35">
      <c r="A2061" s="30"/>
      <c r="B2061" s="4"/>
      <c r="C2061" s="4"/>
      <c r="D2061" s="4"/>
      <c r="E2061" s="4"/>
      <c r="F2061" s="4"/>
      <c r="G2061" s="4"/>
      <c r="H2061" s="17"/>
      <c r="K2061" s="40">
        <f>(J1948-$B$1579)*EXP(10*$K$22)</f>
        <v>0.51660057112784641</v>
      </c>
      <c r="L2061" s="87"/>
      <c r="M2061" s="87"/>
      <c r="N2061" s="87"/>
      <c r="O2061" s="87"/>
      <c r="P2061" s="87"/>
      <c r="Q2061" s="87"/>
      <c r="R2061" s="87"/>
      <c r="S2061" s="87"/>
      <c r="T2061" s="87"/>
      <c r="U2061" s="88">
        <f t="shared" si="75"/>
        <v>80.500368752903086</v>
      </c>
    </row>
    <row r="2062" spans="1:21" x14ac:dyDescent="0.35">
      <c r="A2062" s="30"/>
      <c r="B2062" s="4"/>
      <c r="C2062" s="4"/>
      <c r="D2062" s="4"/>
      <c r="E2062" s="4"/>
      <c r="F2062" s="4"/>
      <c r="G2062" s="4"/>
      <c r="H2062" s="17"/>
      <c r="K2062" s="8">
        <f>J1949*EXP(10*K$22)</f>
        <v>0.5159253248756519</v>
      </c>
      <c r="L2062" s="87"/>
      <c r="M2062" s="87"/>
      <c r="N2062" s="87"/>
      <c r="O2062" s="87"/>
      <c r="P2062" s="87"/>
      <c r="Q2062" s="87"/>
      <c r="R2062" s="87"/>
      <c r="S2062" s="87"/>
      <c r="T2062" s="87"/>
      <c r="U2062" s="88">
        <f t="shared" si="75"/>
        <v>80.538385212296348</v>
      </c>
    </row>
    <row r="2063" spans="1:21" x14ac:dyDescent="0.35">
      <c r="A2063" s="30"/>
      <c r="B2063" s="4"/>
      <c r="C2063" s="4"/>
      <c r="D2063" s="4"/>
      <c r="E2063" s="4"/>
      <c r="F2063" s="4"/>
      <c r="G2063" s="4"/>
      <c r="H2063" s="17"/>
      <c r="K2063" s="40">
        <f>(J1949-$B$1579)*EXP(10*$K$22)</f>
        <v>0.51332681710804029</v>
      </c>
      <c r="L2063" s="87"/>
      <c r="M2063" s="87"/>
      <c r="N2063" s="87"/>
      <c r="O2063" s="87"/>
      <c r="P2063" s="87"/>
      <c r="Q2063" s="87"/>
      <c r="R2063" s="87"/>
      <c r="S2063" s="87"/>
      <c r="T2063" s="87"/>
      <c r="U2063" s="88">
        <f t="shared" si="75"/>
        <v>80.68503471477689</v>
      </c>
    </row>
    <row r="2064" spans="1:21" x14ac:dyDescent="0.35">
      <c r="A2064" s="30"/>
      <c r="B2064" s="4"/>
      <c r="C2064" s="4"/>
      <c r="D2064" s="4"/>
      <c r="E2064" s="4"/>
      <c r="F2064" s="4"/>
      <c r="G2064" s="4"/>
      <c r="H2064" s="17"/>
      <c r="K2064" s="8">
        <f>J1950*EXP(10*K$22)</f>
        <v>0.51510747376815336</v>
      </c>
      <c r="L2064" s="87"/>
      <c r="M2064" s="87"/>
      <c r="N2064" s="87"/>
      <c r="O2064" s="87"/>
      <c r="P2064" s="87"/>
      <c r="Q2064" s="87"/>
      <c r="R2064" s="87"/>
      <c r="S2064" s="87"/>
      <c r="T2064" s="87"/>
      <c r="U2064" s="88">
        <f t="shared" si="75"/>
        <v>80.58448097185142</v>
      </c>
    </row>
    <row r="2065" spans="1:21" x14ac:dyDescent="0.35">
      <c r="A2065" s="30"/>
      <c r="B2065" s="4"/>
      <c r="C2065" s="4"/>
      <c r="D2065" s="4"/>
      <c r="E2065" s="4"/>
      <c r="F2065" s="4"/>
      <c r="G2065" s="4"/>
      <c r="H2065" s="17"/>
      <c r="K2065" s="40">
        <f>(J1950-$B$1579)*EXP(10*$K$22)</f>
        <v>0.51250896600054185</v>
      </c>
      <c r="L2065" s="87"/>
      <c r="M2065" s="87"/>
      <c r="N2065" s="87"/>
      <c r="O2065" s="87"/>
      <c r="P2065" s="87"/>
      <c r="Q2065" s="87"/>
      <c r="R2065" s="87"/>
      <c r="S2065" s="87"/>
      <c r="T2065" s="87"/>
      <c r="U2065" s="88">
        <f t="shared" si="75"/>
        <v>80.731307338259541</v>
      </c>
    </row>
    <row r="2066" spans="1:21" x14ac:dyDescent="0.35">
      <c r="A2066" s="30"/>
      <c r="B2066" s="4"/>
      <c r="C2066" s="4"/>
      <c r="D2066" s="4"/>
      <c r="E2066" s="4"/>
      <c r="F2066" s="4"/>
      <c r="G2066" s="4"/>
      <c r="H2066" s="17"/>
      <c r="K2066" s="8">
        <f>J1951*EXP(10*K$22)</f>
        <v>0.51183371974834746</v>
      </c>
      <c r="L2066" s="87"/>
      <c r="M2066" s="87"/>
      <c r="N2066" s="87"/>
      <c r="O2066" s="87"/>
      <c r="P2066" s="87"/>
      <c r="Q2066" s="87"/>
      <c r="R2066" s="87"/>
      <c r="S2066" s="87"/>
      <c r="T2066" s="87"/>
      <c r="U2066" s="88">
        <f t="shared" si="75"/>
        <v>80.769553728928457</v>
      </c>
    </row>
    <row r="2067" spans="1:21" x14ac:dyDescent="0.35">
      <c r="A2067" s="30"/>
      <c r="B2067" s="4"/>
      <c r="C2067" s="4"/>
      <c r="D2067" s="4"/>
      <c r="E2067" s="4"/>
      <c r="F2067" s="4"/>
      <c r="G2067" s="4"/>
      <c r="H2067" s="17"/>
      <c r="K2067" s="40">
        <f>(J1951-$B$1579)*EXP(10*$K$22)</f>
        <v>0.50923521198073585</v>
      </c>
      <c r="L2067" s="87"/>
      <c r="M2067" s="87"/>
      <c r="N2067" s="87"/>
      <c r="O2067" s="87"/>
      <c r="P2067" s="87"/>
      <c r="Q2067" s="87"/>
      <c r="R2067" s="87"/>
      <c r="S2067" s="87"/>
      <c r="T2067" s="87"/>
      <c r="U2067" s="88">
        <f t="shared" si="75"/>
        <v>80.917091272540503</v>
      </c>
    </row>
    <row r="2068" spans="1:21" x14ac:dyDescent="0.35">
      <c r="A2068" s="30"/>
      <c r="B2068" s="4"/>
      <c r="C2068" s="4"/>
      <c r="D2068" s="4"/>
      <c r="E2068" s="4"/>
      <c r="F2068" s="4"/>
      <c r="G2068" s="4"/>
      <c r="H2068" s="17"/>
      <c r="K2068" s="8">
        <f>J1952*EXP(10*K$22)</f>
        <v>0.52414338852104669</v>
      </c>
      <c r="L2068" s="87"/>
      <c r="M2068" s="87"/>
      <c r="N2068" s="87"/>
      <c r="O2068" s="87"/>
      <c r="P2068" s="87"/>
      <c r="Q2068" s="87"/>
      <c r="R2068" s="87"/>
      <c r="S2068" s="87"/>
      <c r="T2068" s="87"/>
      <c r="U2068" s="88">
        <f t="shared" si="75"/>
        <v>80.078260003375817</v>
      </c>
    </row>
    <row r="2069" spans="1:21" x14ac:dyDescent="0.35">
      <c r="A2069" s="30"/>
      <c r="B2069" s="4"/>
      <c r="C2069" s="4"/>
      <c r="D2069" s="4"/>
      <c r="E2069" s="4"/>
      <c r="F2069" s="4"/>
      <c r="G2069" s="4"/>
      <c r="H2069" s="17"/>
      <c r="K2069" s="40">
        <f>(J1952-$B$1579)*EXP(10*$K$22)</f>
        <v>0.52154488075343508</v>
      </c>
      <c r="L2069" s="87"/>
      <c r="M2069" s="87"/>
      <c r="N2069" s="87"/>
      <c r="O2069" s="87"/>
      <c r="P2069" s="87"/>
      <c r="Q2069" s="87"/>
      <c r="R2069" s="87"/>
      <c r="S2069" s="87"/>
      <c r="T2069" s="87"/>
      <c r="U2069" s="88">
        <f t="shared" si="75"/>
        <v>80.223149913588458</v>
      </c>
    </row>
    <row r="2070" spans="1:21" x14ac:dyDescent="0.35">
      <c r="A2070" s="30"/>
      <c r="B2070" s="4"/>
      <c r="C2070" s="4"/>
      <c r="D2070" s="4"/>
      <c r="E2070" s="4"/>
      <c r="F2070" s="4"/>
      <c r="G2070" s="4"/>
      <c r="H2070" s="17"/>
      <c r="K2070" s="8">
        <f>J1953*EXP(10*K$22)</f>
        <v>0.52086963450124069</v>
      </c>
      <c r="L2070" s="87"/>
      <c r="M2070" s="87"/>
      <c r="N2070" s="87"/>
      <c r="O2070" s="87"/>
      <c r="P2070" s="87"/>
      <c r="Q2070" s="87"/>
      <c r="R2070" s="87"/>
      <c r="S2070" s="87"/>
      <c r="T2070" s="87"/>
      <c r="U2070" s="88">
        <f t="shared" si="75"/>
        <v>80.260891279320944</v>
      </c>
    </row>
    <row r="2071" spans="1:21" x14ac:dyDescent="0.35">
      <c r="A2071" s="30"/>
      <c r="B2071" s="4"/>
      <c r="C2071" s="4"/>
      <c r="D2071" s="4"/>
      <c r="E2071" s="4"/>
      <c r="F2071" s="4"/>
      <c r="G2071" s="4"/>
      <c r="H2071" s="17"/>
      <c r="K2071" s="40">
        <f>(J1953-$B$1579)*EXP(10*$K$22)</f>
        <v>0.51827112673362918</v>
      </c>
      <c r="L2071" s="87"/>
      <c r="M2071" s="87"/>
      <c r="N2071" s="87"/>
      <c r="O2071" s="87"/>
      <c r="P2071" s="87"/>
      <c r="Q2071" s="87"/>
      <c r="R2071" s="87"/>
      <c r="S2071" s="87"/>
      <c r="T2071" s="87"/>
      <c r="U2071" s="88">
        <f t="shared" si="75"/>
        <v>80.406478327175293</v>
      </c>
    </row>
    <row r="2072" spans="1:21" x14ac:dyDescent="0.35">
      <c r="A2072" s="30"/>
      <c r="B2072" s="4"/>
      <c r="C2072" s="4"/>
      <c r="D2072" s="4"/>
      <c r="E2072" s="4"/>
      <c r="F2072" s="4"/>
      <c r="G2072" s="4"/>
      <c r="H2072" s="17"/>
      <c r="K2072" s="8">
        <f>J1954*EXP(10*K$22)</f>
        <v>0.52005178339374225</v>
      </c>
      <c r="L2072" s="87"/>
      <c r="M2072" s="87"/>
      <c r="N2072" s="87"/>
      <c r="O2072" s="87"/>
      <c r="P2072" s="87"/>
      <c r="Q2072" s="87"/>
      <c r="R2072" s="87"/>
      <c r="S2072" s="87"/>
      <c r="T2072" s="87"/>
      <c r="U2072" s="88">
        <f t="shared" si="75"/>
        <v>80.306653299674238</v>
      </c>
    </row>
    <row r="2073" spans="1:21" x14ac:dyDescent="0.35">
      <c r="A2073" s="30"/>
      <c r="B2073" s="4"/>
      <c r="C2073" s="4"/>
      <c r="D2073" s="4"/>
      <c r="E2073" s="4"/>
      <c r="F2073" s="4"/>
      <c r="G2073" s="4"/>
      <c r="H2073" s="17"/>
      <c r="K2073" s="40">
        <f>(J1954-$B$1579)*EXP(10*$K$22)</f>
        <v>0.51745327562613064</v>
      </c>
      <c r="L2073" s="87"/>
      <c r="M2073" s="87"/>
      <c r="N2073" s="87"/>
      <c r="O2073" s="87"/>
      <c r="P2073" s="87"/>
      <c r="Q2073" s="87"/>
      <c r="R2073" s="87"/>
      <c r="S2073" s="87"/>
      <c r="T2073" s="87"/>
      <c r="U2073" s="88">
        <f t="shared" si="75"/>
        <v>80.452415292336156</v>
      </c>
    </row>
    <row r="2074" spans="1:21" x14ac:dyDescent="0.35">
      <c r="A2074" s="30"/>
      <c r="B2074" s="38"/>
      <c r="C2074" s="38"/>
      <c r="D2074" s="38"/>
      <c r="E2074" s="38"/>
      <c r="F2074" s="38"/>
      <c r="G2074" s="38"/>
      <c r="H2074" s="75"/>
      <c r="I2074" s="74"/>
      <c r="J2074" s="74"/>
      <c r="K2074" s="8">
        <f>J1955*EXP(10*K$22)</f>
        <v>0.51677802937393624</v>
      </c>
      <c r="L2074" s="82"/>
      <c r="M2074" s="82"/>
      <c r="N2074" s="82"/>
      <c r="O2074" s="82"/>
      <c r="P2074" s="82"/>
      <c r="Q2074" s="82"/>
      <c r="R2074" s="82"/>
      <c r="S2074" s="82"/>
      <c r="T2074" s="82"/>
      <c r="U2074" s="88">
        <f t="shared" si="75"/>
        <v>80.490384094395267</v>
      </c>
    </row>
    <row r="2075" spans="1:21" x14ac:dyDescent="0.35">
      <c r="A2075" s="30"/>
      <c r="B2075" s="4"/>
      <c r="C2075" s="4"/>
      <c r="D2075" s="4"/>
      <c r="E2075" s="4"/>
      <c r="F2075" s="4"/>
      <c r="G2075" s="4"/>
      <c r="H2075" s="17"/>
      <c r="K2075" s="40">
        <f>(J1955-$B$1579)*EXP(10*$K$22)</f>
        <v>0.51417952160632463</v>
      </c>
      <c r="L2075" s="87"/>
      <c r="M2075" s="87"/>
      <c r="N2075" s="87"/>
      <c r="O2075" s="87"/>
      <c r="P2075" s="87"/>
      <c r="Q2075" s="87"/>
      <c r="R2075" s="87"/>
      <c r="S2075" s="87"/>
      <c r="T2075" s="87"/>
      <c r="U2075" s="88">
        <f t="shared" si="75"/>
        <v>80.636849535819692</v>
      </c>
    </row>
    <row r="2076" spans="1:21" x14ac:dyDescent="0.35">
      <c r="A2076" s="30"/>
      <c r="B2076" s="4"/>
      <c r="C2076" s="4"/>
      <c r="D2076" s="4"/>
      <c r="E2076" s="4"/>
      <c r="F2076" s="4"/>
      <c r="G2076" s="4"/>
      <c r="H2076" s="17"/>
      <c r="K2076" s="8">
        <f>J1956*EXP(10*K$22)</f>
        <v>0.52542198703931819</v>
      </c>
      <c r="L2076" s="87"/>
      <c r="M2076" s="87"/>
      <c r="N2076" s="87"/>
      <c r="O2076" s="87"/>
      <c r="P2076" s="87"/>
      <c r="Q2076" s="87"/>
      <c r="R2076" s="87"/>
      <c r="S2076" s="87"/>
      <c r="T2076" s="87"/>
      <c r="U2076" s="88">
        <f t="shared" si="75"/>
        <v>80.007168780570765</v>
      </c>
    </row>
    <row r="2077" spans="1:21" x14ac:dyDescent="0.35">
      <c r="A2077" s="30"/>
      <c r="B2077" s="4"/>
      <c r="C2077" s="4"/>
      <c r="D2077" s="4"/>
      <c r="E2077" s="4"/>
      <c r="F2077" s="4"/>
      <c r="G2077" s="4"/>
      <c r="H2077" s="17"/>
      <c r="K2077" s="40">
        <f>(J1956-$B$1579)*EXP(10*$K$22)</f>
        <v>0.52282347927170669</v>
      </c>
      <c r="L2077" s="87"/>
      <c r="M2077" s="87"/>
      <c r="N2077" s="87"/>
      <c r="O2077" s="87"/>
      <c r="P2077" s="87"/>
      <c r="Q2077" s="87"/>
      <c r="R2077" s="87"/>
      <c r="S2077" s="87"/>
      <c r="T2077" s="87"/>
      <c r="U2077" s="88">
        <f t="shared" si="75"/>
        <v>80.151787775585518</v>
      </c>
    </row>
    <row r="2078" spans="1:21" x14ac:dyDescent="0.35">
      <c r="A2078" s="30"/>
      <c r="B2078" s="4"/>
      <c r="C2078" s="4"/>
      <c r="D2078" s="4"/>
      <c r="E2078" s="4"/>
      <c r="F2078" s="4"/>
      <c r="G2078" s="4"/>
      <c r="H2078" s="17"/>
      <c r="K2078" s="8">
        <f>J1957*EXP(10*K$22)</f>
        <v>0.52214823301951219</v>
      </c>
      <c r="L2078" s="87"/>
      <c r="M2078" s="87"/>
      <c r="N2078" s="87"/>
      <c r="O2078" s="87"/>
      <c r="P2078" s="87"/>
      <c r="Q2078" s="87"/>
      <c r="R2078" s="87"/>
      <c r="S2078" s="87"/>
      <c r="T2078" s="87"/>
      <c r="U2078" s="88">
        <f t="shared" si="75"/>
        <v>80.189458487997626</v>
      </c>
    </row>
    <row r="2079" spans="1:21" x14ac:dyDescent="0.35">
      <c r="A2079" s="30"/>
      <c r="B2079" s="4"/>
      <c r="C2079" s="4"/>
      <c r="D2079" s="4"/>
      <c r="E2079" s="4"/>
      <c r="F2079" s="4"/>
      <c r="G2079" s="4"/>
      <c r="H2079" s="17"/>
      <c r="K2079" s="40">
        <f>(J1957-$B$1579)*EXP(10*$K$22)</f>
        <v>0.51954972525190068</v>
      </c>
      <c r="L2079" s="87"/>
      <c r="M2079" s="87"/>
      <c r="N2079" s="87"/>
      <c r="O2079" s="87"/>
      <c r="P2079" s="87"/>
      <c r="Q2079" s="87"/>
      <c r="R2079" s="87"/>
      <c r="S2079" s="87"/>
      <c r="T2079" s="87"/>
      <c r="U2079" s="88">
        <f t="shared" si="75"/>
        <v>80.334772663960962</v>
      </c>
    </row>
    <row r="2080" spans="1:21" x14ac:dyDescent="0.35">
      <c r="A2080" s="30"/>
      <c r="B2080" s="4"/>
      <c r="C2080" s="4"/>
      <c r="D2080" s="4"/>
      <c r="E2080" s="4"/>
      <c r="F2080" s="4"/>
      <c r="G2080" s="4"/>
      <c r="H2080" s="17"/>
      <c r="K2080" s="8">
        <f>J1958*EXP(10*K$22)</f>
        <v>0.52133038191201386</v>
      </c>
      <c r="L2080" s="87"/>
      <c r="M2080" s="87"/>
      <c r="N2080" s="87"/>
      <c r="O2080" s="87"/>
      <c r="P2080" s="87"/>
      <c r="Q2080" s="87"/>
      <c r="R2080" s="87"/>
      <c r="S2080" s="87"/>
      <c r="T2080" s="87"/>
      <c r="U2080" s="88">
        <f t="shared" si="75"/>
        <v>80.235134793201979</v>
      </c>
    </row>
    <row r="2081" spans="1:21" x14ac:dyDescent="0.35">
      <c r="A2081" s="30"/>
      <c r="B2081" s="4"/>
      <c r="C2081" s="4"/>
      <c r="D2081" s="4"/>
      <c r="E2081" s="4"/>
      <c r="F2081" s="4"/>
      <c r="G2081" s="4"/>
      <c r="H2081" s="17"/>
      <c r="K2081" s="40">
        <f>(J1958-$B$1579)*EXP(10*$K$22)</f>
        <v>0.51873187414440236</v>
      </c>
      <c r="L2081" s="87"/>
      <c r="M2081" s="87"/>
      <c r="N2081" s="87"/>
      <c r="O2081" s="87"/>
      <c r="P2081" s="87"/>
      <c r="Q2081" s="87"/>
      <c r="R2081" s="87"/>
      <c r="S2081" s="87"/>
      <c r="T2081" s="87"/>
      <c r="U2081" s="88">
        <f t="shared" si="75"/>
        <v>80.380623422210746</v>
      </c>
    </row>
    <row r="2082" spans="1:21" x14ac:dyDescent="0.35">
      <c r="A2082" s="30"/>
      <c r="B2082" s="4"/>
      <c r="C2082" s="4"/>
      <c r="D2082" s="4"/>
      <c r="E2082" s="4"/>
      <c r="F2082" s="4"/>
      <c r="G2082" s="4"/>
      <c r="H2082" s="17"/>
      <c r="K2082" s="8">
        <f>J1959*EXP(10*K$22)</f>
        <v>0.51805662789220785</v>
      </c>
      <c r="L2082" s="87"/>
      <c r="M2082" s="87"/>
      <c r="N2082" s="87"/>
      <c r="O2082" s="87"/>
      <c r="P2082" s="87"/>
      <c r="Q2082" s="87"/>
      <c r="R2082" s="87"/>
      <c r="S2082" s="87"/>
      <c r="T2082" s="87"/>
      <c r="U2082" s="88">
        <f t="shared" si="75"/>
        <v>80.418520931634916</v>
      </c>
    </row>
    <row r="2083" spans="1:21" x14ac:dyDescent="0.35">
      <c r="A2083" s="30"/>
      <c r="B2083" s="4"/>
      <c r="C2083" s="4"/>
      <c r="D2083" s="4"/>
      <c r="E2083" s="4"/>
      <c r="F2083" s="4"/>
      <c r="G2083" s="4"/>
      <c r="H2083" s="17"/>
      <c r="K2083" s="40">
        <f>(J1959-$B$1579)*EXP(10*$K$22)</f>
        <v>0.51545812012459624</v>
      </c>
      <c r="L2083" s="87"/>
      <c r="M2083" s="87"/>
      <c r="N2083" s="87"/>
      <c r="O2083" s="87"/>
      <c r="P2083" s="87"/>
      <c r="Q2083" s="87"/>
      <c r="R2083" s="87"/>
      <c r="S2083" s="87"/>
      <c r="T2083" s="87"/>
      <c r="U2083" s="88">
        <f t="shared" si="75"/>
        <v>80.564711029070295</v>
      </c>
    </row>
    <row r="2084" spans="1:21" x14ac:dyDescent="0.35">
      <c r="A2084" s="30"/>
      <c r="B2084" s="4"/>
      <c r="C2084" s="4"/>
      <c r="D2084" s="4"/>
      <c r="E2084" s="4"/>
      <c r="F2084" s="4"/>
      <c r="G2084" s="4"/>
      <c r="H2084" s="17"/>
      <c r="K2084" s="8">
        <f>J1960*EXP(10*K$22)</f>
        <v>0.53036629666490709</v>
      </c>
      <c r="L2084" s="87"/>
      <c r="M2084" s="87"/>
      <c r="N2084" s="87"/>
      <c r="O2084" s="87"/>
      <c r="P2084" s="87"/>
      <c r="Q2084" s="87"/>
      <c r="R2084" s="87"/>
      <c r="S2084" s="87"/>
      <c r="T2084" s="87"/>
      <c r="U2084" s="88">
        <f t="shared" si="75"/>
        <v>79.733506500358516</v>
      </c>
    </row>
    <row r="2085" spans="1:21" x14ac:dyDescent="0.35">
      <c r="A2085" s="30"/>
      <c r="B2085" s="4"/>
      <c r="C2085" s="4"/>
      <c r="D2085" s="4"/>
      <c r="E2085" s="4"/>
      <c r="F2085" s="4"/>
      <c r="G2085" s="4"/>
      <c r="H2085" s="17"/>
      <c r="K2085" s="40">
        <f>(J1960-$B$1579)*EXP(10*$K$22)</f>
        <v>0.52776778889729548</v>
      </c>
      <c r="L2085" s="87"/>
      <c r="M2085" s="87"/>
      <c r="N2085" s="87"/>
      <c r="O2085" s="87"/>
      <c r="P2085" s="87"/>
      <c r="Q2085" s="87"/>
      <c r="R2085" s="87"/>
      <c r="S2085" s="87"/>
      <c r="T2085" s="87"/>
      <c r="U2085" s="88">
        <f t="shared" si="75"/>
        <v>79.877084990973444</v>
      </c>
    </row>
    <row r="2086" spans="1:21" x14ac:dyDescent="0.35">
      <c r="A2086" s="30"/>
      <c r="B2086" s="4"/>
      <c r="C2086" s="4"/>
      <c r="D2086" s="4"/>
      <c r="E2086" s="4"/>
      <c r="F2086" s="4"/>
      <c r="G2086" s="4"/>
      <c r="H2086" s="17"/>
      <c r="K2086" s="8">
        <f>J1961*EXP(10*K$22)</f>
        <v>0.52709254264510097</v>
      </c>
      <c r="L2086" s="87"/>
      <c r="M2086" s="87"/>
      <c r="N2086" s="87"/>
      <c r="O2086" s="87"/>
      <c r="P2086" s="87"/>
      <c r="Q2086" s="87"/>
      <c r="R2086" s="87"/>
      <c r="S2086" s="87"/>
      <c r="T2086" s="87"/>
      <c r="U2086" s="88">
        <f t="shared" si="75"/>
        <v>79.914484347286262</v>
      </c>
    </row>
    <row r="2087" spans="1:21" x14ac:dyDescent="0.35">
      <c r="A2087" s="30"/>
      <c r="B2087" s="4"/>
      <c r="C2087" s="4"/>
      <c r="D2087" s="4"/>
      <c r="E2087" s="4"/>
      <c r="F2087" s="4"/>
      <c r="G2087" s="4"/>
      <c r="H2087" s="17"/>
      <c r="K2087" s="40">
        <f>(J1961-$B$1579)*EXP(10*$K$22)</f>
        <v>0.52449403487748947</v>
      </c>
      <c r="L2087" s="87"/>
      <c r="M2087" s="87"/>
      <c r="N2087" s="87"/>
      <c r="O2087" s="87"/>
      <c r="P2087" s="87"/>
      <c r="Q2087" s="87"/>
      <c r="R2087" s="87"/>
      <c r="S2087" s="87"/>
      <c r="T2087" s="87"/>
      <c r="U2087" s="88">
        <f t="shared" si="75"/>
        <v>80.058750520901327</v>
      </c>
    </row>
    <row r="2088" spans="1:21" x14ac:dyDescent="0.35">
      <c r="A2088" s="30"/>
      <c r="B2088" s="4"/>
      <c r="C2088" s="4"/>
      <c r="D2088" s="4"/>
      <c r="E2088" s="4"/>
      <c r="F2088" s="4"/>
      <c r="G2088" s="4"/>
      <c r="H2088" s="17"/>
      <c r="K2088" s="8">
        <f>J1962*EXP(10*K$22)</f>
        <v>0.52627469153760265</v>
      </c>
      <c r="L2088" s="87"/>
      <c r="M2088" s="87"/>
      <c r="N2088" s="87"/>
      <c r="O2088" s="87"/>
      <c r="P2088" s="87"/>
      <c r="Q2088" s="87"/>
      <c r="R2088" s="87"/>
      <c r="S2088" s="87"/>
      <c r="T2088" s="87"/>
      <c r="U2088" s="88">
        <f t="shared" si="75"/>
        <v>79.959831450103323</v>
      </c>
    </row>
    <row r="2089" spans="1:21" x14ac:dyDescent="0.35">
      <c r="A2089" s="30"/>
      <c r="B2089" s="4"/>
      <c r="C2089" s="4"/>
      <c r="D2089" s="4"/>
      <c r="E2089" s="4"/>
      <c r="F2089" s="4"/>
      <c r="G2089" s="4"/>
      <c r="H2089" s="17"/>
      <c r="K2089" s="40">
        <f>(J1962-$B$1579)*EXP(10*$K$22)</f>
        <v>0.52367618376999103</v>
      </c>
      <c r="L2089" s="87"/>
      <c r="M2089" s="87"/>
      <c r="N2089" s="87"/>
      <c r="O2089" s="87"/>
      <c r="P2089" s="87"/>
      <c r="Q2089" s="87"/>
      <c r="R2089" s="87"/>
      <c r="S2089" s="87"/>
      <c r="T2089" s="87"/>
      <c r="U2089" s="88">
        <f t="shared" si="75"/>
        <v>80.104270192382074</v>
      </c>
    </row>
    <row r="2090" spans="1:21" x14ac:dyDescent="0.35">
      <c r="A2090" s="30"/>
      <c r="B2090" s="4"/>
      <c r="C2090" s="4"/>
      <c r="D2090" s="4"/>
      <c r="E2090" s="4"/>
      <c r="F2090" s="4"/>
      <c r="G2090" s="4"/>
      <c r="H2090" s="17"/>
      <c r="K2090" s="8">
        <f>J1963*EXP(10*K$22)</f>
        <v>0.52300093751779664</v>
      </c>
      <c r="L2090" s="87"/>
      <c r="M2090" s="87"/>
      <c r="N2090" s="87"/>
      <c r="O2090" s="87"/>
      <c r="P2090" s="87"/>
      <c r="Q2090" s="87"/>
      <c r="R2090" s="87"/>
      <c r="S2090" s="87"/>
      <c r="T2090" s="87"/>
      <c r="U2090" s="88">
        <f t="shared" si="75"/>
        <v>80.141893895919381</v>
      </c>
    </row>
    <row r="2091" spans="1:21" x14ac:dyDescent="0.35">
      <c r="A2091" s="30"/>
      <c r="B2091" s="4"/>
      <c r="C2091" s="4"/>
      <c r="D2091" s="4"/>
      <c r="E2091" s="4"/>
      <c r="F2091" s="4"/>
      <c r="G2091" s="4"/>
      <c r="H2091" s="17"/>
      <c r="K2091" s="40">
        <f>(J1963-$B$1579)*EXP(10*$K$22)</f>
        <v>0.52040242975018514</v>
      </c>
      <c r="L2091" s="87"/>
      <c r="M2091" s="87"/>
      <c r="N2091" s="87"/>
      <c r="O2091" s="87"/>
      <c r="P2091" s="87"/>
      <c r="Q2091" s="87"/>
      <c r="R2091" s="87"/>
      <c r="S2091" s="87"/>
      <c r="T2091" s="87"/>
      <c r="U2091" s="88">
        <f t="shared" si="75"/>
        <v>80.2870265182856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HJM_6</vt:lpstr>
      <vt:lpstr>HJM_10y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P. Miller</dc:creator>
  <cp:lastModifiedBy>Thomas Madison Glimp</cp:lastModifiedBy>
  <dcterms:created xsi:type="dcterms:W3CDTF">2019-10-28T15:55:46Z</dcterms:created>
  <dcterms:modified xsi:type="dcterms:W3CDTF">2025-10-27T20:25:27Z</dcterms:modified>
</cp:coreProperties>
</file>